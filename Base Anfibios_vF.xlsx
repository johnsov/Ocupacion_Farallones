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johnsov/Desktop/Proyectos de Investigación 2025/Ocupacion_Farallones/"/>
    </mc:Choice>
  </mc:AlternateContent>
  <xr:revisionPtr revIDLastSave="0" documentId="13_ncr:1_{BBB9D05A-0C9D-5149-84E2-A1566F60AE86}" xr6:coauthVersionLast="47" xr6:coauthVersionMax="47" xr10:uidLastSave="{00000000-0000-0000-0000-000000000000}"/>
  <bookViews>
    <workbookView xWindow="0" yWindow="500" windowWidth="33600" windowHeight="19100" activeTab="3" xr2:uid="{58DC2561-12CB-4174-968D-464BCD033C44}"/>
  </bookViews>
  <sheets>
    <sheet name="Dinamica" sheetId="13" r:id="rId1"/>
    <sheet name="P.Palmeri_2023" sheetId="20" r:id="rId2"/>
    <sheet name="Hoja3" sheetId="21" r:id="rId3"/>
    <sheet name="BD2017-2023" sheetId="11" r:id="rId4"/>
    <sheet name="Variables" sheetId="18" r:id="rId5"/>
    <sheet name="Composición" sheetId="14" r:id="rId6"/>
    <sheet name="Permanova 2 vias" sheetId="17" r:id="rId7"/>
    <sheet name="Simper Sectores" sheetId="15" r:id="rId8"/>
    <sheet name="Simper Años" sheetId="16" r:id="rId9"/>
  </sheets>
  <definedNames>
    <definedName name="_xlnm._FilterDatabase" localSheetId="3" hidden="1">'BD2017-2023'!$A$1:$AR$1140</definedName>
  </definedNames>
  <calcPr calcId="191029"/>
  <pivotCaches>
    <pivotCache cacheId="22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937" i="11" l="1"/>
  <c r="Q937" i="11"/>
  <c r="P937" i="11"/>
  <c r="R936" i="11"/>
  <c r="Q936" i="11"/>
  <c r="P936" i="11"/>
  <c r="R935" i="11"/>
  <c r="Q935" i="11"/>
  <c r="P935" i="11"/>
  <c r="R934" i="11"/>
  <c r="Q934" i="11"/>
  <c r="P934" i="11"/>
  <c r="R933" i="11"/>
  <c r="Q933" i="11"/>
  <c r="P933" i="11"/>
  <c r="R932" i="11"/>
  <c r="Q932" i="11"/>
  <c r="P932" i="11"/>
  <c r="R931" i="11"/>
  <c r="Q931" i="11"/>
  <c r="P931" i="11"/>
  <c r="R930" i="11"/>
  <c r="Q930" i="11"/>
  <c r="P930" i="11"/>
  <c r="R929" i="11"/>
  <c r="Q929" i="11"/>
  <c r="P929" i="11"/>
  <c r="R928" i="11"/>
  <c r="Q928" i="11"/>
  <c r="P928" i="11"/>
  <c r="R927" i="11"/>
  <c r="Q927" i="11"/>
  <c r="P927" i="11"/>
  <c r="R926" i="11"/>
  <c r="Q926" i="11"/>
  <c r="P926" i="11"/>
  <c r="R925" i="11"/>
  <c r="Q925" i="11"/>
  <c r="P925" i="11"/>
  <c r="R924" i="11"/>
  <c r="Q924" i="11"/>
  <c r="P924" i="11"/>
  <c r="R923" i="11"/>
  <c r="Q923" i="11"/>
  <c r="P923" i="11"/>
  <c r="R922" i="11"/>
  <c r="Q922" i="11"/>
  <c r="P922" i="11"/>
  <c r="R921" i="11"/>
  <c r="Q921" i="11"/>
  <c r="P921" i="11"/>
  <c r="R920" i="11"/>
  <c r="Q920" i="11"/>
  <c r="P920" i="11"/>
  <c r="R919" i="11"/>
  <c r="Q919" i="11"/>
  <c r="P919" i="11"/>
  <c r="R918" i="11"/>
  <c r="Q918" i="11"/>
  <c r="P918" i="11"/>
  <c r="R917" i="11"/>
  <c r="Q917" i="11"/>
  <c r="P917" i="11"/>
  <c r="R916" i="11"/>
  <c r="Q916" i="11"/>
  <c r="P916" i="11"/>
  <c r="R915" i="11"/>
  <c r="Q915" i="11"/>
  <c r="P915" i="11"/>
  <c r="R914" i="11"/>
  <c r="Q914" i="11"/>
  <c r="P914" i="11"/>
  <c r="R913" i="11"/>
  <c r="Q913" i="11"/>
  <c r="P913" i="11"/>
  <c r="R912" i="11"/>
  <c r="Q912" i="11"/>
  <c r="P912" i="11"/>
  <c r="R911" i="11"/>
  <c r="Q911" i="11"/>
  <c r="P911" i="11"/>
  <c r="R910" i="11"/>
  <c r="Q910" i="11"/>
  <c r="P910" i="11"/>
  <c r="R909" i="11"/>
  <c r="Q909" i="11"/>
  <c r="P909" i="11"/>
  <c r="R908" i="11"/>
  <c r="Q908" i="11"/>
  <c r="P908" i="11"/>
  <c r="R907" i="11"/>
  <c r="Q907" i="11"/>
  <c r="P907" i="11"/>
  <c r="R906" i="11"/>
  <c r="Q906" i="11"/>
  <c r="P906" i="11"/>
  <c r="R905" i="11"/>
  <c r="Q905" i="11"/>
  <c r="P905" i="11"/>
  <c r="R904" i="11"/>
  <c r="Q904" i="11"/>
  <c r="P904" i="11"/>
  <c r="R903" i="11"/>
  <c r="Q903" i="11"/>
  <c r="P903" i="11"/>
  <c r="R902" i="11"/>
  <c r="Q902" i="11"/>
  <c r="P902" i="11"/>
  <c r="R901" i="11"/>
  <c r="Q901" i="11"/>
  <c r="P901" i="11"/>
  <c r="R900" i="11"/>
  <c r="Q900" i="11"/>
  <c r="P900" i="11"/>
  <c r="R899" i="11"/>
  <c r="Q899" i="11"/>
  <c r="P899" i="11"/>
  <c r="R898" i="11"/>
  <c r="Q898" i="11"/>
  <c r="P898" i="11"/>
  <c r="R897" i="11"/>
  <c r="Q897" i="11"/>
  <c r="P897" i="11"/>
  <c r="R896" i="11"/>
  <c r="Q896" i="11"/>
  <c r="P896" i="11"/>
  <c r="R895" i="11"/>
  <c r="Q895" i="11"/>
  <c r="P895" i="11"/>
  <c r="R894" i="11"/>
  <c r="Q894" i="11"/>
  <c r="P894" i="11"/>
  <c r="R893" i="11"/>
  <c r="Q893" i="11"/>
  <c r="P893" i="11"/>
  <c r="R892" i="11"/>
  <c r="Q892" i="11"/>
  <c r="P892" i="11"/>
  <c r="R891" i="11"/>
  <c r="Q891" i="11"/>
  <c r="P891" i="11"/>
  <c r="R890" i="11"/>
  <c r="Q890" i="11"/>
  <c r="P890" i="11"/>
  <c r="R889" i="11"/>
  <c r="Q889" i="11"/>
  <c r="P889" i="11"/>
  <c r="R888" i="11"/>
  <c r="Q888" i="11"/>
  <c r="P888" i="11"/>
  <c r="R887" i="11"/>
  <c r="Q887" i="11"/>
  <c r="P887" i="11"/>
  <c r="R886" i="11"/>
  <c r="Q886" i="11"/>
  <c r="P886" i="11"/>
  <c r="R885" i="11"/>
  <c r="Q885" i="11"/>
  <c r="P885" i="11"/>
  <c r="R884" i="11"/>
  <c r="Q884" i="11"/>
  <c r="P884" i="11"/>
  <c r="R883" i="11"/>
  <c r="Q883" i="11"/>
  <c r="P883" i="11"/>
  <c r="R882" i="11"/>
  <c r="Q882" i="11"/>
  <c r="P882" i="11"/>
  <c r="R881" i="11"/>
  <c r="Q881" i="11"/>
  <c r="P881" i="11"/>
  <c r="R880" i="11"/>
  <c r="Q880" i="11"/>
  <c r="P880" i="11"/>
  <c r="R879" i="11"/>
  <c r="Q879" i="11"/>
  <c r="P879" i="11"/>
  <c r="R878" i="11"/>
  <c r="Q878" i="11"/>
  <c r="P878" i="11"/>
  <c r="R877" i="11"/>
  <c r="Q877" i="11"/>
  <c r="P877" i="11"/>
  <c r="R876" i="11"/>
  <c r="Q876" i="11"/>
  <c r="P876" i="11"/>
  <c r="R875" i="11"/>
  <c r="Q875" i="11"/>
  <c r="P875" i="11"/>
  <c r="R874" i="11"/>
  <c r="Q874" i="11"/>
  <c r="P874" i="11"/>
  <c r="R873" i="11"/>
  <c r="Q873" i="11"/>
  <c r="P873" i="11"/>
  <c r="R872" i="11"/>
  <c r="Q872" i="11"/>
  <c r="P872" i="11"/>
  <c r="R871" i="11"/>
  <c r="Q871" i="11"/>
  <c r="P871" i="11"/>
  <c r="R870" i="11"/>
  <c r="Q870" i="11"/>
  <c r="P870" i="11"/>
  <c r="R869" i="11"/>
  <c r="Q869" i="11"/>
  <c r="P869" i="11"/>
  <c r="R868" i="11"/>
  <c r="Q868" i="11"/>
  <c r="P868" i="11"/>
  <c r="R867" i="11"/>
  <c r="Q867" i="11"/>
  <c r="P867" i="11"/>
  <c r="R866" i="11"/>
  <c r="Q866" i="11"/>
  <c r="P866" i="11"/>
  <c r="R865" i="11"/>
  <c r="Q865" i="11"/>
  <c r="P865" i="11"/>
  <c r="R864" i="11"/>
  <c r="Q864" i="11"/>
  <c r="P864" i="11"/>
  <c r="R863" i="11"/>
  <c r="Q863" i="11"/>
  <c r="P863" i="11"/>
  <c r="R862" i="11"/>
  <c r="Q862" i="11"/>
  <c r="P862" i="11"/>
  <c r="R861" i="11"/>
  <c r="Q861" i="11"/>
  <c r="P861" i="11"/>
  <c r="R860" i="11"/>
  <c r="Q860" i="11"/>
  <c r="P860" i="11"/>
  <c r="R859" i="11"/>
  <c r="Q859" i="11"/>
  <c r="P859" i="11"/>
  <c r="R858" i="11"/>
  <c r="Q858" i="11"/>
  <c r="P858" i="11"/>
  <c r="R857" i="11"/>
  <c r="Q857" i="11"/>
  <c r="P857" i="11"/>
  <c r="R856" i="11"/>
  <c r="Q856" i="11"/>
  <c r="P856" i="11"/>
  <c r="R855" i="11"/>
  <c r="Q855" i="11"/>
  <c r="P855" i="11"/>
  <c r="R854" i="11"/>
  <c r="Q854" i="11"/>
  <c r="P854" i="11"/>
  <c r="R853" i="11"/>
  <c r="Q853" i="11"/>
  <c r="P853" i="11"/>
  <c r="R852" i="11"/>
  <c r="Q852" i="11"/>
  <c r="P852" i="11"/>
  <c r="R851" i="11"/>
  <c r="Q851" i="11"/>
  <c r="P851" i="11"/>
  <c r="R850" i="11"/>
  <c r="Q850" i="11"/>
  <c r="P850" i="11"/>
  <c r="R849" i="11"/>
  <c r="Q849" i="11"/>
  <c r="P849" i="11"/>
  <c r="R848" i="11"/>
  <c r="Q848" i="11"/>
  <c r="P848" i="11"/>
  <c r="R847" i="11"/>
  <c r="Q847" i="11"/>
  <c r="P847" i="11"/>
  <c r="R846" i="11"/>
  <c r="Q846" i="11"/>
  <c r="P846" i="11"/>
  <c r="R845" i="11"/>
  <c r="Q845" i="11"/>
  <c r="P845" i="11"/>
  <c r="R844" i="11"/>
  <c r="Q844" i="11"/>
  <c r="P844" i="11"/>
  <c r="R843" i="11"/>
  <c r="Q843" i="11"/>
  <c r="P843" i="11"/>
  <c r="R842" i="11"/>
  <c r="Q842" i="11"/>
  <c r="P842" i="11"/>
  <c r="R841" i="11"/>
  <c r="Q841" i="11"/>
  <c r="P841" i="11"/>
  <c r="R840" i="11"/>
  <c r="Q840" i="11"/>
  <c r="P840" i="11"/>
  <c r="R839" i="11"/>
  <c r="Q839" i="11"/>
  <c r="P839" i="11"/>
  <c r="R838" i="11"/>
  <c r="Q838" i="11"/>
  <c r="P838" i="11"/>
  <c r="R837" i="11"/>
  <c r="Q837" i="11"/>
  <c r="P837" i="11"/>
  <c r="R836" i="11"/>
  <c r="Q836" i="11"/>
  <c r="P836" i="11"/>
  <c r="R835" i="11"/>
  <c r="Q835" i="11"/>
  <c r="P835" i="11"/>
  <c r="R834" i="11"/>
  <c r="Q834" i="11"/>
  <c r="P834" i="11"/>
  <c r="R833" i="11"/>
  <c r="Q833" i="11"/>
  <c r="P833" i="11"/>
  <c r="R832" i="11"/>
  <c r="Q832" i="11"/>
  <c r="P832" i="11"/>
  <c r="R831" i="11"/>
  <c r="Q831" i="11"/>
  <c r="P831" i="11"/>
  <c r="R830" i="11"/>
  <c r="Q830" i="11"/>
  <c r="P830" i="11"/>
  <c r="R829" i="11"/>
  <c r="Q829" i="11"/>
  <c r="P829" i="11"/>
  <c r="R828" i="11"/>
  <c r="Q828" i="11"/>
  <c r="P828" i="11"/>
  <c r="R827" i="11"/>
  <c r="Q827" i="11"/>
  <c r="P827" i="11"/>
  <c r="R826" i="11"/>
  <c r="Q826" i="11"/>
  <c r="P826" i="11"/>
  <c r="R825" i="11"/>
  <c r="Q825" i="11"/>
  <c r="P825" i="11"/>
  <c r="R824" i="11"/>
  <c r="Q824" i="11"/>
  <c r="P824" i="11"/>
  <c r="R823" i="11"/>
  <c r="Q823" i="11"/>
  <c r="P823" i="11"/>
  <c r="R822" i="11"/>
  <c r="Q822" i="11"/>
  <c r="P822" i="11"/>
  <c r="R821" i="11"/>
  <c r="Q821" i="11"/>
  <c r="P821" i="11"/>
  <c r="R820" i="11"/>
  <c r="Q820" i="11"/>
  <c r="P820" i="11"/>
  <c r="R819" i="11"/>
  <c r="Q819" i="11"/>
  <c r="P819" i="11"/>
  <c r="R818" i="11"/>
  <c r="Q818" i="11"/>
  <c r="P818" i="11"/>
  <c r="R817" i="11"/>
  <c r="Q817" i="11"/>
  <c r="P817" i="11"/>
  <c r="R816" i="11"/>
  <c r="Q816" i="11"/>
  <c r="P816" i="11"/>
  <c r="R815" i="11"/>
  <c r="Q815" i="11"/>
  <c r="P815" i="11"/>
  <c r="R814" i="11"/>
  <c r="Q814" i="11"/>
  <c r="P814" i="11"/>
  <c r="R813" i="11"/>
  <c r="Q813" i="11"/>
  <c r="P813" i="11"/>
  <c r="R812" i="11"/>
  <c r="Q812" i="11"/>
  <c r="P812" i="11"/>
  <c r="R811" i="11"/>
  <c r="Q811" i="11"/>
  <c r="P811" i="11"/>
  <c r="R810" i="11"/>
  <c r="Q810" i="11"/>
  <c r="P810" i="11"/>
  <c r="R809" i="11"/>
  <c r="Q809" i="11"/>
  <c r="P809" i="11"/>
  <c r="R808" i="11"/>
  <c r="Q808" i="11"/>
  <c r="P808" i="11"/>
  <c r="R807" i="11"/>
  <c r="Q807" i="11"/>
  <c r="P807" i="11"/>
  <c r="R806" i="11"/>
  <c r="Q806" i="11"/>
  <c r="P806" i="11"/>
  <c r="R805" i="11"/>
  <c r="Q805" i="11"/>
  <c r="P805" i="11"/>
  <c r="R804" i="11"/>
  <c r="Q804" i="11"/>
  <c r="P804" i="11"/>
  <c r="R803" i="11"/>
  <c r="Q803" i="11"/>
  <c r="P803" i="11"/>
  <c r="R802" i="11"/>
  <c r="Q802" i="11"/>
  <c r="P802" i="11"/>
  <c r="R801" i="11"/>
  <c r="Q801" i="11"/>
  <c r="P801" i="11"/>
  <c r="R800" i="11"/>
  <c r="Q800" i="11"/>
  <c r="P800" i="11"/>
  <c r="R799" i="11"/>
  <c r="Q799" i="11"/>
  <c r="P799" i="11"/>
  <c r="R798" i="11"/>
  <c r="Q798" i="11"/>
  <c r="P798" i="11"/>
  <c r="R797" i="11"/>
  <c r="Q797" i="11"/>
  <c r="P797" i="11"/>
  <c r="R796" i="11"/>
  <c r="Q796" i="11"/>
  <c r="P796" i="11"/>
  <c r="R795" i="11"/>
  <c r="Q795" i="11"/>
  <c r="P795" i="11"/>
  <c r="R794" i="11"/>
  <c r="Q794" i="11"/>
  <c r="P794" i="11"/>
  <c r="R793" i="11"/>
  <c r="Q793" i="11"/>
  <c r="P793" i="11"/>
  <c r="R792" i="11"/>
  <c r="Q792" i="11"/>
  <c r="P792" i="11"/>
  <c r="R791" i="11"/>
  <c r="Q791" i="11"/>
  <c r="P791" i="11"/>
  <c r="R790" i="11"/>
  <c r="Q790" i="11"/>
  <c r="P790" i="11"/>
  <c r="R789" i="11"/>
  <c r="Q789" i="11"/>
  <c r="P789" i="11"/>
  <c r="R788" i="11"/>
  <c r="Q788" i="11"/>
  <c r="P788" i="11"/>
  <c r="R787" i="11"/>
  <c r="Q787" i="11"/>
  <c r="P787" i="11"/>
  <c r="R786" i="11"/>
  <c r="Q786" i="11"/>
  <c r="P786" i="11"/>
  <c r="R785" i="11"/>
  <c r="Q785" i="11"/>
  <c r="P785" i="11"/>
  <c r="R784" i="11"/>
  <c r="Q784" i="11"/>
  <c r="P784" i="11"/>
  <c r="R783" i="11"/>
  <c r="Q783" i="11"/>
  <c r="P783" i="11"/>
  <c r="R782" i="11"/>
  <c r="Q782" i="11"/>
  <c r="P782" i="11"/>
  <c r="R781" i="11"/>
  <c r="Q781" i="11"/>
  <c r="P781" i="11"/>
  <c r="R780" i="11"/>
  <c r="Q780" i="11"/>
  <c r="P780" i="11"/>
  <c r="R779" i="11"/>
  <c r="Q779" i="11"/>
  <c r="P779" i="11"/>
  <c r="R778" i="11"/>
  <c r="Q778" i="11"/>
  <c r="P778" i="11"/>
  <c r="R777" i="11"/>
  <c r="Q777" i="11"/>
  <c r="P777" i="11"/>
  <c r="R776" i="11"/>
  <c r="Q776" i="11"/>
  <c r="P776" i="11"/>
  <c r="R775" i="11"/>
  <c r="Q775" i="11"/>
  <c r="P775" i="11"/>
  <c r="R774" i="11"/>
  <c r="Q774" i="11"/>
  <c r="P774" i="11"/>
  <c r="R773" i="11"/>
  <c r="Q773" i="11"/>
  <c r="P773" i="11"/>
  <c r="R772" i="11"/>
  <c r="Q772" i="11"/>
  <c r="P772" i="11"/>
  <c r="R771" i="11"/>
  <c r="Q771" i="11"/>
  <c r="P771" i="11"/>
  <c r="R770" i="11"/>
  <c r="Q770" i="11"/>
  <c r="P770" i="11"/>
  <c r="R769" i="11"/>
  <c r="Q769" i="11"/>
  <c r="P769" i="11"/>
  <c r="R768" i="11"/>
  <c r="Q768" i="11"/>
  <c r="P768" i="11"/>
  <c r="R767" i="11"/>
  <c r="Q767" i="11"/>
  <c r="P767" i="11"/>
  <c r="R766" i="11"/>
  <c r="Q766" i="11"/>
  <c r="P766" i="11"/>
  <c r="R765" i="11"/>
  <c r="Q765" i="11"/>
  <c r="P765" i="11"/>
  <c r="R764" i="11"/>
  <c r="Q764" i="11"/>
  <c r="P764" i="11"/>
  <c r="R763" i="11"/>
  <c r="Q763" i="11"/>
  <c r="P763" i="11"/>
  <c r="R762" i="11"/>
  <c r="Q762" i="11"/>
  <c r="P762" i="11"/>
  <c r="R761" i="11"/>
  <c r="Q761" i="11"/>
  <c r="P761" i="11"/>
  <c r="R760" i="11"/>
  <c r="Q760" i="11"/>
  <c r="P760" i="11"/>
  <c r="R759" i="11"/>
  <c r="Q759" i="11"/>
  <c r="P759" i="11"/>
  <c r="R758" i="11"/>
  <c r="Q758" i="11"/>
  <c r="P758" i="11"/>
  <c r="R757" i="11"/>
  <c r="Q757" i="11"/>
  <c r="P757" i="11"/>
  <c r="R756" i="11"/>
  <c r="Q756" i="11"/>
  <c r="P756" i="11"/>
  <c r="R755" i="11"/>
  <c r="Q755" i="11"/>
  <c r="P755" i="11"/>
  <c r="R754" i="11"/>
  <c r="Q754" i="11"/>
  <c r="P754" i="11"/>
  <c r="R753" i="11"/>
  <c r="Q753" i="11"/>
  <c r="P753" i="11"/>
  <c r="R752" i="11"/>
  <c r="Q752" i="11"/>
  <c r="P752" i="11"/>
  <c r="R751" i="11"/>
  <c r="Q751" i="11"/>
  <c r="P751" i="11"/>
  <c r="R750" i="11"/>
  <c r="Q750" i="11"/>
  <c r="P750" i="11"/>
  <c r="R749" i="11"/>
  <c r="Q749" i="11"/>
  <c r="P749" i="11"/>
  <c r="R748" i="11"/>
  <c r="Q748" i="11"/>
  <c r="P748" i="11"/>
  <c r="R747" i="11"/>
  <c r="Q747" i="11"/>
  <c r="P747" i="11"/>
  <c r="R746" i="11"/>
  <c r="Q746" i="11"/>
  <c r="P746" i="11"/>
  <c r="R745" i="11"/>
  <c r="Q745" i="11"/>
  <c r="P745" i="11"/>
  <c r="R744" i="11"/>
  <c r="Q744" i="11"/>
  <c r="P744" i="11"/>
  <c r="R743" i="11"/>
  <c r="Q743" i="11"/>
  <c r="P743" i="11"/>
  <c r="R742" i="11"/>
  <c r="Q742" i="11"/>
  <c r="P742" i="11"/>
  <c r="R741" i="11"/>
  <c r="Q741" i="11"/>
  <c r="P741" i="11"/>
  <c r="R740" i="11"/>
  <c r="Q740" i="11"/>
  <c r="P740" i="11"/>
  <c r="R739" i="11"/>
  <c r="Q739" i="11"/>
  <c r="P739" i="11"/>
  <c r="R738" i="11"/>
  <c r="Q738" i="11"/>
  <c r="P738" i="11"/>
  <c r="R737" i="11"/>
  <c r="Q737" i="11"/>
  <c r="P737" i="11"/>
  <c r="R736" i="11"/>
  <c r="Q736" i="11"/>
  <c r="P736" i="11"/>
  <c r="R735" i="11"/>
  <c r="Q735" i="11"/>
  <c r="P735" i="11"/>
  <c r="R734" i="11"/>
  <c r="Q734" i="11"/>
  <c r="P734" i="11"/>
  <c r="R733" i="11"/>
  <c r="Q733" i="11"/>
  <c r="P733" i="11"/>
  <c r="R732" i="11"/>
  <c r="Q732" i="11"/>
  <c r="P732" i="11"/>
  <c r="R731" i="11"/>
  <c r="Q731" i="11"/>
  <c r="P731" i="11"/>
  <c r="R585" i="11"/>
  <c r="R586" i="11"/>
  <c r="R587" i="11"/>
  <c r="R588" i="11"/>
  <c r="R589" i="11"/>
  <c r="R590" i="11"/>
  <c r="R591" i="11"/>
  <c r="R592" i="11"/>
  <c r="R593" i="11"/>
  <c r="R594" i="11"/>
  <c r="R595" i="11"/>
  <c r="R596" i="11"/>
  <c r="R597" i="11"/>
  <c r="R598" i="11"/>
  <c r="R599" i="11"/>
  <c r="R600" i="11"/>
  <c r="R601" i="11"/>
  <c r="R602" i="11"/>
  <c r="R603" i="11"/>
  <c r="R604" i="11"/>
  <c r="R605" i="11"/>
  <c r="R606" i="11"/>
  <c r="R607" i="11"/>
  <c r="R608" i="11"/>
  <c r="R609" i="11"/>
  <c r="R610" i="11"/>
  <c r="R611" i="11"/>
  <c r="R612" i="11"/>
  <c r="R613" i="11"/>
  <c r="R614" i="11"/>
  <c r="R615" i="11"/>
  <c r="R616" i="11"/>
  <c r="R617" i="11"/>
  <c r="R618" i="11"/>
  <c r="R619" i="11"/>
  <c r="R620" i="11"/>
  <c r="R621" i="11"/>
  <c r="R622" i="11"/>
  <c r="R623" i="11"/>
  <c r="R624" i="11"/>
  <c r="R625" i="11"/>
  <c r="R626" i="11"/>
  <c r="R627" i="11"/>
  <c r="R628" i="11"/>
  <c r="R629" i="11"/>
  <c r="R630" i="11"/>
  <c r="R631" i="11"/>
  <c r="R632" i="11"/>
  <c r="R633" i="11"/>
  <c r="R634" i="11"/>
  <c r="R635" i="11"/>
  <c r="R636" i="11"/>
  <c r="R637" i="11"/>
  <c r="R638" i="11"/>
  <c r="R639" i="11"/>
  <c r="R640" i="11"/>
  <c r="R641" i="11"/>
  <c r="R642" i="11"/>
  <c r="R643" i="11"/>
  <c r="R644" i="11"/>
  <c r="R645" i="11"/>
  <c r="R646" i="11"/>
  <c r="R647" i="11"/>
  <c r="R648" i="11"/>
  <c r="R649" i="11"/>
  <c r="R650" i="11"/>
  <c r="R651" i="11"/>
  <c r="R652" i="11"/>
  <c r="R653" i="11"/>
  <c r="R654" i="11"/>
  <c r="R655" i="11"/>
  <c r="R656" i="11"/>
  <c r="R657" i="11"/>
  <c r="R658" i="11"/>
  <c r="R659" i="11"/>
  <c r="R660" i="11"/>
  <c r="R661" i="11"/>
  <c r="R662" i="11"/>
  <c r="R663" i="11"/>
  <c r="R664" i="11"/>
  <c r="R665" i="11"/>
  <c r="R666" i="11"/>
  <c r="R667" i="11"/>
  <c r="R668" i="11"/>
  <c r="R669" i="11"/>
  <c r="R670" i="11"/>
  <c r="R671" i="11"/>
  <c r="R672" i="11"/>
  <c r="R673" i="11"/>
  <c r="R674" i="11"/>
  <c r="R675" i="11"/>
  <c r="R676" i="11"/>
  <c r="R677" i="11"/>
  <c r="R678" i="11"/>
  <c r="R679" i="11"/>
  <c r="R680" i="11"/>
  <c r="R681" i="11"/>
  <c r="R682" i="11"/>
  <c r="R683" i="11"/>
  <c r="R684" i="11"/>
  <c r="R685" i="11"/>
  <c r="R686" i="11"/>
  <c r="R687" i="11"/>
  <c r="R688" i="11"/>
  <c r="R689" i="11"/>
  <c r="R690" i="11"/>
  <c r="R691" i="11"/>
  <c r="R692" i="11"/>
  <c r="R693" i="11"/>
  <c r="R694" i="11"/>
  <c r="R695" i="11"/>
  <c r="R696" i="11"/>
  <c r="R697" i="11"/>
  <c r="R698" i="11"/>
  <c r="R699" i="11"/>
  <c r="R700" i="11"/>
  <c r="R701" i="11"/>
  <c r="R702" i="11"/>
  <c r="R703" i="11"/>
  <c r="R704" i="11"/>
  <c r="R705" i="11"/>
  <c r="R706" i="11"/>
  <c r="R707" i="11"/>
  <c r="R708" i="11"/>
  <c r="R709" i="11"/>
  <c r="R710" i="11"/>
  <c r="R711" i="11"/>
  <c r="R712" i="11"/>
  <c r="R713" i="11"/>
  <c r="R714" i="11"/>
  <c r="R715" i="11"/>
  <c r="R716" i="11"/>
  <c r="R717" i="11"/>
  <c r="R718" i="11"/>
  <c r="R719" i="11"/>
  <c r="R720" i="11"/>
  <c r="R721" i="11"/>
  <c r="R722" i="11"/>
  <c r="R723" i="11"/>
  <c r="R724" i="11"/>
  <c r="R725" i="11"/>
  <c r="R726" i="11"/>
  <c r="R727" i="11"/>
  <c r="R728" i="11"/>
  <c r="R729" i="11"/>
  <c r="R730" i="11"/>
  <c r="R584" i="11"/>
  <c r="Q585" i="11"/>
  <c r="Q586" i="11"/>
  <c r="Q587" i="11"/>
  <c r="Q588" i="11"/>
  <c r="Q589" i="11"/>
  <c r="Q590" i="11"/>
  <c r="Q591" i="11"/>
  <c r="Q592" i="11"/>
  <c r="Q593" i="11"/>
  <c r="Q594" i="11"/>
  <c r="Q595" i="11"/>
  <c r="Q596" i="11"/>
  <c r="Q597" i="11"/>
  <c r="Q598" i="11"/>
  <c r="Q599" i="11"/>
  <c r="Q600" i="11"/>
  <c r="Q601" i="11"/>
  <c r="Q602" i="11"/>
  <c r="Q603" i="11"/>
  <c r="Q604" i="11"/>
  <c r="Q605" i="11"/>
  <c r="Q606" i="11"/>
  <c r="Q607" i="11"/>
  <c r="Q608" i="11"/>
  <c r="Q609" i="11"/>
  <c r="Q610" i="11"/>
  <c r="Q611" i="11"/>
  <c r="Q612" i="11"/>
  <c r="Q613" i="11"/>
  <c r="Q614" i="11"/>
  <c r="Q615" i="11"/>
  <c r="Q616" i="11"/>
  <c r="Q617" i="11"/>
  <c r="Q618" i="11"/>
  <c r="Q619" i="11"/>
  <c r="Q620" i="11"/>
  <c r="Q621" i="11"/>
  <c r="Q622" i="11"/>
  <c r="Q623" i="11"/>
  <c r="Q624" i="11"/>
  <c r="Q625" i="11"/>
  <c r="Q626" i="11"/>
  <c r="Q627" i="11"/>
  <c r="Q628" i="11"/>
  <c r="Q629" i="11"/>
  <c r="Q630" i="11"/>
  <c r="Q631" i="11"/>
  <c r="Q632" i="11"/>
  <c r="Q633" i="11"/>
  <c r="Q634" i="11"/>
  <c r="Q635" i="11"/>
  <c r="Q636" i="11"/>
  <c r="Q637" i="11"/>
  <c r="Q638" i="11"/>
  <c r="Q639" i="11"/>
  <c r="Q640" i="11"/>
  <c r="Q641" i="11"/>
  <c r="Q642" i="11"/>
  <c r="Q643" i="11"/>
  <c r="Q644" i="11"/>
  <c r="Q645" i="11"/>
  <c r="Q646" i="11"/>
  <c r="Q647" i="11"/>
  <c r="Q648" i="11"/>
  <c r="Q649" i="11"/>
  <c r="Q650" i="11"/>
  <c r="Q651" i="11"/>
  <c r="Q652" i="11"/>
  <c r="Q653" i="11"/>
  <c r="Q654" i="11"/>
  <c r="Q655" i="11"/>
  <c r="Q656" i="11"/>
  <c r="Q657" i="11"/>
  <c r="Q658" i="11"/>
  <c r="Q659" i="11"/>
  <c r="Q660" i="11"/>
  <c r="Q661" i="11"/>
  <c r="Q662" i="11"/>
  <c r="Q663" i="11"/>
  <c r="Q664" i="11"/>
  <c r="Q665" i="11"/>
  <c r="Q666" i="11"/>
  <c r="Q667" i="11"/>
  <c r="Q668" i="11"/>
  <c r="Q669" i="11"/>
  <c r="Q670" i="11"/>
  <c r="Q671" i="11"/>
  <c r="Q672" i="11"/>
  <c r="Q673" i="11"/>
  <c r="Q674" i="11"/>
  <c r="Q675" i="11"/>
  <c r="Q676" i="11"/>
  <c r="Q677" i="11"/>
  <c r="Q678" i="11"/>
  <c r="Q679" i="11"/>
  <c r="Q680" i="11"/>
  <c r="Q681" i="11"/>
  <c r="Q682" i="11"/>
  <c r="Q683" i="11"/>
  <c r="Q684" i="11"/>
  <c r="Q685" i="11"/>
  <c r="Q686" i="11"/>
  <c r="Q687" i="11"/>
  <c r="Q688" i="11"/>
  <c r="Q689" i="11"/>
  <c r="Q690" i="11"/>
  <c r="Q691" i="11"/>
  <c r="Q692" i="11"/>
  <c r="Q693" i="11"/>
  <c r="Q694" i="11"/>
  <c r="Q695" i="11"/>
  <c r="Q696" i="11"/>
  <c r="Q697" i="11"/>
  <c r="Q698" i="11"/>
  <c r="Q699" i="11"/>
  <c r="Q700" i="11"/>
  <c r="Q701" i="11"/>
  <c r="Q702" i="11"/>
  <c r="Q703" i="11"/>
  <c r="Q704" i="11"/>
  <c r="Q705" i="11"/>
  <c r="Q706" i="11"/>
  <c r="Q707" i="11"/>
  <c r="Q708" i="11"/>
  <c r="Q709" i="11"/>
  <c r="Q710" i="11"/>
  <c r="Q711" i="11"/>
  <c r="Q712" i="11"/>
  <c r="Q713" i="11"/>
  <c r="Q714" i="11"/>
  <c r="Q715" i="11"/>
  <c r="Q716" i="11"/>
  <c r="Q717" i="11"/>
  <c r="Q718" i="11"/>
  <c r="Q719" i="11"/>
  <c r="Q720" i="11"/>
  <c r="Q721" i="11"/>
  <c r="Q722" i="11"/>
  <c r="Q723" i="11"/>
  <c r="Q724" i="11"/>
  <c r="Q725" i="11"/>
  <c r="Q726" i="11"/>
  <c r="Q727" i="11"/>
  <c r="Q728" i="11"/>
  <c r="Q729" i="11"/>
  <c r="Q730" i="11"/>
  <c r="Q584" i="11"/>
  <c r="P585" i="11"/>
  <c r="P586" i="11"/>
  <c r="P587" i="11"/>
  <c r="P588" i="11"/>
  <c r="P589" i="11"/>
  <c r="P590" i="11"/>
  <c r="P591" i="11"/>
  <c r="P592" i="11"/>
  <c r="P593" i="11"/>
  <c r="P594" i="11"/>
  <c r="P595" i="11"/>
  <c r="P596" i="11"/>
  <c r="P597" i="11"/>
  <c r="P598" i="11"/>
  <c r="P599" i="11"/>
  <c r="P600" i="11"/>
  <c r="P601" i="11"/>
  <c r="P602" i="11"/>
  <c r="P603" i="11"/>
  <c r="P604" i="11"/>
  <c r="P605" i="11"/>
  <c r="P606" i="11"/>
  <c r="P607" i="11"/>
  <c r="P608" i="11"/>
  <c r="P609" i="11"/>
  <c r="P610" i="11"/>
  <c r="P611" i="11"/>
  <c r="P612" i="11"/>
  <c r="P613" i="11"/>
  <c r="P614" i="11"/>
  <c r="P615" i="11"/>
  <c r="P616" i="11"/>
  <c r="P617" i="11"/>
  <c r="P618" i="11"/>
  <c r="P619" i="11"/>
  <c r="P620" i="11"/>
  <c r="P621" i="11"/>
  <c r="P622" i="11"/>
  <c r="P623" i="11"/>
  <c r="P624" i="11"/>
  <c r="P625" i="11"/>
  <c r="P626" i="11"/>
  <c r="P627" i="11"/>
  <c r="P628" i="11"/>
  <c r="P629" i="11"/>
  <c r="P630" i="11"/>
  <c r="P631" i="11"/>
  <c r="P632" i="11"/>
  <c r="P633" i="11"/>
  <c r="P634" i="11"/>
  <c r="P635" i="11"/>
  <c r="P636" i="11"/>
  <c r="P637" i="11"/>
  <c r="P638" i="11"/>
  <c r="P639" i="11"/>
  <c r="P640" i="11"/>
  <c r="P641" i="11"/>
  <c r="P642" i="11"/>
  <c r="P643" i="11"/>
  <c r="P644" i="11"/>
  <c r="P645" i="11"/>
  <c r="P646" i="11"/>
  <c r="P647" i="11"/>
  <c r="P648" i="11"/>
  <c r="P649" i="11"/>
  <c r="P650" i="11"/>
  <c r="P651" i="11"/>
  <c r="P652" i="11"/>
  <c r="P653" i="11"/>
  <c r="P654" i="11"/>
  <c r="P655" i="11"/>
  <c r="P656" i="11"/>
  <c r="P657" i="11"/>
  <c r="P658" i="11"/>
  <c r="P659" i="11"/>
  <c r="P660" i="11"/>
  <c r="P661" i="11"/>
  <c r="P662" i="11"/>
  <c r="P663" i="11"/>
  <c r="P664" i="11"/>
  <c r="P665" i="11"/>
  <c r="P666" i="11"/>
  <c r="P667" i="11"/>
  <c r="P668" i="11"/>
  <c r="P669" i="11"/>
  <c r="P670" i="11"/>
  <c r="P671" i="11"/>
  <c r="P672" i="11"/>
  <c r="P673" i="11"/>
  <c r="P674" i="11"/>
  <c r="P675" i="11"/>
  <c r="P676" i="11"/>
  <c r="P677" i="11"/>
  <c r="P678" i="11"/>
  <c r="P679" i="11"/>
  <c r="P680" i="11"/>
  <c r="P681" i="11"/>
  <c r="P682" i="11"/>
  <c r="P683" i="11"/>
  <c r="P684" i="11"/>
  <c r="P685" i="11"/>
  <c r="P686" i="11"/>
  <c r="P687" i="11"/>
  <c r="P688" i="11"/>
  <c r="P689" i="11"/>
  <c r="P690" i="11"/>
  <c r="P691" i="11"/>
  <c r="P692" i="11"/>
  <c r="P693" i="11"/>
  <c r="P694" i="11"/>
  <c r="P695" i="11"/>
  <c r="P696" i="11"/>
  <c r="P697" i="11"/>
  <c r="P698" i="11"/>
  <c r="P699" i="11"/>
  <c r="P700" i="11"/>
  <c r="P701" i="11"/>
  <c r="P702" i="11"/>
  <c r="P703" i="11"/>
  <c r="P704" i="11"/>
  <c r="P705" i="11"/>
  <c r="P706" i="11"/>
  <c r="P707" i="11"/>
  <c r="P708" i="11"/>
  <c r="P709" i="11"/>
  <c r="P710" i="11"/>
  <c r="P711" i="11"/>
  <c r="P712" i="11"/>
  <c r="P713" i="11"/>
  <c r="P714" i="11"/>
  <c r="P715" i="11"/>
  <c r="P716" i="11"/>
  <c r="P717" i="11"/>
  <c r="P718" i="11"/>
  <c r="P719" i="11"/>
  <c r="P720" i="11"/>
  <c r="P721" i="11"/>
  <c r="P722" i="11"/>
  <c r="P723" i="11"/>
  <c r="P724" i="11"/>
  <c r="P725" i="11"/>
  <c r="P726" i="11"/>
  <c r="P727" i="11"/>
  <c r="P728" i="11"/>
  <c r="P729" i="11"/>
  <c r="P730" i="11"/>
  <c r="P584" i="11"/>
</calcChain>
</file>

<file path=xl/sharedStrings.xml><?xml version="1.0" encoding="utf-8"?>
<sst xmlns="http://schemas.openxmlformats.org/spreadsheetml/2006/main" count="12867" uniqueCount="623">
  <si>
    <t>Etiquetas de fila</t>
  </si>
  <si>
    <t>Unidad_Muestreo</t>
  </si>
  <si>
    <t>Bolitoglossa walkeri</t>
  </si>
  <si>
    <t>Centrolene savagei</t>
  </si>
  <si>
    <t>Hypodactylus mantipus</t>
  </si>
  <si>
    <t>Pristimantis aff kelephus</t>
  </si>
  <si>
    <t>Pristimantis aff leptolophus</t>
  </si>
  <si>
    <t>Pristimantis brevifrons</t>
  </si>
  <si>
    <t>Pristimantis molybrignus</t>
  </si>
  <si>
    <t>Pristimantis palmeri</t>
  </si>
  <si>
    <t>Corea</t>
  </si>
  <si>
    <t>AntesCorea</t>
  </si>
  <si>
    <t>CaminoCorea</t>
  </si>
  <si>
    <t>CaminoVillacarmelo_1</t>
  </si>
  <si>
    <t>Cominal</t>
  </si>
  <si>
    <t>Minas</t>
  </si>
  <si>
    <t>ElFeo</t>
  </si>
  <si>
    <t>LaCruz</t>
  </si>
  <si>
    <t>Lagunas</t>
  </si>
  <si>
    <t>Zacarias_1</t>
  </si>
  <si>
    <t>Zacarias_2</t>
  </si>
  <si>
    <t>Tokio</t>
  </si>
  <si>
    <t>Antenas</t>
  </si>
  <si>
    <t>CaminoAntenas</t>
  </si>
  <si>
    <t>QdaFrenteTokio_ParteBaja</t>
  </si>
  <si>
    <t>Año</t>
  </si>
  <si>
    <t>Sector</t>
  </si>
  <si>
    <t>Agalychnis spurrelli</t>
  </si>
  <si>
    <t>Boana boans</t>
  </si>
  <si>
    <t>Centrolene buckleyi</t>
  </si>
  <si>
    <t>Craugastor raniformis</t>
  </si>
  <si>
    <t>Espadarana prosoblepon</t>
  </si>
  <si>
    <t>Hyalinobatrachium aureoguttatum</t>
  </si>
  <si>
    <t>Hyloscirtus larinopygion</t>
  </si>
  <si>
    <t>Hyloscirtus palmeri</t>
  </si>
  <si>
    <t>Pristimantis aff duende</t>
  </si>
  <si>
    <t>Pristimantis aff quimbaya</t>
  </si>
  <si>
    <t>Pristimantis buckleyi</t>
  </si>
  <si>
    <t>Pristimantis calcaratus</t>
  </si>
  <si>
    <t>Pristimantis capitonis</t>
  </si>
  <si>
    <t>Pristimantis erythropleura</t>
  </si>
  <si>
    <t>Pristimantis gracilis</t>
  </si>
  <si>
    <t>Pristimantis jubatus</t>
  </si>
  <si>
    <t>Pristimantis myops</t>
  </si>
  <si>
    <t>Pristimantis thectopternus</t>
  </si>
  <si>
    <t>Rhaebo haematiticus</t>
  </si>
  <si>
    <t>Rhinella horribilis</t>
  </si>
  <si>
    <t>Sin Observación</t>
  </si>
  <si>
    <t>Smilisca phaeota</t>
  </si>
  <si>
    <t>Anchicayá</t>
  </si>
  <si>
    <t>LaLoca</t>
  </si>
  <si>
    <t>Murrapal</t>
  </si>
  <si>
    <t>MurrapalRepresa</t>
  </si>
  <si>
    <t>RepresaAlto</t>
  </si>
  <si>
    <t>Riqueza</t>
  </si>
  <si>
    <t>Boana rosengbergi</t>
  </si>
  <si>
    <t>Bolitoglossa biseriata</t>
  </si>
  <si>
    <t>Colomascyrtus larinopygion</t>
  </si>
  <si>
    <t>Dendropsophus columbianus</t>
  </si>
  <si>
    <t>Pristimantis acatallelus</t>
  </si>
  <si>
    <t>Pristimantis achatinus</t>
  </si>
  <si>
    <t>Pristimantis boulengeri</t>
  </si>
  <si>
    <t>Pristimantis juanchoi</t>
  </si>
  <si>
    <t>Pristimantis myersi</t>
  </si>
  <si>
    <t>Pristimantis phalarus</t>
  </si>
  <si>
    <t>Pristimantis silverstonei</t>
  </si>
  <si>
    <t>Kioto</t>
  </si>
  <si>
    <t>QdaFrenteTokio_ParteAlta</t>
  </si>
  <si>
    <t>Pristimantis platychilus</t>
  </si>
  <si>
    <t>CaminoVillacarmelo_2</t>
  </si>
  <si>
    <t>Centrolene robledoi</t>
  </si>
  <si>
    <t>Oophaga lehmanni</t>
  </si>
  <si>
    <t>Pristimantis afrox</t>
  </si>
  <si>
    <t>Pristimantis alius</t>
  </si>
  <si>
    <t>Pristimantis latidiscus</t>
  </si>
  <si>
    <t>Carretera_1</t>
  </si>
  <si>
    <t>Boana picturata</t>
  </si>
  <si>
    <t>Craugastor longirostris</t>
  </si>
  <si>
    <t>Pristimantis labiosus</t>
  </si>
  <si>
    <t>Sachatamia ilex</t>
  </si>
  <si>
    <t>CarreteraQdas</t>
  </si>
  <si>
    <t>Carretera_2</t>
  </si>
  <si>
    <t>Especie</t>
  </si>
  <si>
    <t>Total general</t>
  </si>
  <si>
    <t>Etiquetas de columna</t>
  </si>
  <si>
    <t>Transecto</t>
  </si>
  <si>
    <t>Repeticion</t>
  </si>
  <si>
    <t>Fecha</t>
  </si>
  <si>
    <t>Hora</t>
  </si>
  <si>
    <t>X</t>
  </si>
  <si>
    <t>Y</t>
  </si>
  <si>
    <t>Temporada</t>
  </si>
  <si>
    <t>Lado</t>
  </si>
  <si>
    <t>Colector</t>
  </si>
  <si>
    <t>Altitud</t>
  </si>
  <si>
    <t>Bosque</t>
  </si>
  <si>
    <t>Quebrada</t>
  </si>
  <si>
    <t>Altura de dosel</t>
  </si>
  <si>
    <t>Ancho de quebrada</t>
  </si>
  <si>
    <t>Pendiente</t>
  </si>
  <si>
    <t>Sustrato</t>
  </si>
  <si>
    <t>Cobertura Vegetal</t>
  </si>
  <si>
    <t>Observaciones</t>
  </si>
  <si>
    <t>Amenaza</t>
  </si>
  <si>
    <t>NumeroIndividuos</t>
  </si>
  <si>
    <t>Humedad Sustrato</t>
  </si>
  <si>
    <t>Temperatura Sustrato</t>
  </si>
  <si>
    <t>Presiones</t>
  </si>
  <si>
    <t>OtrasEspecies</t>
  </si>
  <si>
    <t>OtrasPresiones</t>
  </si>
  <si>
    <t>FCMBT9</t>
  </si>
  <si>
    <t>rep1</t>
  </si>
  <si>
    <t>Izquierdo</t>
  </si>
  <si>
    <t>Gustavo Rodriguez</t>
  </si>
  <si>
    <t xml:space="preserve"> </t>
  </si>
  <si>
    <t>Bolsa plastica</t>
  </si>
  <si>
    <t>Residuos sólidos</t>
  </si>
  <si>
    <t>Ninguna</t>
  </si>
  <si>
    <t>Socavón</t>
  </si>
  <si>
    <t>Derecho</t>
  </si>
  <si>
    <t>Alvaro Fierro</t>
  </si>
  <si>
    <t>FCMBT10</t>
  </si>
  <si>
    <t>rep2</t>
  </si>
  <si>
    <t>Bolsa plastica. lata de atún</t>
  </si>
  <si>
    <t>Bolsa de agua</t>
  </si>
  <si>
    <t>Bolsa. lata. bolsa de yogurt</t>
  </si>
  <si>
    <t>FCMBT11</t>
  </si>
  <si>
    <t>rep3</t>
  </si>
  <si>
    <t>Tarro plastico.</t>
  </si>
  <si>
    <t>Llantas. tarro. manguera</t>
  </si>
  <si>
    <t>Manguera</t>
  </si>
  <si>
    <t>Bolsa. explosivos. manguera. bolsa de yogurt</t>
  </si>
  <si>
    <t>Hoja de arbusto</t>
  </si>
  <si>
    <t>peso 1.38. LRC = 2.5</t>
  </si>
  <si>
    <t>FCMBT12</t>
  </si>
  <si>
    <t>rep4</t>
  </si>
  <si>
    <t>Oscar Cuellar</t>
  </si>
  <si>
    <t>Lata de atun</t>
  </si>
  <si>
    <t>FCMCT16</t>
  </si>
  <si>
    <t>3 Botellas plasticas</t>
  </si>
  <si>
    <t>Yimmy Angulo</t>
  </si>
  <si>
    <t>Plastico</t>
  </si>
  <si>
    <t>FCMCT13</t>
  </si>
  <si>
    <t>FCMCT15</t>
  </si>
  <si>
    <t>Herbacea</t>
  </si>
  <si>
    <t>Bosque Secundario</t>
  </si>
  <si>
    <t>Puya</t>
  </si>
  <si>
    <t>Helecho</t>
  </si>
  <si>
    <t>Oscar Martinez</t>
  </si>
  <si>
    <t>Bromelia</t>
  </si>
  <si>
    <t>FCMDT18</t>
  </si>
  <si>
    <t>FCMDT20</t>
  </si>
  <si>
    <t>Botella plastica</t>
  </si>
  <si>
    <t>FCMDT19</t>
  </si>
  <si>
    <t>FCMAT1</t>
  </si>
  <si>
    <t>FCMAT2</t>
  </si>
  <si>
    <t>FCMAT5</t>
  </si>
  <si>
    <t>rep5</t>
  </si>
  <si>
    <t>FCTCT6</t>
  </si>
  <si>
    <t>Hoja</t>
  </si>
  <si>
    <t>Carolina Burbano</t>
  </si>
  <si>
    <t>Hamilton Bermudez</t>
  </si>
  <si>
    <t>Fotografia 8666-8677</t>
  </si>
  <si>
    <t>FCTAT5</t>
  </si>
  <si>
    <t>Fotografia 8706-8712</t>
  </si>
  <si>
    <t>FCTCT7</t>
  </si>
  <si>
    <t>FCTBT15</t>
  </si>
  <si>
    <t>Bosque Ripario</t>
  </si>
  <si>
    <t>Oscar Matinez</t>
  </si>
  <si>
    <t>P. sp5 ¿? Fotografia 8758-8770</t>
  </si>
  <si>
    <t>FCTBT16</t>
  </si>
  <si>
    <t>fotografia 8771-8784</t>
  </si>
  <si>
    <t>fotografia 8791-8798</t>
  </si>
  <si>
    <t>Foto 8749-8757</t>
  </si>
  <si>
    <t>Carolina Gonzalez</t>
  </si>
  <si>
    <t>Tronco</t>
  </si>
  <si>
    <t>FCTBT17</t>
  </si>
  <si>
    <t>FCCBT5</t>
  </si>
  <si>
    <t>Nicole Tovar</t>
  </si>
  <si>
    <t>FCCBT6</t>
  </si>
  <si>
    <t>FCCAT2</t>
  </si>
  <si>
    <t>Planta invasora</t>
  </si>
  <si>
    <t>FCCCT18</t>
  </si>
  <si>
    <t>Rama seca</t>
  </si>
  <si>
    <t>Tronco caido</t>
  </si>
  <si>
    <t>Suelo</t>
  </si>
  <si>
    <t>FCCDT17</t>
  </si>
  <si>
    <t>Juvenil</t>
  </si>
  <si>
    <t>cantando</t>
  </si>
  <si>
    <t>FCCDT15</t>
  </si>
  <si>
    <t>Burbano Carolina</t>
  </si>
  <si>
    <t>Foto 8017-8023</t>
  </si>
  <si>
    <t>FCCDT14</t>
  </si>
  <si>
    <t>FCMDT17</t>
  </si>
  <si>
    <t>Roger Franco</t>
  </si>
  <si>
    <t>Álvaro Javier Fierro</t>
  </si>
  <si>
    <t>FCABT3</t>
  </si>
  <si>
    <t>Chamiza</t>
  </si>
  <si>
    <t>FCADT18</t>
  </si>
  <si>
    <t>Orilla quebrada</t>
  </si>
  <si>
    <t>Jimmy Angulo</t>
  </si>
  <si>
    <t>Arbustal</t>
  </si>
  <si>
    <t>FCMCT14</t>
  </si>
  <si>
    <t>Tronco seco</t>
  </si>
  <si>
    <t>Fotos 0118-0134</t>
  </si>
  <si>
    <t>Fotos 636-641</t>
  </si>
  <si>
    <t>Fotos 642-645</t>
  </si>
  <si>
    <t>Fotos 645-651</t>
  </si>
  <si>
    <t>Fotos 665-671</t>
  </si>
  <si>
    <t>Fotos 693-699</t>
  </si>
  <si>
    <t>Fotos 700-710</t>
  </si>
  <si>
    <t>FCTAT4</t>
  </si>
  <si>
    <t>Fotos 714-721</t>
  </si>
  <si>
    <t>Fotos 732-736</t>
  </si>
  <si>
    <t>FCTAT3</t>
  </si>
  <si>
    <t>Fotos 743-753</t>
  </si>
  <si>
    <t>Fotos 754-759</t>
  </si>
  <si>
    <t>FCTAT2</t>
  </si>
  <si>
    <t>Fotos 767-772</t>
  </si>
  <si>
    <t>Fotos 775-788 Amplexus</t>
  </si>
  <si>
    <t>Platanilla</t>
  </si>
  <si>
    <t>FCAAT11</t>
  </si>
  <si>
    <t>Sobre hoja</t>
  </si>
  <si>
    <t>FCAAT12</t>
  </si>
  <si>
    <t>Juvenil macho</t>
  </si>
  <si>
    <t>FCCBT4</t>
  </si>
  <si>
    <t>FCCAT1</t>
  </si>
  <si>
    <t>Guillermo Guerrero</t>
  </si>
  <si>
    <t>FCCDT16</t>
  </si>
  <si>
    <t>FCCCT19</t>
  </si>
  <si>
    <t>izquierdo</t>
  </si>
  <si>
    <t>Fotos 0145-0156</t>
  </si>
  <si>
    <t xml:space="preserve">Bolsa Plastica </t>
  </si>
  <si>
    <t>hembra</t>
  </si>
  <si>
    <t>FCMAT8</t>
  </si>
  <si>
    <t>rep8</t>
  </si>
  <si>
    <t>FCMAT7</t>
  </si>
  <si>
    <t>rep7</t>
  </si>
  <si>
    <t>FCMAT3</t>
  </si>
  <si>
    <t>Geovanny Marin</t>
  </si>
  <si>
    <t>FCAAT14</t>
  </si>
  <si>
    <t>FCAAT15</t>
  </si>
  <si>
    <t>FCACT5</t>
  </si>
  <si>
    <t>FCACT8</t>
  </si>
  <si>
    <t>Auditivo</t>
  </si>
  <si>
    <t>FCACT7</t>
  </si>
  <si>
    <t>FCACT6</t>
  </si>
  <si>
    <t>FCABT1</t>
  </si>
  <si>
    <t>FCABT2</t>
  </si>
  <si>
    <t>tronco</t>
  </si>
  <si>
    <t>FCTDT22</t>
  </si>
  <si>
    <t>arbustos</t>
  </si>
  <si>
    <t>FCTDT21</t>
  </si>
  <si>
    <t>Gustavo Gonzales</t>
  </si>
  <si>
    <t>arbustivo</t>
  </si>
  <si>
    <t>Potrero</t>
  </si>
  <si>
    <t>registro auditivo, 6 aproximadamente cantando</t>
  </si>
  <si>
    <t>Ganadería</t>
  </si>
  <si>
    <t>Bosque Primario</t>
  </si>
  <si>
    <t>arbusto</t>
  </si>
  <si>
    <t>macho</t>
  </si>
  <si>
    <t>helechos</t>
  </si>
  <si>
    <t>Guillermo</t>
  </si>
  <si>
    <t>herbáceas</t>
  </si>
  <si>
    <t>Álvaro Javier</t>
  </si>
  <si>
    <t>Rama</t>
  </si>
  <si>
    <t>punto final</t>
  </si>
  <si>
    <t>Otra</t>
  </si>
  <si>
    <t>pastos</t>
  </si>
  <si>
    <t>Arbusto</t>
  </si>
  <si>
    <t>Palizada en quebrada</t>
  </si>
  <si>
    <t>pisoteo y estiércol de ganado</t>
  </si>
  <si>
    <t>FCTDT23</t>
  </si>
  <si>
    <t>Erosión</t>
  </si>
  <si>
    <t>erosión por pisoteo en senderos</t>
  </si>
  <si>
    <t>hoja</t>
  </si>
  <si>
    <t>Álvaro Fierro</t>
  </si>
  <si>
    <t>Camino pisoteo</t>
  </si>
  <si>
    <t>FCTET11</t>
  </si>
  <si>
    <t>FCTET12</t>
  </si>
  <si>
    <t>hierbas</t>
  </si>
  <si>
    <t>hojarasca</t>
  </si>
  <si>
    <t>Sobre hoja de Ericaceae</t>
  </si>
  <si>
    <t>Sobre hierba</t>
  </si>
  <si>
    <t>FCTET14</t>
  </si>
  <si>
    <t>Punto inicial</t>
  </si>
  <si>
    <t>pastizal. pisoteo.</t>
  </si>
  <si>
    <t>llanta</t>
  </si>
  <si>
    <t>FCTET13</t>
  </si>
  <si>
    <t>pastizal</t>
  </si>
  <si>
    <t>con postura</t>
  </si>
  <si>
    <t>punto inicial</t>
  </si>
  <si>
    <t>Punto de inicio</t>
  </si>
  <si>
    <t>potrero</t>
  </si>
  <si>
    <t>Plástico</t>
  </si>
  <si>
    <t>Plástico a ambos lados de la quebrada</t>
  </si>
  <si>
    <t>fin de transecto 1</t>
  </si>
  <si>
    <t>Hierbas</t>
  </si>
  <si>
    <t>Alambre de púas y calambre dulce</t>
  </si>
  <si>
    <t>plástico</t>
  </si>
  <si>
    <t>Alambre de púas</t>
  </si>
  <si>
    <t>Plástico dentro de la quebrara, lado izquierdo aguas arriba</t>
  </si>
  <si>
    <t>Fin del transecto</t>
  </si>
  <si>
    <t>Transecto 2</t>
  </si>
  <si>
    <t>herbácea</t>
  </si>
  <si>
    <t>FCTAT1</t>
  </si>
  <si>
    <t>álvaro Javier fierro</t>
  </si>
  <si>
    <t>hoja arbusto</t>
  </si>
  <si>
    <t>Dannythza Mona</t>
  </si>
  <si>
    <t>bromelias</t>
  </si>
  <si>
    <t>álvaro Javier</t>
  </si>
  <si>
    <t>palma</t>
  </si>
  <si>
    <t>herbácea Ciclantaceae</t>
  </si>
  <si>
    <t>araceae</t>
  </si>
  <si>
    <t>hierba</t>
  </si>
  <si>
    <t>sobre Ciclantsceae</t>
  </si>
  <si>
    <t>Musgo</t>
  </si>
  <si>
    <t>Amplexo</t>
  </si>
  <si>
    <t>Hojarasca</t>
  </si>
  <si>
    <t>sobre hierba</t>
  </si>
  <si>
    <t>punto final transecto</t>
  </si>
  <si>
    <t>bromelia</t>
  </si>
  <si>
    <t>punto de inicio</t>
  </si>
  <si>
    <t>punto inicial t2</t>
  </si>
  <si>
    <t>FCCBT3</t>
  </si>
  <si>
    <t>helecho</t>
  </si>
  <si>
    <t>Eider Montaño</t>
  </si>
  <si>
    <t>alvaro Javier</t>
  </si>
  <si>
    <t>macho juvenil. punto inicial</t>
  </si>
  <si>
    <t>Dannythza moná</t>
  </si>
  <si>
    <t>punto inicial t3 bosque Corea</t>
  </si>
  <si>
    <t>Alvaro Javier</t>
  </si>
  <si>
    <t>herbaceas</t>
  </si>
  <si>
    <t>tala selectiva en años anteriores</t>
  </si>
  <si>
    <t>punto inicial t4</t>
  </si>
  <si>
    <t>punto final t1</t>
  </si>
  <si>
    <t>PUNTO INICIAL</t>
  </si>
  <si>
    <t>PUNTO FINAL T1</t>
  </si>
  <si>
    <t>melastomatacea</t>
  </si>
  <si>
    <t>Álvaro javier</t>
  </si>
  <si>
    <t>PUNTO FINAL T3</t>
  </si>
  <si>
    <t>PUNTO INICIAL T2</t>
  </si>
  <si>
    <t>PUNTO FINAL T4</t>
  </si>
  <si>
    <t>PUNTO INICIAL T3</t>
  </si>
  <si>
    <t>Dannythza Moná</t>
  </si>
  <si>
    <t>juvenil</t>
  </si>
  <si>
    <t>PUNTO FINAL T2</t>
  </si>
  <si>
    <t>FCCDT13</t>
  </si>
  <si>
    <t>Avaro Javier</t>
  </si>
  <si>
    <t>PUNTO FINAL T5</t>
  </si>
  <si>
    <t>Alvari Javier</t>
  </si>
  <si>
    <t>transecto 1</t>
  </si>
  <si>
    <t>PUNTO UNICIAL T4</t>
  </si>
  <si>
    <t>PUNTO INICIAL T5</t>
  </si>
  <si>
    <t>Herbácea y arbusto</t>
  </si>
  <si>
    <t>alvaro Fierro</t>
  </si>
  <si>
    <t>Anturio</t>
  </si>
  <si>
    <t>pareja</t>
  </si>
  <si>
    <t>pf</t>
  </si>
  <si>
    <t>Herbácea Helecho</t>
  </si>
  <si>
    <t>suelo</t>
  </si>
  <si>
    <t>Hierba</t>
  </si>
  <si>
    <t>FCABT4</t>
  </si>
  <si>
    <t>Roca</t>
  </si>
  <si>
    <t>pi t4 Riqueza</t>
  </si>
  <si>
    <t>Vías</t>
  </si>
  <si>
    <t>pf T4 Riqueza</t>
  </si>
  <si>
    <t>punto inicial t3</t>
  </si>
  <si>
    <t>infraestructura</t>
  </si>
  <si>
    <t>Infraestructura</t>
  </si>
  <si>
    <t>roca</t>
  </si>
  <si>
    <t>deslizamientos</t>
  </si>
  <si>
    <t>tronco caído</t>
  </si>
  <si>
    <t>Deslizamiento</t>
  </si>
  <si>
    <t>T2 pi Riqueza</t>
  </si>
  <si>
    <t>punto final t2</t>
  </si>
  <si>
    <t>Pf T3 Riqueza</t>
  </si>
  <si>
    <t>FCAAT13</t>
  </si>
  <si>
    <t>H ierba</t>
  </si>
  <si>
    <t>Herbáceas</t>
  </si>
  <si>
    <t>hoja platanilla</t>
  </si>
  <si>
    <t>Desagüe</t>
  </si>
  <si>
    <t>pf T2 murrapal</t>
  </si>
  <si>
    <t>pi t1</t>
  </si>
  <si>
    <t>Hoja platanilla</t>
  </si>
  <si>
    <t>pi T3 murrapal Desague</t>
  </si>
  <si>
    <t>Desahue</t>
  </si>
  <si>
    <t>hoja platanillo</t>
  </si>
  <si>
    <t>Alvaro Fiero</t>
  </si>
  <si>
    <t>Hoja Araceae</t>
  </si>
  <si>
    <t>P.f T3 Murrapal</t>
  </si>
  <si>
    <t>FCAAT16</t>
  </si>
  <si>
    <t>Guillermo guerrero</t>
  </si>
  <si>
    <t>FCAAT17</t>
  </si>
  <si>
    <t>punto final t5</t>
  </si>
  <si>
    <t>herbacea</t>
  </si>
  <si>
    <t>Dannythza mona</t>
  </si>
  <si>
    <t>Gustavo Rodriguez
Dannythza Mona
Guillermo Guerrero
Alvaro Fierro</t>
  </si>
  <si>
    <t>punto inicial t5</t>
  </si>
  <si>
    <t>punto final t4</t>
  </si>
  <si>
    <t>pf T2 Zacarias y registro auditivo</t>
  </si>
  <si>
    <t>punto final T4 zacarias</t>
  </si>
  <si>
    <t>pi t4</t>
  </si>
  <si>
    <t>PI T2 Zacarias</t>
  </si>
  <si>
    <t>pf t1 zacarias</t>
  </si>
  <si>
    <t>pf T3 Zacarias</t>
  </si>
  <si>
    <t>Sobre Hoja</t>
  </si>
  <si>
    <t>oscar cuellar</t>
  </si>
  <si>
    <t>pi T3</t>
  </si>
  <si>
    <t>PI T4</t>
  </si>
  <si>
    <t>hierva</t>
  </si>
  <si>
    <t>pf T2 cruZ</t>
  </si>
  <si>
    <t>Soldado</t>
  </si>
  <si>
    <t>soldado</t>
  </si>
  <si>
    <t>dsc 0031 a 34</t>
  </si>
  <si>
    <t>pi t2 cruz</t>
  </si>
  <si>
    <t>pi T3 Cruz</t>
  </si>
  <si>
    <t>Kelly Perez</t>
  </si>
  <si>
    <t>PF t1 Cruz</t>
  </si>
  <si>
    <t>pi t1 la cruz</t>
  </si>
  <si>
    <t>pf t3 CruZ</t>
  </si>
  <si>
    <t>Estrato</t>
  </si>
  <si>
    <t>Tipo_registro</t>
  </si>
  <si>
    <t>Comentarios_evento</t>
  </si>
  <si>
    <t>Clima</t>
  </si>
  <si>
    <t>Inicio_X</t>
  </si>
  <si>
    <t>Inicio_Y</t>
  </si>
  <si>
    <t>Ini_pendiente</t>
  </si>
  <si>
    <t>Ini_cause</t>
  </si>
  <si>
    <t>Ini_dosel</t>
  </si>
  <si>
    <t>Fin_X</t>
  </si>
  <si>
    <t>Fin_Y</t>
  </si>
  <si>
    <t>Fin_pendiente</t>
  </si>
  <si>
    <t>Fin_cause</t>
  </si>
  <si>
    <t>Fin_dosel</t>
  </si>
  <si>
    <t>FCTET10</t>
  </si>
  <si>
    <t>Procesos de remoción en masa</t>
  </si>
  <si>
    <t>Árboles caídos</t>
  </si>
  <si>
    <t>despejado</t>
  </si>
  <si>
    <t>pisoteo vacas</t>
  </si>
  <si>
    <t>Nublado</t>
  </si>
  <si>
    <t>Herbaceo 0.3-1.5 m</t>
  </si>
  <si>
    <t>Sotobosque</t>
  </si>
  <si>
    <t>Observacion</t>
  </si>
  <si>
    <t>llovizna</t>
  </si>
  <si>
    <t>Macho</t>
  </si>
  <si>
    <t>Hembra</t>
  </si>
  <si>
    <t>Bosque ribereño</t>
  </si>
  <si>
    <t>Subarboreo 5-12 m</t>
  </si>
  <si>
    <t>remociones</t>
  </si>
  <si>
    <t>Rasante &lt;0.3 m</t>
  </si>
  <si>
    <t>Pisoteo ganado vacuno</t>
  </si>
  <si>
    <t>Residuos solidos</t>
  </si>
  <si>
    <t>Plástico sobre Quebrada</t>
  </si>
  <si>
    <t>Parcialmente nublado luna llena</t>
  </si>
  <si>
    <t>Einar Huetio</t>
  </si>
  <si>
    <t>despejado luna llena</t>
  </si>
  <si>
    <t>Joseph Lemos</t>
  </si>
  <si>
    <t>Epifita</t>
  </si>
  <si>
    <t>parcialmente nublado</t>
  </si>
  <si>
    <t>Parcialmente nublado</t>
  </si>
  <si>
    <t>FCCBT8</t>
  </si>
  <si>
    <t>nublado</t>
  </si>
  <si>
    <t>Andres Munoz</t>
  </si>
  <si>
    <t>FCCBT7</t>
  </si>
  <si>
    <t>FCCBT9</t>
  </si>
  <si>
    <t>FCCBT10</t>
  </si>
  <si>
    <t>Arbustivo 1.5-5 m</t>
  </si>
  <si>
    <t>Globo de Helio basura</t>
  </si>
  <si>
    <t>Despejado</t>
  </si>
  <si>
    <t>parcialmente nublado luna llena</t>
  </si>
  <si>
    <t>FCCDT12</t>
  </si>
  <si>
    <t>FCCDT11</t>
  </si>
  <si>
    <t>Yimmi Angulo</t>
  </si>
  <si>
    <t>Explotación de minerales</t>
  </si>
  <si>
    <t>Socavon inactivo</t>
  </si>
  <si>
    <t>Gustavo Rodríguez</t>
  </si>
  <si>
    <t>Nublado Nocturno</t>
  </si>
  <si>
    <t>Rodríguez</t>
  </si>
  <si>
    <t>Óscar Cuéllar</t>
  </si>
  <si>
    <t>Guzmán</t>
  </si>
  <si>
    <t>Cristian Castaño</t>
  </si>
  <si>
    <t>auditivo</t>
  </si>
  <si>
    <t>Dosel arboles</t>
  </si>
  <si>
    <t>botella plástica de aceite</t>
  </si>
  <si>
    <t>Foto 7090</t>
  </si>
  <si>
    <t>foto 7090</t>
  </si>
  <si>
    <t>Hernan Montoya</t>
  </si>
  <si>
    <t>Andrea Huesaquillo</t>
  </si>
  <si>
    <t>Rio</t>
  </si>
  <si>
    <t>Llovizna</t>
  </si>
  <si>
    <t>Deslizamiento - empalizada no dejo seguir</t>
  </si>
  <si>
    <t>Poca actividad</t>
  </si>
  <si>
    <t>Brisa fuerte</t>
  </si>
  <si>
    <t>Brisa suave</t>
  </si>
  <si>
    <t>Luna llena</t>
  </si>
  <si>
    <t>FCMDT21</t>
  </si>
  <si>
    <t>Brisa luna llena</t>
  </si>
  <si>
    <t>Muestreo Diurno</t>
  </si>
  <si>
    <t>FCTCT8</t>
  </si>
  <si>
    <t>Procesos de remoción en masa - Residuos solidos</t>
  </si>
  <si>
    <t>llovizna fuerte</t>
  </si>
  <si>
    <t>FCTCT9</t>
  </si>
  <si>
    <t>muestreo Diurno, llovizna</t>
  </si>
  <si>
    <t>Muestreo Diurno, actividad nula</t>
  </si>
  <si>
    <t>Deforestación</t>
  </si>
  <si>
    <t>Limpieza de potrero y apertura de vía al lado de quebrada</t>
  </si>
  <si>
    <t>Danny Mora</t>
  </si>
  <si>
    <t>Revisar foto 7116</t>
  </si>
  <si>
    <t>FCMDT22</t>
  </si>
  <si>
    <t>mucho árbol caído sin generación de remoción en masa</t>
  </si>
  <si>
    <t>Árbol grande caído</t>
  </si>
  <si>
    <t>Poca actividad despues de lluvia fuerte</t>
  </si>
  <si>
    <t>no actividad</t>
  </si>
  <si>
    <t>remoción reciente</t>
  </si>
  <si>
    <t>quebrada luna llena</t>
  </si>
  <si>
    <t>Truenos</t>
  </si>
  <si>
    <t>Luis Mamian</t>
  </si>
  <si>
    <t>Hojas y/o Ramas</t>
  </si>
  <si>
    <t>WCS</t>
  </si>
  <si>
    <t>Gustavo González</t>
  </si>
  <si>
    <t>Tormenta</t>
  </si>
  <si>
    <t>Univalle</t>
  </si>
  <si>
    <t>Diana Murillo</t>
  </si>
  <si>
    <t>Andrea Guazaquillo</t>
  </si>
  <si>
    <t>Cantando</t>
  </si>
  <si>
    <t>Pastizal</t>
  </si>
  <si>
    <t>Cerca a un nacimiento</t>
  </si>
  <si>
    <t>Remoción con árboles</t>
  </si>
  <si>
    <t>Cantando a borde de quebrada</t>
  </si>
  <si>
    <t>Luna menguante</t>
  </si>
  <si>
    <t>Sobre hoja de helecho</t>
  </si>
  <si>
    <t>Arbol</t>
  </si>
  <si>
    <t>A borde de quebrada</t>
  </si>
  <si>
    <t>Sobre quebrada</t>
  </si>
  <si>
    <t>Remoción de troncos a borde de quebrada</t>
  </si>
  <si>
    <t>Perchado sobre helecho</t>
  </si>
  <si>
    <t>Muestreo nocturno</t>
  </si>
  <si>
    <t>Jhonatan Vanegas</t>
  </si>
  <si>
    <t>FCAET20</t>
  </si>
  <si>
    <t>Jennifer chavez</t>
  </si>
  <si>
    <t>Transecto alterno</t>
  </si>
  <si>
    <t>Apoyo externo</t>
  </si>
  <si>
    <t/>
  </si>
  <si>
    <t>Leonardo Belalcazar</t>
  </si>
  <si>
    <t>Óscar Cuellar</t>
  </si>
  <si>
    <t>Otro</t>
  </si>
  <si>
    <t>Sebastian Ovalle</t>
  </si>
  <si>
    <t>FCAFT29</t>
  </si>
  <si>
    <t>Bajo troncos o piedras</t>
  </si>
  <si>
    <t>Ricardo Ocampo</t>
  </si>
  <si>
    <t>Sebastian ovalle</t>
  </si>
  <si>
    <t>FCAFT30</t>
  </si>
  <si>
    <t>Estanques y lagunas</t>
  </si>
  <si>
    <t>FCADT19</t>
  </si>
  <si>
    <t>FCAFT27</t>
  </si>
  <si>
    <t>Aéreo</t>
  </si>
  <si>
    <t>FCAET25</t>
  </si>
  <si>
    <t>FCAFT26</t>
  </si>
  <si>
    <t>Captaciones de agua no reguladas</t>
  </si>
  <si>
    <t>Suma de NumeroIndividuos</t>
  </si>
  <si>
    <t>Taxon</t>
  </si>
  <si>
    <t>Av. dissim</t>
  </si>
  <si>
    <t>Contrib. %</t>
  </si>
  <si>
    <t>Cumulative %</t>
  </si>
  <si>
    <t>Mean Corea</t>
  </si>
  <si>
    <t>Mean Minas</t>
  </si>
  <si>
    <t>Mean Tokio</t>
  </si>
  <si>
    <t>Mean Anchicayá</t>
  </si>
  <si>
    <t>Mean 2017</t>
  </si>
  <si>
    <t>Mean 2018</t>
  </si>
  <si>
    <t>Mean 2019</t>
  </si>
  <si>
    <t>Mean 2020</t>
  </si>
  <si>
    <t>Mean 2021</t>
  </si>
  <si>
    <t>Mean 2022</t>
  </si>
  <si>
    <t>Mean 2023</t>
  </si>
  <si>
    <t>Two-way PERMANOVA</t>
  </si>
  <si>
    <t>Permutation N:</t>
  </si>
  <si>
    <t>Source</t>
  </si>
  <si>
    <t>Sum of sqrs</t>
  </si>
  <si>
    <t>df</t>
  </si>
  <si>
    <t>Mean square</t>
  </si>
  <si>
    <t>F</t>
  </si>
  <si>
    <t>p</t>
  </si>
  <si>
    <t>Interaction</t>
  </si>
  <si>
    <t>Residual</t>
  </si>
  <si>
    <t>Total</t>
  </si>
  <si>
    <t>Variable</t>
  </si>
  <si>
    <t>Comentario SMART</t>
  </si>
  <si>
    <t>Mantener</t>
  </si>
  <si>
    <t>Comentario</t>
  </si>
  <si>
    <t>Ajustar de acuerdo a las unidades de muestreo</t>
  </si>
  <si>
    <t>Si no se puede incluir el transecto como dice en comentario, mantener</t>
  </si>
  <si>
    <t>Ver si se puede anidar dentro de la unidad de muestreo como T1, T2, T3.. e incluirlo dentro del mapa base para poder ubicarse</t>
  </si>
  <si>
    <t>Se toma automaticamente</t>
  </si>
  <si>
    <t>No se nesecita si se incluye el año</t>
  </si>
  <si>
    <t>No</t>
  </si>
  <si>
    <t>Mantener las categorias</t>
  </si>
  <si>
    <t>Mantener un único valor</t>
  </si>
  <si>
    <t>Se elimina</t>
  </si>
  <si>
    <t>Se mantiene, eliminar aereo de las opciones</t>
  </si>
  <si>
    <t>Cambiar a presencia de cuerpos de agua y luego escoger tipo de sistema: humedal, rio, quebrada,laguna</t>
  </si>
  <si>
    <t>Se mantiene</t>
  </si>
  <si>
    <t>Eliminar</t>
  </si>
  <si>
    <t>Mantener e incluir vetimientos y plantas invasoras</t>
  </si>
  <si>
    <t>Sexo</t>
  </si>
  <si>
    <t>Incluir: Macho, Hembra, Indeterminado</t>
  </si>
  <si>
    <t>Mantener y ajustar opciones: lista</t>
  </si>
  <si>
    <t>Se pudo realizar el transecto?</t>
  </si>
  <si>
    <t>Si, completamente, Si, parcialmente, No se pudo realizar</t>
  </si>
  <si>
    <t>Nueva pregunta, debe ser obligatoria y asociada a cada uno de los transectos que se tienen</t>
  </si>
  <si>
    <t>No o dejarlo si puede ser automático que salga como columna</t>
  </si>
  <si>
    <t>Mantener al final de cada transecto como una sola columna</t>
  </si>
  <si>
    <t>Se mantiene, incluir no identificada y ver si se puede incluir y una pregunta asociada de foto para poder identificar</t>
  </si>
  <si>
    <t xml:space="preserve">se cambio por numero de observadores </t>
  </si>
  <si>
    <t>(Varios elementos)</t>
  </si>
  <si>
    <t>-</t>
  </si>
  <si>
    <t>Tala</t>
  </si>
  <si>
    <t>Ganaderia</t>
  </si>
  <si>
    <t>deteccion</t>
  </si>
  <si>
    <t>ocupacion</t>
  </si>
  <si>
    <t>hora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</si>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</sst>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yy;@"/>
    <numFmt numFmtId="165" formatCode="[$-F400]h:mm:ss\ AM/PM"/>
    <numFmt numFmtId="166" formatCode="d/mm/yyyy;@"/>
    <numFmt numFmtId="167" formatCode="0.000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pivotButton="1"/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center"/>
    </xf>
    <xf numFmtId="0" fontId="2" fillId="3" borderId="0" xfId="0" applyFont="1" applyFill="1" applyAlignment="1">
      <alignment horizontal="center"/>
    </xf>
    <xf numFmtId="166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applyAlignment="1">
      <alignment horizontal="left"/>
    </xf>
    <xf numFmtId="0" fontId="1" fillId="2" borderId="0" xfId="0" applyFont="1" applyFill="1"/>
    <xf numFmtId="0" fontId="3" fillId="0" borderId="0" xfId="0" applyFont="1" applyAlignment="1">
      <alignment horizontal="left"/>
    </xf>
    <xf numFmtId="164" fontId="3" fillId="0" borderId="0" xfId="0" applyNumberFormat="1" applyFont="1" applyAlignment="1">
      <alignment horizontal="left"/>
    </xf>
    <xf numFmtId="0" fontId="3" fillId="3" borderId="0" xfId="0" applyFont="1" applyFill="1" applyAlignment="1">
      <alignment horizontal="left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2" borderId="1" xfId="0" applyFont="1" applyFill="1" applyBorder="1"/>
    <xf numFmtId="0" fontId="0" fillId="4" borderId="0" xfId="0" applyFill="1"/>
    <xf numFmtId="1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Valenzuela" refreshedDate="45509.663487500002" createdVersion="8" refreshedVersion="8" minRefreshableVersion="3" recordCount="1140" xr:uid="{97DC35C9-3ABB-4E18-B378-F7D5651FC6D8}">
  <cacheSource type="worksheet">
    <worksheetSource ref="A1:AR1048576" sheet="BD2017-2023"/>
  </cacheSource>
  <cacheFields count="44">
    <cacheField name="Año" numFmtId="0">
      <sharedItems containsString="0" containsBlank="1" containsNumber="1" containsInteger="1" minValue="2017" maxValue="2023" count="8">
        <n v="2017"/>
        <n v="2018"/>
        <n v="2019"/>
        <n v="2020"/>
        <n v="2021"/>
        <n v="2022"/>
        <n v="2023"/>
        <m/>
      </sharedItems>
    </cacheField>
    <cacheField name="Sector" numFmtId="0">
      <sharedItems containsBlank="1" count="5">
        <s v="Minas"/>
        <s v="Tokio"/>
        <s v="Corea"/>
        <s v="Anchicayá"/>
        <m/>
      </sharedItems>
    </cacheField>
    <cacheField name="Unidad_Muestreo" numFmtId="0">
      <sharedItems containsBlank="1" count="24">
        <s v="ElFeo"/>
        <s v="LaCruz"/>
        <s v="Zacarias_1"/>
        <s v="Zacarias_2"/>
        <s v="Lagunas"/>
        <s v="CaminoAntenas"/>
        <s v="Antenas"/>
        <s v="QdaFrenteTokio_ParteBaja"/>
        <s v="CaminoVillacarmelo_1"/>
        <s v="Cominal"/>
        <s v="AntesCorea"/>
        <s v="CaminoCorea"/>
        <s v="Riqueza"/>
        <s v="RepresaAlto"/>
        <s v="Murrapal"/>
        <s v="MurrapalRepresa"/>
        <s v="LaLoca"/>
        <s v="Kioto"/>
        <s v="QdaFrenteTokio_ParteAlta"/>
        <s v="CaminoVillacarmelo_2"/>
        <s v="Carretera_1"/>
        <s v="CarreteraQdas"/>
        <s v="Carretera_2"/>
        <m/>
      </sharedItems>
    </cacheField>
    <cacheField name="Transecto" numFmtId="0">
      <sharedItems containsBlank="1"/>
    </cacheField>
    <cacheField name="Repeticion" numFmtId="0">
      <sharedItems containsBlank="1" count="8">
        <s v="rep1"/>
        <s v="rep2"/>
        <s v="rep3"/>
        <s v="rep4"/>
        <s v="rep5"/>
        <s v="rep8"/>
        <s v="rep7"/>
        <m/>
      </sharedItems>
    </cacheField>
    <cacheField name="Fecha" numFmtId="0">
      <sharedItems containsNonDate="0" containsDate="1" containsString="0" containsBlank="1" minDate="2017-09-19T00:00:00" maxDate="2023-11-25T00:00:00"/>
    </cacheField>
    <cacheField name="Hora" numFmtId="0">
      <sharedItems containsNonDate="0" containsDate="1" containsString="0" containsBlank="1" minDate="1899-12-30T00:00:00" maxDate="1899-12-30T23:58:00"/>
    </cacheField>
    <cacheField name="X" numFmtId="0">
      <sharedItems containsString="0" containsBlank="1" containsNumber="1" minValue="-76.893038965661205" maxValue="-76.639403329999993"/>
    </cacheField>
    <cacheField name="Y" numFmtId="0">
      <sharedItems containsString="0" containsBlank="1" containsNumber="1" minValue="3.3474444444444451" maxValue="3.59808251073534"/>
    </cacheField>
    <cacheField name="Temporada" numFmtId="0">
      <sharedItems containsString="0" containsBlank="1" containsNumber="1" containsInteger="1" minValue="1" maxValue="8"/>
    </cacheField>
    <cacheField name="Lado" numFmtId="0">
      <sharedItems containsBlank="1"/>
    </cacheField>
    <cacheField name="Colector" numFmtId="0">
      <sharedItems containsBlank="1"/>
    </cacheField>
    <cacheField name="Altitud" numFmtId="0">
      <sharedItems containsString="0" containsBlank="1" containsNumber="1" containsInteger="1" minValue="1" maxValue="3990"/>
    </cacheField>
    <cacheField name="Bosque" numFmtId="0">
      <sharedItems containsBlank="1" containsMixedTypes="1" containsNumber="1" containsInteger="1" minValue="0" maxValue="1"/>
    </cacheField>
    <cacheField name="Quebrada" numFmtId="0">
      <sharedItems containsBlank="1" containsMixedTypes="1" containsNumber="1" containsInteger="1" minValue="0" maxValue="1"/>
    </cacheField>
    <cacheField name="Altura de dosel" numFmtId="0">
      <sharedItems containsBlank="1" containsMixedTypes="1" containsNumber="1" minValue="0.3" maxValue="40"/>
    </cacheField>
    <cacheField name="Ancho de quebrada" numFmtId="0">
      <sharedItems containsBlank="1" containsMixedTypes="1" containsNumber="1" minValue="0" maxValue="7"/>
    </cacheField>
    <cacheField name="Pendiente" numFmtId="0">
      <sharedItems containsBlank="1" containsMixedTypes="1" containsNumber="1" minValue="0" maxValue="90"/>
    </cacheField>
    <cacheField name="Sustrato" numFmtId="0">
      <sharedItems containsBlank="1"/>
    </cacheField>
    <cacheField name="Cobertura Vegetal" numFmtId="0">
      <sharedItems containsBlank="1"/>
    </cacheField>
    <cacheField name="Observaciones" numFmtId="0">
      <sharedItems containsBlank="1"/>
    </cacheField>
    <cacheField name="Especie" numFmtId="0">
      <sharedItems containsBlank="1" count="58">
        <s v="Sin Observación"/>
        <s v="Pristimantis aff kelephus"/>
        <s v="Pristimantis aff leptolophus"/>
        <s v="Pristimantis palmeri"/>
        <s v="Hypodactylus mantipus"/>
        <s v="Pristimantis molybrignus"/>
        <s v="Bolitoglossa walkeri"/>
        <s v="Centrolene savagei"/>
        <s v="Pristimantis acatallelus"/>
        <s v="Pristimantis brevifrons"/>
        <s v="Pristimantis capitonis"/>
        <s v="Hyloscirtus larinopygion"/>
        <s v="Pristimantis calcaratus"/>
        <s v="Pristimantis buckleyi"/>
        <s v="Oophaga lehmanni"/>
        <s v="Craugastor raniformis"/>
        <s v="Pristimantis myops"/>
        <s v="Pristimantis aff quimbaya"/>
        <s v="Pristimantis erythropleura"/>
        <s v="Pristimantis gracilis"/>
        <s v="Rhinella horribilis"/>
        <s v="Hyalinobatrachium aureoguttatum"/>
        <s v="Pristimantis aff duende"/>
        <s v="Centrolene buckleyi"/>
        <s v="Pristimantis jubatus"/>
        <s v="Pristimantis thectopternus"/>
        <s v="Agalychnis spurrelli"/>
        <s v="Boana boans"/>
        <s v="Smilisca phaeota"/>
        <s v="Rhaebo haematiticus"/>
        <s v="Hyloscirtus palmeri"/>
        <s v="Espadarana prosoblepon"/>
        <s v="Pristimantis phalarus"/>
        <s v="Pristimantis juanchoi"/>
        <s v="Pristimantis alius"/>
        <s v="Pristimantis silverstonei"/>
        <s v="Pristimantis boulengeri"/>
        <s v="Pristimantis achatinus"/>
        <s v="Boana rosengbergi"/>
        <s v="Bolitoglossa biseriata"/>
        <s v="Dendropsophus columbianus"/>
        <s v="Colomascyrtus larinopygion"/>
        <s v="Pristimantis myersi"/>
        <s v="Pristimantis platychilus"/>
        <s v="Centrolene robledoi"/>
        <s v="Pristimantis afrox"/>
        <s v="Pristimantis latidiscus"/>
        <s v="Boana picturata"/>
        <s v="Pristimantis labiosus"/>
        <s v="Craugastor longirostris"/>
        <s v="Sachatamia ilex"/>
        <m/>
        <s v="Pristimantis sp nov aff myops" u="1"/>
        <s v="Pristimantis aff acatallelus" u="1"/>
        <s v="Oophaga lehamnni" u="1"/>
        <s v="Pristimantis aff calcaratus" u="1"/>
        <s v="Pristimantis allius" u="1"/>
        <s v="Smillisca phaeota" u="1"/>
      </sharedItems>
    </cacheField>
    <cacheField name="Amenaza" numFmtId="0">
      <sharedItems containsBlank="1"/>
    </cacheField>
    <cacheField name="NumeroIndividuos" numFmtId="0">
      <sharedItems containsString="0" containsBlank="1" containsNumber="1" containsInteger="1" minValue="0" maxValue="8"/>
    </cacheField>
    <cacheField name="Humedad Sustrato" numFmtId="0">
      <sharedItems containsString="0" containsBlank="1" containsNumber="1" containsInteger="1" minValue="75" maxValue="99"/>
    </cacheField>
    <cacheField name="Temperatura Sustrato" numFmtId="0">
      <sharedItems containsString="0" containsBlank="1" containsNumber="1" minValue="16.100000000000001" maxValue="25.5"/>
    </cacheField>
    <cacheField name="Presiones" numFmtId="0">
      <sharedItems containsBlank="1"/>
    </cacheField>
    <cacheField name="OtrasEspecies" numFmtId="0">
      <sharedItems containsNonDate="0" containsString="0" containsBlank="1"/>
    </cacheField>
    <cacheField name="OtrasPresiones" numFmtId="0">
      <sharedItems containsBlank="1"/>
    </cacheField>
    <cacheField name="Comentarios_evento" numFmtId="0">
      <sharedItems containsBlank="1"/>
    </cacheField>
    <cacheField name="Clima" numFmtId="0">
      <sharedItems containsBlank="1"/>
    </cacheField>
    <cacheField name="Inicio_X" numFmtId="0">
      <sharedItems containsString="0" containsBlank="1" containsNumber="1" minValue="-76.892827659999995" maxValue="-76.638900000000007"/>
    </cacheField>
    <cacheField name="Inicio_Y" numFmtId="0">
      <sharedItems containsString="0" containsBlank="1" containsNumber="1" minValue="3.3489433329999998" maxValue="3.5979999999999999"/>
    </cacheField>
    <cacheField name="Ini_pendiente" numFmtId="0">
      <sharedItems containsString="0" containsBlank="1" containsNumber="1" containsInteger="1" minValue="5" maxValue="90"/>
    </cacheField>
    <cacheField name="Ini_cause" numFmtId="0">
      <sharedItems containsString="0" containsBlank="1" containsNumber="1" minValue="0" maxValue="6"/>
    </cacheField>
    <cacheField name="Ini_dosel" numFmtId="0">
      <sharedItems containsString="0" containsBlank="1" containsNumber="1" minValue="1.8" maxValue="40"/>
    </cacheField>
    <cacheField name="Fin_X" numFmtId="0">
      <sharedItems containsString="0" containsBlank="1" containsNumber="1" minValue="-76.880803330000006" maxValue="-76.640204999999995"/>
    </cacheField>
    <cacheField name="Fin_Y" numFmtId="0">
      <sharedItems containsString="0" containsBlank="1" containsNumber="1" minValue="3.3481666670000001" maxValue="3.57965"/>
    </cacheField>
    <cacheField name="Fin_pendiente" numFmtId="0">
      <sharedItems containsString="0" containsBlank="1" containsNumber="1" containsInteger="1" minValue="5" maxValue="90"/>
    </cacheField>
    <cacheField name="Fin_cause" numFmtId="0">
      <sharedItems containsString="0" containsBlank="1" containsNumber="1" minValue="0" maxValue="3.5"/>
    </cacheField>
    <cacheField name="Fin_dosel" numFmtId="0">
      <sharedItems containsString="0" containsBlank="1" containsNumber="1" containsInteger="1" minValue="3" maxValue="40"/>
    </cacheField>
    <cacheField name="Estrato" numFmtId="0">
      <sharedItems containsBlank="1"/>
    </cacheField>
    <cacheField name="Tipo_registro" numFmtId="0">
      <sharedItems containsBlank="1"/>
    </cacheField>
    <cacheField name="Apoyo externo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40">
  <r>
    <x v="0"/>
    <x v="0"/>
    <x v="0"/>
    <s v="FCMBT9"/>
    <x v="0"/>
    <d v="2017-09-19T00:00:00"/>
    <d v="1899-12-30T09:12:00"/>
    <n v="-76.688502777777785"/>
    <n v="3.4086722222222221"/>
    <n v="1"/>
    <s v="Izquierdo"/>
    <s v="Gustavo Rodriguez"/>
    <n v="3410"/>
    <s v=" "/>
    <b v="1"/>
    <n v="5"/>
    <n v="2"/>
    <n v="30"/>
    <m/>
    <m/>
    <s v="Bolsa plastica"/>
    <x v="0"/>
    <s v="Residuos sólidos"/>
    <n v="0"/>
    <m/>
    <m/>
    <s v="Ninguna"/>
    <m/>
    <m/>
    <m/>
    <m/>
    <m/>
    <m/>
    <m/>
    <m/>
    <m/>
    <m/>
    <m/>
    <m/>
    <m/>
    <m/>
    <m/>
    <m/>
    <m/>
  </r>
  <r>
    <x v="0"/>
    <x v="0"/>
    <x v="0"/>
    <s v="FCMBT9"/>
    <x v="0"/>
    <d v="2017-09-19T00:00:00"/>
    <d v="1899-12-30T09:36:00"/>
    <n v="-76.688802777777781"/>
    <n v="3.409130555555556"/>
    <n v="1"/>
    <s v="Izquierdo"/>
    <s v="Gustavo Rodriguez"/>
    <n v="3389"/>
    <s v=" "/>
    <b v="1"/>
    <n v="3"/>
    <n v="1.3"/>
    <n v="35"/>
    <m/>
    <m/>
    <m/>
    <x v="0"/>
    <s v="Socavón"/>
    <n v="0"/>
    <m/>
    <m/>
    <s v="Ninguna"/>
    <m/>
    <m/>
    <m/>
    <m/>
    <m/>
    <m/>
    <m/>
    <m/>
    <m/>
    <m/>
    <m/>
    <m/>
    <m/>
    <m/>
    <m/>
    <m/>
    <m/>
  </r>
  <r>
    <x v="0"/>
    <x v="0"/>
    <x v="0"/>
    <s v="FCMBT9"/>
    <x v="0"/>
    <d v="2017-09-19T00:00:00"/>
    <d v="1899-12-30T09:14:00"/>
    <n v="-76.688336111111099"/>
    <n v="3.4086722222222221"/>
    <n v="1"/>
    <s v="Derecho"/>
    <s v="Alvaro Fierro"/>
    <n v="3410"/>
    <s v=" "/>
    <b v="1"/>
    <n v="5"/>
    <n v="2"/>
    <n v="30"/>
    <m/>
    <m/>
    <m/>
    <x v="0"/>
    <s v="Residuos sólidos"/>
    <n v="0"/>
    <m/>
    <m/>
    <s v="Ninguna"/>
    <m/>
    <m/>
    <m/>
    <m/>
    <m/>
    <m/>
    <m/>
    <m/>
    <m/>
    <m/>
    <m/>
    <m/>
    <m/>
    <m/>
    <m/>
    <m/>
    <m/>
  </r>
  <r>
    <x v="0"/>
    <x v="0"/>
    <x v="0"/>
    <s v="FCMBT9"/>
    <x v="0"/>
    <d v="2017-09-19T00:00:00"/>
    <d v="1899-12-30T09:41:00"/>
    <n v="-76.688600000000008"/>
    <n v="3.4091916666666671"/>
    <n v="1"/>
    <s v="Derecho"/>
    <s v="Alvaro Fierro"/>
    <n v="3391"/>
    <s v=" "/>
    <b v="1"/>
    <n v="5"/>
    <n v="0.8"/>
    <n v="60"/>
    <m/>
    <m/>
    <s v="Bolsa plastica"/>
    <x v="0"/>
    <s v="Residuos sólidos"/>
    <n v="0"/>
    <m/>
    <m/>
    <s v="Ninguna"/>
    <m/>
    <m/>
    <m/>
    <m/>
    <m/>
    <m/>
    <m/>
    <m/>
    <m/>
    <m/>
    <m/>
    <m/>
    <m/>
    <m/>
    <m/>
    <m/>
    <m/>
  </r>
  <r>
    <x v="0"/>
    <x v="0"/>
    <x v="0"/>
    <s v="FCMBT10"/>
    <x v="1"/>
    <d v="2017-09-19T00:00:00"/>
    <d v="1899-12-30T10:14:00"/>
    <n v="-76.688336111111113"/>
    <n v="3.409880555555556"/>
    <n v="1"/>
    <s v="Derecho"/>
    <s v="Alvaro Fierro"/>
    <n v="3367"/>
    <s v=" "/>
    <b v="1"/>
    <n v="6"/>
    <n v="1.3"/>
    <n v="5"/>
    <m/>
    <m/>
    <m/>
    <x v="0"/>
    <s v="Socavón"/>
    <n v="0"/>
    <m/>
    <m/>
    <s v="Ninguna"/>
    <m/>
    <m/>
    <m/>
    <m/>
    <m/>
    <m/>
    <m/>
    <m/>
    <m/>
    <m/>
    <m/>
    <m/>
    <m/>
    <m/>
    <m/>
    <m/>
    <m/>
  </r>
  <r>
    <x v="0"/>
    <x v="0"/>
    <x v="0"/>
    <s v="FCMBT10"/>
    <x v="1"/>
    <d v="2017-09-19T00:00:00"/>
    <d v="1899-12-30T10:31:00"/>
    <n v="-76.688472222222231"/>
    <n v="3.4099861111111109"/>
    <n v="1"/>
    <s v="Derecho"/>
    <s v="Alvaro Fierro"/>
    <n v="3355"/>
    <s v=" "/>
    <b v="1"/>
    <n v="8"/>
    <n v="1.1000000000000001"/>
    <n v="15"/>
    <m/>
    <m/>
    <s v="Bolsa plastica. lata de atún"/>
    <x v="0"/>
    <s v="Residuos sólidos"/>
    <n v="0"/>
    <m/>
    <m/>
    <s v="Ninguna"/>
    <m/>
    <m/>
    <m/>
    <m/>
    <m/>
    <m/>
    <m/>
    <m/>
    <m/>
    <m/>
    <m/>
    <m/>
    <m/>
    <m/>
    <m/>
    <m/>
    <m/>
  </r>
  <r>
    <x v="0"/>
    <x v="0"/>
    <x v="0"/>
    <s v="FCMBT10"/>
    <x v="1"/>
    <d v="2017-09-19T00:00:00"/>
    <d v="1899-12-30T10:40:00"/>
    <n v="-76.688394444444455"/>
    <n v="3.410563888888889"/>
    <n v="1"/>
    <s v="Derecho"/>
    <s v="Alvaro Fierro"/>
    <n v="3354"/>
    <s v=" "/>
    <b v="1"/>
    <n v="6"/>
    <n v="1"/>
    <n v="7"/>
    <m/>
    <m/>
    <s v="Bolsa de agua"/>
    <x v="0"/>
    <s v="Residuos sólidos"/>
    <n v="0"/>
    <m/>
    <m/>
    <s v="Ninguna"/>
    <m/>
    <m/>
    <m/>
    <m/>
    <m/>
    <m/>
    <m/>
    <m/>
    <m/>
    <m/>
    <m/>
    <m/>
    <m/>
    <m/>
    <m/>
    <m/>
    <m/>
  </r>
  <r>
    <x v="0"/>
    <x v="0"/>
    <x v="0"/>
    <s v="FCMBT10"/>
    <x v="1"/>
    <d v="2017-09-19T00:00:00"/>
    <d v="1899-12-30T10:48:00"/>
    <n v="-76.688547222222226"/>
    <n v="3.410566666666667"/>
    <n v="1"/>
    <s v="Izquierdo"/>
    <s v="Gustavo Rodriguez"/>
    <n v="3352"/>
    <s v=" "/>
    <b v="1"/>
    <n v="5"/>
    <n v="1.3"/>
    <n v="12"/>
    <m/>
    <m/>
    <s v="Bolsa. lata. bolsa de yogurt"/>
    <x v="0"/>
    <s v="Residuos sólidos"/>
    <n v="0"/>
    <m/>
    <m/>
    <s v="Ninguna"/>
    <m/>
    <m/>
    <m/>
    <m/>
    <m/>
    <m/>
    <m/>
    <m/>
    <m/>
    <m/>
    <m/>
    <m/>
    <m/>
    <m/>
    <m/>
    <m/>
    <m/>
  </r>
  <r>
    <x v="0"/>
    <x v="0"/>
    <x v="0"/>
    <s v="FCMBT10"/>
    <x v="1"/>
    <d v="2017-09-19T00:00:00"/>
    <d v="1899-12-30T10:54:00"/>
    <n v="-76.688541666666666"/>
    <n v="3.410563888888889"/>
    <n v="1"/>
    <s v="Izquierdo"/>
    <s v="Gustavo Rodriguez"/>
    <n v="3356"/>
    <s v=" "/>
    <b v="1"/>
    <n v="4"/>
    <n v="1"/>
    <n v="10"/>
    <m/>
    <m/>
    <s v="Bolsa plastica"/>
    <x v="0"/>
    <s v="Residuos sólidos"/>
    <n v="0"/>
    <m/>
    <m/>
    <s v="Ninguna"/>
    <m/>
    <m/>
    <m/>
    <m/>
    <m/>
    <m/>
    <m/>
    <m/>
    <m/>
    <m/>
    <m/>
    <m/>
    <m/>
    <m/>
    <m/>
    <m/>
    <m/>
  </r>
  <r>
    <x v="0"/>
    <x v="0"/>
    <x v="0"/>
    <s v="FCMBT11"/>
    <x v="2"/>
    <d v="2017-09-19T00:00:00"/>
    <d v="1899-12-30T11:30:00"/>
    <n v="-76.689163888888899"/>
    <n v="3.4109472222222221"/>
    <n v="1"/>
    <s v="Derecho"/>
    <s v="Alvaro Fierro"/>
    <n v="3313"/>
    <s v=" "/>
    <b v="1"/>
    <n v="3"/>
    <m/>
    <n v="25"/>
    <m/>
    <m/>
    <s v="Tarro plastico."/>
    <x v="0"/>
    <s v="Residuos sólidos"/>
    <n v="0"/>
    <m/>
    <m/>
    <s v="Ninguna"/>
    <m/>
    <m/>
    <m/>
    <m/>
    <m/>
    <m/>
    <m/>
    <m/>
    <m/>
    <m/>
    <m/>
    <m/>
    <m/>
    <m/>
    <m/>
    <m/>
    <m/>
  </r>
  <r>
    <x v="0"/>
    <x v="0"/>
    <x v="0"/>
    <s v="FCMBT11"/>
    <x v="2"/>
    <d v="2017-09-19T00:00:00"/>
    <d v="1899-12-30T11:49:00"/>
    <n v="-76.689147222222232"/>
    <n v="3.4113833333333332"/>
    <n v="1"/>
    <s v="Derecho"/>
    <s v="Alvaro Fierro"/>
    <n v="3314"/>
    <s v=" "/>
    <b v="1"/>
    <n v="6"/>
    <m/>
    <n v="30"/>
    <m/>
    <m/>
    <s v="Llantas. tarro. manguera"/>
    <x v="0"/>
    <s v="Residuos sólidos"/>
    <n v="0"/>
    <m/>
    <m/>
    <s v="Ninguna"/>
    <m/>
    <m/>
    <m/>
    <m/>
    <m/>
    <m/>
    <m/>
    <m/>
    <m/>
    <m/>
    <m/>
    <m/>
    <m/>
    <m/>
    <m/>
    <m/>
    <m/>
  </r>
  <r>
    <x v="0"/>
    <x v="0"/>
    <x v="0"/>
    <s v="FCMBT11"/>
    <x v="2"/>
    <d v="2017-09-19T00:00:00"/>
    <d v="1899-12-30T11:40:00"/>
    <n v="-76.689163888888899"/>
    <n v="3.4109472222222221"/>
    <n v="1"/>
    <s v="Izquierdo"/>
    <s v="Gustavo Rodriguez"/>
    <n v="3312"/>
    <s v=" "/>
    <b v="1"/>
    <n v="6"/>
    <m/>
    <n v="20"/>
    <m/>
    <m/>
    <s v="Manguera"/>
    <x v="0"/>
    <s v="Residuos sólidos"/>
    <n v="0"/>
    <m/>
    <m/>
    <s v="Ninguna"/>
    <m/>
    <m/>
    <m/>
    <m/>
    <m/>
    <m/>
    <m/>
    <m/>
    <m/>
    <m/>
    <m/>
    <m/>
    <m/>
    <m/>
    <m/>
    <m/>
    <m/>
  </r>
  <r>
    <x v="0"/>
    <x v="0"/>
    <x v="0"/>
    <s v="FCMBT11"/>
    <x v="2"/>
    <d v="2017-09-19T00:00:00"/>
    <d v="1899-12-30T12:00:00"/>
    <n v="-76.689111111111117"/>
    <n v="3.4113027777777778"/>
    <n v="1"/>
    <s v="Izquierdo"/>
    <s v="Gustavo Rodriguez"/>
    <n v="3315"/>
    <s v=" "/>
    <b v="1"/>
    <n v="7"/>
    <m/>
    <n v="10"/>
    <m/>
    <m/>
    <s v="Manguera"/>
    <x v="0"/>
    <s v="Residuos sólidos"/>
    <n v="0"/>
    <m/>
    <m/>
    <s v="Ninguna"/>
    <m/>
    <m/>
    <m/>
    <m/>
    <m/>
    <m/>
    <m/>
    <m/>
    <m/>
    <m/>
    <m/>
    <m/>
    <m/>
    <m/>
    <m/>
    <m/>
    <m/>
  </r>
  <r>
    <x v="0"/>
    <x v="0"/>
    <x v="0"/>
    <s v="FCMBT11"/>
    <x v="2"/>
    <d v="2017-09-19T00:00:00"/>
    <m/>
    <n v="-76.689163888888899"/>
    <n v="3.411661111111111"/>
    <n v="1"/>
    <s v="Izquierdo"/>
    <m/>
    <n v="3314"/>
    <s v=" "/>
    <b v="1"/>
    <n v="4"/>
    <m/>
    <n v="6"/>
    <m/>
    <m/>
    <s v="Bolsa. explosivos. manguera. bolsa de yogurt"/>
    <x v="0"/>
    <s v="Residuos sólidos"/>
    <n v="0"/>
    <m/>
    <m/>
    <s v="Ninguna"/>
    <m/>
    <m/>
    <m/>
    <m/>
    <m/>
    <m/>
    <m/>
    <m/>
    <m/>
    <m/>
    <m/>
    <m/>
    <m/>
    <m/>
    <m/>
    <m/>
    <m/>
  </r>
  <r>
    <x v="0"/>
    <x v="0"/>
    <x v="0"/>
    <s v="FCMBT10"/>
    <x v="1"/>
    <d v="2017-09-19T00:00:00"/>
    <d v="1899-12-30T10:14:00"/>
    <n v="-76.688336111111113"/>
    <n v="3.409880555555556"/>
    <n v="1"/>
    <s v="Derecho"/>
    <s v="Alvaro Fierro"/>
    <n v="3367"/>
    <s v=" "/>
    <b v="1"/>
    <n v="6"/>
    <n v="1.3"/>
    <n v="5"/>
    <m/>
    <m/>
    <m/>
    <x v="0"/>
    <s v="Socavón"/>
    <n v="0"/>
    <m/>
    <m/>
    <s v="Ninguna"/>
    <m/>
    <m/>
    <m/>
    <m/>
    <m/>
    <m/>
    <m/>
    <m/>
    <m/>
    <m/>
    <m/>
    <m/>
    <m/>
    <m/>
    <m/>
    <m/>
    <m/>
  </r>
  <r>
    <x v="0"/>
    <x v="0"/>
    <x v="0"/>
    <s v="FCMBT10"/>
    <x v="1"/>
    <d v="2017-09-19T00:00:00"/>
    <d v="1899-12-30T10:31:00"/>
    <n v="-76.688472222222231"/>
    <n v="3.4099861111111109"/>
    <n v="1"/>
    <s v="Derecho"/>
    <s v="Alvaro Fierro"/>
    <n v="3355"/>
    <s v=" "/>
    <b v="1"/>
    <n v="8"/>
    <n v="1.1000000000000001"/>
    <n v="15"/>
    <m/>
    <m/>
    <s v="Bolsa plastica. lata de atún"/>
    <x v="0"/>
    <s v="Residuos sólidos"/>
    <n v="0"/>
    <m/>
    <m/>
    <s v="Ninguna"/>
    <m/>
    <m/>
    <m/>
    <m/>
    <m/>
    <m/>
    <m/>
    <m/>
    <m/>
    <m/>
    <m/>
    <m/>
    <m/>
    <m/>
    <m/>
    <m/>
    <m/>
  </r>
  <r>
    <x v="0"/>
    <x v="0"/>
    <x v="0"/>
    <s v="FCMBT10"/>
    <x v="1"/>
    <d v="2017-09-19T00:00:00"/>
    <d v="1899-12-30T10:40:00"/>
    <n v="-76.688394444444455"/>
    <n v="3.410563888888889"/>
    <n v="1"/>
    <s v="Derecho"/>
    <s v="Alvaro Fierro"/>
    <n v="3354"/>
    <s v=" "/>
    <b v="1"/>
    <n v="6"/>
    <n v="1"/>
    <n v="7"/>
    <m/>
    <m/>
    <s v="Bolsa de agua"/>
    <x v="0"/>
    <s v="Residuos sólidos"/>
    <n v="0"/>
    <m/>
    <m/>
    <s v="Ninguna"/>
    <m/>
    <m/>
    <m/>
    <m/>
    <m/>
    <m/>
    <m/>
    <m/>
    <m/>
    <m/>
    <m/>
    <m/>
    <m/>
    <m/>
    <m/>
    <m/>
    <m/>
  </r>
  <r>
    <x v="0"/>
    <x v="0"/>
    <x v="0"/>
    <s v="FCMBT11"/>
    <x v="2"/>
    <d v="2017-09-19T00:00:00"/>
    <d v="1899-12-30T22:00:00"/>
    <n v="-76.689166666666665"/>
    <n v="3.4113055555555549"/>
    <n v="1"/>
    <s v="Izquierdo"/>
    <s v="Gustavo Rodriguez"/>
    <n v="3293"/>
    <s v=" "/>
    <b v="1"/>
    <n v="4"/>
    <m/>
    <n v="25"/>
    <s v="Hoja de arbusto"/>
    <m/>
    <s v="peso 1.38. LRC = 2.5"/>
    <x v="1"/>
    <m/>
    <n v="1"/>
    <m/>
    <m/>
    <s v="Ninguna"/>
    <m/>
    <m/>
    <m/>
    <m/>
    <m/>
    <m/>
    <m/>
    <m/>
    <m/>
    <m/>
    <m/>
    <m/>
    <m/>
    <m/>
    <m/>
    <m/>
    <m/>
  </r>
  <r>
    <x v="0"/>
    <x v="0"/>
    <x v="0"/>
    <s v="FCMBT12"/>
    <x v="3"/>
    <d v="2017-09-19T00:00:00"/>
    <d v="1899-12-30T22:50:00"/>
    <n v="-76.689361111111111"/>
    <n v="3.4115833333333332"/>
    <n v="1"/>
    <s v="Izquierdo"/>
    <s v="Oscar Cuellar"/>
    <n v="3295"/>
    <s v=" "/>
    <b v="1"/>
    <n v="6"/>
    <n v="0.5"/>
    <n v="10"/>
    <m/>
    <m/>
    <s v="Lata de atun"/>
    <x v="0"/>
    <s v="Residuos sólidos"/>
    <n v="0"/>
    <m/>
    <m/>
    <s v="Ninguna"/>
    <m/>
    <m/>
    <m/>
    <m/>
    <m/>
    <m/>
    <m/>
    <m/>
    <m/>
    <m/>
    <m/>
    <m/>
    <m/>
    <m/>
    <m/>
    <m/>
    <m/>
  </r>
  <r>
    <x v="0"/>
    <x v="0"/>
    <x v="1"/>
    <s v="FCMCT16"/>
    <x v="3"/>
    <d v="2017-09-20T00:00:00"/>
    <d v="1899-12-30T10:10:00"/>
    <n v="-76.690694444444446"/>
    <n v="3.406194444444445"/>
    <n v="1"/>
    <s v="Derecho"/>
    <s v="Alvaro Fierro"/>
    <n v="3416"/>
    <b v="1"/>
    <s v=" "/>
    <n v="0.3"/>
    <m/>
    <n v="14"/>
    <m/>
    <m/>
    <s v="Bolsa plastica"/>
    <x v="0"/>
    <s v="Residuos sólidos"/>
    <n v="0"/>
    <m/>
    <m/>
    <s v="Ninguna"/>
    <m/>
    <m/>
    <m/>
    <m/>
    <m/>
    <m/>
    <m/>
    <m/>
    <m/>
    <m/>
    <m/>
    <m/>
    <m/>
    <m/>
    <m/>
    <m/>
    <m/>
  </r>
  <r>
    <x v="0"/>
    <x v="0"/>
    <x v="1"/>
    <s v="FCMCT16"/>
    <x v="3"/>
    <d v="2017-09-20T00:00:00"/>
    <d v="1899-12-30T10:01:00"/>
    <n v="-76.690777777777782"/>
    <n v="3.4060555555555561"/>
    <n v="1"/>
    <s v="Izquierdo"/>
    <s v="Gustavo Rodriguez"/>
    <n v="3422"/>
    <b v="1"/>
    <s v=" "/>
    <n v="1.5"/>
    <m/>
    <n v="15"/>
    <m/>
    <m/>
    <s v="3 Botellas plasticas"/>
    <x v="0"/>
    <s v="Residuos sólidos"/>
    <n v="0"/>
    <m/>
    <m/>
    <s v="Ninguna"/>
    <m/>
    <m/>
    <m/>
    <m/>
    <m/>
    <m/>
    <m/>
    <m/>
    <m/>
    <m/>
    <m/>
    <m/>
    <m/>
    <m/>
    <m/>
    <m/>
    <m/>
  </r>
  <r>
    <x v="0"/>
    <x v="0"/>
    <x v="1"/>
    <s v="FCMCT16"/>
    <x v="3"/>
    <d v="2017-09-20T00:00:00"/>
    <d v="1899-12-30T10:10:00"/>
    <n v="-76.690750000000008"/>
    <n v="3.4061111111111111"/>
    <n v="1"/>
    <s v="Izquierdo"/>
    <s v="Yimmy Angulo"/>
    <n v="3419"/>
    <b v="1"/>
    <s v=" "/>
    <n v="2"/>
    <m/>
    <n v="12"/>
    <m/>
    <m/>
    <s v="Plastico"/>
    <x v="0"/>
    <s v="Residuos sólidos"/>
    <n v="0"/>
    <m/>
    <m/>
    <s v="Ninguna"/>
    <m/>
    <m/>
    <m/>
    <m/>
    <m/>
    <m/>
    <m/>
    <m/>
    <m/>
    <m/>
    <m/>
    <m/>
    <m/>
    <m/>
    <m/>
    <m/>
    <m/>
  </r>
  <r>
    <x v="0"/>
    <x v="0"/>
    <x v="1"/>
    <s v="FCMCT13"/>
    <x v="0"/>
    <d v="2017-09-20T00:00:00"/>
    <d v="1899-12-30T11:01:00"/>
    <n v="-76.688527777777779"/>
    <n v="3.4080277777777779"/>
    <n v="1"/>
    <s v="Izquierdo"/>
    <s v="Alvaro Fierro"/>
    <n v="3420"/>
    <b v="1"/>
    <s v=" "/>
    <n v="2"/>
    <m/>
    <n v="8"/>
    <m/>
    <m/>
    <s v="Bolsa plastica"/>
    <x v="0"/>
    <s v="Residuos sólidos"/>
    <n v="0"/>
    <m/>
    <m/>
    <s v="Ninguna"/>
    <m/>
    <m/>
    <m/>
    <m/>
    <m/>
    <m/>
    <m/>
    <m/>
    <m/>
    <m/>
    <m/>
    <m/>
    <m/>
    <m/>
    <m/>
    <m/>
    <m/>
  </r>
  <r>
    <x v="0"/>
    <x v="0"/>
    <x v="1"/>
    <s v="FCMCT15"/>
    <x v="2"/>
    <d v="2017-09-20T00:00:00"/>
    <d v="1899-12-30T21:48:00"/>
    <n v="-76.690583333333336"/>
    <n v="3.4066666666666672"/>
    <n v="1"/>
    <s v="Derecho"/>
    <s v="Alvaro Fierro"/>
    <n v="3420"/>
    <b v="1"/>
    <s v=" "/>
    <n v="2"/>
    <m/>
    <n v="6"/>
    <s v="Herbacea"/>
    <s v="Bosque Secundario"/>
    <m/>
    <x v="2"/>
    <m/>
    <n v="1"/>
    <m/>
    <m/>
    <s v="Ninguna"/>
    <m/>
    <m/>
    <m/>
    <m/>
    <m/>
    <m/>
    <m/>
    <m/>
    <m/>
    <m/>
    <m/>
    <m/>
    <m/>
    <m/>
    <m/>
    <m/>
    <m/>
  </r>
  <r>
    <x v="0"/>
    <x v="0"/>
    <x v="1"/>
    <s v="FCMCT16"/>
    <x v="3"/>
    <d v="2017-09-20T00:00:00"/>
    <d v="1899-12-30T22:10:00"/>
    <n v="-76.69061111111111"/>
    <n v="3.4063888888888889"/>
    <n v="1"/>
    <s v="Derecho"/>
    <s v="Alvaro Fierro"/>
    <n v="3429"/>
    <b v="1"/>
    <s v=" "/>
    <m/>
    <m/>
    <n v="8"/>
    <s v="Puya"/>
    <s v="Bosque Secundario"/>
    <m/>
    <x v="2"/>
    <m/>
    <n v="1"/>
    <m/>
    <m/>
    <s v="Ninguna"/>
    <m/>
    <m/>
    <m/>
    <m/>
    <m/>
    <m/>
    <m/>
    <m/>
    <m/>
    <m/>
    <m/>
    <m/>
    <m/>
    <m/>
    <m/>
    <m/>
    <m/>
  </r>
  <r>
    <x v="0"/>
    <x v="0"/>
    <x v="1"/>
    <s v="FCMCT16"/>
    <x v="3"/>
    <d v="2017-09-20T00:00:00"/>
    <d v="1899-12-30T23:04:00"/>
    <n v="-76.690555555555562"/>
    <n v="3.4060833333333331"/>
    <n v="1"/>
    <s v="Derecho"/>
    <s v="Alvaro Fierro"/>
    <n v="3430"/>
    <b v="1"/>
    <s v=" "/>
    <n v="2"/>
    <m/>
    <n v="15"/>
    <s v="Helecho"/>
    <s v="Bosque Secundario"/>
    <m/>
    <x v="2"/>
    <m/>
    <n v="1"/>
    <m/>
    <m/>
    <s v="Ninguna"/>
    <m/>
    <m/>
    <m/>
    <m/>
    <m/>
    <m/>
    <m/>
    <m/>
    <m/>
    <m/>
    <m/>
    <m/>
    <m/>
    <m/>
    <m/>
    <m/>
    <m/>
  </r>
  <r>
    <x v="0"/>
    <x v="0"/>
    <x v="1"/>
    <s v="FCMCT15"/>
    <x v="2"/>
    <d v="2017-09-20T00:00:00"/>
    <d v="1899-12-30T21:35:00"/>
    <n v="-76.6905"/>
    <n v="3.4067777777777781"/>
    <n v="1"/>
    <s v="Izquierdo"/>
    <s v="Oscar Martinez"/>
    <n v="3430"/>
    <b v="1"/>
    <s v=" "/>
    <n v="3.5"/>
    <m/>
    <n v="10"/>
    <s v="Bromelia"/>
    <s v="Bosque Secundario"/>
    <m/>
    <x v="2"/>
    <m/>
    <n v="1"/>
    <m/>
    <m/>
    <s v="Ninguna"/>
    <m/>
    <m/>
    <m/>
    <m/>
    <m/>
    <m/>
    <m/>
    <m/>
    <m/>
    <m/>
    <m/>
    <m/>
    <m/>
    <m/>
    <m/>
    <m/>
    <m/>
  </r>
  <r>
    <x v="0"/>
    <x v="0"/>
    <x v="1"/>
    <s v="FCMCT16"/>
    <x v="3"/>
    <d v="2017-09-20T00:00:00"/>
    <d v="1899-12-30T22:00:00"/>
    <n v="-76.69061111111111"/>
    <n v="3.4063888888888889"/>
    <n v="1"/>
    <s v="Izquierdo"/>
    <s v="Oscar Martinez"/>
    <n v="3429"/>
    <b v="1"/>
    <s v=" "/>
    <n v="1"/>
    <m/>
    <n v="20"/>
    <s v="Bromelia"/>
    <s v="Bosque Secundario"/>
    <m/>
    <x v="2"/>
    <m/>
    <n v="1"/>
    <m/>
    <m/>
    <s v="Ninguna"/>
    <m/>
    <m/>
    <m/>
    <m/>
    <m/>
    <m/>
    <m/>
    <m/>
    <m/>
    <m/>
    <m/>
    <m/>
    <m/>
    <m/>
    <m/>
    <m/>
    <m/>
  </r>
  <r>
    <x v="0"/>
    <x v="0"/>
    <x v="1"/>
    <s v="FCMCT16"/>
    <x v="3"/>
    <d v="2017-09-20T00:00:00"/>
    <d v="1899-12-30T22:23:00"/>
    <n v="-76.69061111111111"/>
    <n v="3.4063888888888889"/>
    <n v="1"/>
    <s v="Izquierdo"/>
    <s v="Oscar Martinez"/>
    <n v="3429"/>
    <b v="1"/>
    <s v=" "/>
    <n v="1"/>
    <m/>
    <n v="20"/>
    <s v="Bromelia"/>
    <s v="Bosque Secundario"/>
    <m/>
    <x v="2"/>
    <m/>
    <n v="1"/>
    <m/>
    <m/>
    <s v="Ninguna"/>
    <m/>
    <m/>
    <m/>
    <m/>
    <m/>
    <m/>
    <m/>
    <m/>
    <m/>
    <m/>
    <m/>
    <m/>
    <m/>
    <m/>
    <m/>
    <m/>
    <m/>
  </r>
  <r>
    <x v="0"/>
    <x v="0"/>
    <x v="1"/>
    <s v="FCMCT16"/>
    <x v="3"/>
    <d v="2017-09-20T00:00:00"/>
    <d v="1899-12-30T22:23:00"/>
    <n v="-76.69061111111111"/>
    <n v="3.4063888888888889"/>
    <n v="1"/>
    <s v="Izquierdo"/>
    <s v="Oscar Martinez"/>
    <n v="3429"/>
    <b v="1"/>
    <s v=" "/>
    <n v="1"/>
    <m/>
    <n v="20"/>
    <s v="Bromelia"/>
    <s v="Bosque Secundario"/>
    <m/>
    <x v="2"/>
    <m/>
    <n v="1"/>
    <m/>
    <m/>
    <s v="Ninguna"/>
    <m/>
    <m/>
    <m/>
    <m/>
    <m/>
    <m/>
    <m/>
    <m/>
    <m/>
    <m/>
    <m/>
    <m/>
    <m/>
    <m/>
    <m/>
    <m/>
    <m/>
  </r>
  <r>
    <x v="0"/>
    <x v="0"/>
    <x v="1"/>
    <s v="FCMCT16"/>
    <x v="3"/>
    <d v="2017-09-20T00:00:00"/>
    <d v="1899-12-30T22:42:00"/>
    <n v="-76.690583333333336"/>
    <n v="3.406222222222222"/>
    <n v="1"/>
    <s v="Izquierdo"/>
    <s v="Oscar Martinez"/>
    <n v="3420"/>
    <b v="1"/>
    <s v=" "/>
    <n v="2.5"/>
    <m/>
    <n v="15"/>
    <s v="Bromelia"/>
    <s v="Bosque Secundario"/>
    <m/>
    <x v="2"/>
    <m/>
    <n v="1"/>
    <m/>
    <m/>
    <s v="Ninguna"/>
    <m/>
    <m/>
    <m/>
    <m/>
    <m/>
    <m/>
    <m/>
    <m/>
    <m/>
    <m/>
    <m/>
    <m/>
    <m/>
    <m/>
    <m/>
    <m/>
    <m/>
  </r>
  <r>
    <x v="0"/>
    <x v="0"/>
    <x v="1"/>
    <s v="FCMCT16"/>
    <x v="3"/>
    <d v="2017-09-20T00:00:00"/>
    <d v="1899-12-30T22:53:00"/>
    <n v="-76.690694444444446"/>
    <n v="3.406138888888889"/>
    <n v="1"/>
    <s v="Izquierdo"/>
    <s v="Oscar Martinez"/>
    <n v="3430"/>
    <b v="1"/>
    <s v=" "/>
    <n v="1"/>
    <m/>
    <n v="10"/>
    <s v="Bromelia"/>
    <s v="Bosque Secundario"/>
    <m/>
    <x v="2"/>
    <m/>
    <n v="1"/>
    <m/>
    <m/>
    <s v="Ninguna"/>
    <m/>
    <m/>
    <m/>
    <m/>
    <m/>
    <m/>
    <m/>
    <m/>
    <m/>
    <m/>
    <m/>
    <m/>
    <m/>
    <m/>
    <m/>
    <m/>
    <m/>
  </r>
  <r>
    <x v="0"/>
    <x v="0"/>
    <x v="1"/>
    <s v="FCMCT16"/>
    <x v="3"/>
    <d v="2017-09-20T00:00:00"/>
    <d v="1899-12-30T23:06:00"/>
    <n v="-76.69072222222222"/>
    <n v="3.4060555555555561"/>
    <n v="1"/>
    <s v="Izquierdo"/>
    <s v="Oscar Martinez"/>
    <n v="3420"/>
    <b v="1"/>
    <s v=" "/>
    <n v="1"/>
    <m/>
    <n v="25"/>
    <s v="Bromelia"/>
    <s v="Bosque Secundario"/>
    <m/>
    <x v="2"/>
    <m/>
    <n v="1"/>
    <m/>
    <m/>
    <s v="Ninguna"/>
    <m/>
    <m/>
    <m/>
    <m/>
    <m/>
    <m/>
    <m/>
    <m/>
    <m/>
    <m/>
    <m/>
    <m/>
    <m/>
    <m/>
    <m/>
    <m/>
    <m/>
  </r>
  <r>
    <x v="0"/>
    <x v="0"/>
    <x v="1"/>
    <s v="FCMCT15"/>
    <x v="2"/>
    <d v="2017-09-20T00:00:00"/>
    <d v="1899-12-30T21:30:00"/>
    <n v="-76.690222222222232"/>
    <n v="3.407027777777778"/>
    <n v="1"/>
    <s v="Derecho"/>
    <s v="Gustavo Rodriguez"/>
    <n v="3497"/>
    <b v="1"/>
    <s v=" "/>
    <m/>
    <m/>
    <m/>
    <m/>
    <m/>
    <m/>
    <x v="0"/>
    <m/>
    <n v="0"/>
    <m/>
    <m/>
    <s v="Ninguna"/>
    <m/>
    <m/>
    <m/>
    <m/>
    <m/>
    <m/>
    <m/>
    <m/>
    <m/>
    <m/>
    <m/>
    <m/>
    <m/>
    <m/>
    <m/>
    <m/>
    <m/>
  </r>
  <r>
    <x v="0"/>
    <x v="0"/>
    <x v="1"/>
    <s v="FCMCT13"/>
    <x v="0"/>
    <d v="2017-09-20T00:00:00"/>
    <d v="1899-12-30T19:56:00"/>
    <n v="-76.688638888888889"/>
    <n v="3.4079999999999999"/>
    <n v="1"/>
    <s v="Derecho"/>
    <s v="Alvaro Fierro"/>
    <n v="3420"/>
    <b v="1"/>
    <s v=" "/>
    <n v="0.6"/>
    <m/>
    <n v="6"/>
    <m/>
    <m/>
    <s v="Bolsa plastica"/>
    <x v="0"/>
    <s v="Residuos sólidos"/>
    <n v="0"/>
    <m/>
    <m/>
    <s v="Ninguna"/>
    <m/>
    <m/>
    <m/>
    <m/>
    <m/>
    <m/>
    <m/>
    <m/>
    <m/>
    <m/>
    <m/>
    <m/>
    <m/>
    <m/>
    <m/>
    <m/>
    <m/>
  </r>
  <r>
    <x v="0"/>
    <x v="0"/>
    <x v="2"/>
    <s v="FCMDT18"/>
    <x v="1"/>
    <d v="2017-09-21T00:00:00"/>
    <d v="1899-12-30T20:00:00"/>
    <n v="-76.680027777777781"/>
    <n v="3.4011111111111112"/>
    <n v="1"/>
    <m/>
    <s v="Gustavo Rodriguez"/>
    <n v="3070"/>
    <b v="1"/>
    <s v=" "/>
    <m/>
    <m/>
    <m/>
    <m/>
    <m/>
    <m/>
    <x v="0"/>
    <m/>
    <n v="0"/>
    <m/>
    <m/>
    <s v="Ninguna"/>
    <m/>
    <m/>
    <m/>
    <m/>
    <m/>
    <m/>
    <m/>
    <m/>
    <m/>
    <m/>
    <m/>
    <m/>
    <m/>
    <m/>
    <m/>
    <m/>
    <m/>
  </r>
  <r>
    <x v="0"/>
    <x v="0"/>
    <x v="3"/>
    <s v="FCMDT20"/>
    <x v="0"/>
    <d v="2017-09-21T00:00:00"/>
    <d v="1899-12-30T22:45:00"/>
    <n v="-76.678472222222226"/>
    <n v="3.401666666666666"/>
    <n v="1"/>
    <s v="Izquierdo"/>
    <s v="Gustavo Rodriguez"/>
    <n v="2990"/>
    <b v="1"/>
    <s v=" "/>
    <n v="20"/>
    <m/>
    <n v="15"/>
    <m/>
    <m/>
    <s v="Botella plastica"/>
    <x v="0"/>
    <s v="Residuos sólidos"/>
    <n v="0"/>
    <m/>
    <m/>
    <s v="Ninguna"/>
    <m/>
    <m/>
    <m/>
    <m/>
    <m/>
    <m/>
    <m/>
    <m/>
    <m/>
    <m/>
    <m/>
    <m/>
    <m/>
    <m/>
    <m/>
    <m/>
    <m/>
  </r>
  <r>
    <x v="0"/>
    <x v="0"/>
    <x v="2"/>
    <s v="FCMDT19"/>
    <x v="2"/>
    <d v="2017-09-21T00:00:00"/>
    <d v="1899-12-30T22:50:00"/>
    <n v="-76.678750000000008"/>
    <n v="3.4009722222222218"/>
    <n v="1"/>
    <m/>
    <s v="Gustavo Rodriguez"/>
    <n v="3110"/>
    <b v="1"/>
    <s v=" "/>
    <m/>
    <m/>
    <m/>
    <m/>
    <m/>
    <m/>
    <x v="0"/>
    <m/>
    <n v="0"/>
    <m/>
    <m/>
    <s v="Ninguna"/>
    <m/>
    <m/>
    <m/>
    <m/>
    <m/>
    <m/>
    <m/>
    <m/>
    <m/>
    <m/>
    <m/>
    <m/>
    <m/>
    <m/>
    <m/>
    <m/>
    <m/>
  </r>
  <r>
    <x v="0"/>
    <x v="0"/>
    <x v="3"/>
    <s v="FCMDT20"/>
    <x v="0"/>
    <d v="2017-09-21T00:00:00"/>
    <d v="1899-12-30T23:30:00"/>
    <n v="-76.678166666666669"/>
    <n v="3.4021111111111111"/>
    <n v="1"/>
    <m/>
    <s v="Gustavo Rodriguez"/>
    <n v="3000"/>
    <b v="1"/>
    <s v=" "/>
    <m/>
    <m/>
    <m/>
    <m/>
    <m/>
    <m/>
    <x v="0"/>
    <m/>
    <n v="0"/>
    <m/>
    <m/>
    <s v="Ninguna"/>
    <m/>
    <m/>
    <m/>
    <m/>
    <m/>
    <m/>
    <m/>
    <m/>
    <m/>
    <m/>
    <m/>
    <m/>
    <m/>
    <m/>
    <m/>
    <m/>
    <m/>
  </r>
  <r>
    <x v="0"/>
    <x v="0"/>
    <x v="4"/>
    <s v="FCMAT1"/>
    <x v="0"/>
    <d v="2017-09-22T00:00:00"/>
    <d v="1899-12-30T20:00:00"/>
    <n v="-76.687305555555554"/>
    <n v="3.3858888888888892"/>
    <n v="1"/>
    <m/>
    <s v="Gustavo Rodriguez"/>
    <n v="3600"/>
    <b v="1"/>
    <s v=" "/>
    <m/>
    <m/>
    <m/>
    <m/>
    <m/>
    <m/>
    <x v="0"/>
    <m/>
    <n v="0"/>
    <m/>
    <m/>
    <s v="Ninguna"/>
    <m/>
    <m/>
    <m/>
    <m/>
    <m/>
    <m/>
    <m/>
    <m/>
    <m/>
    <m/>
    <m/>
    <m/>
    <m/>
    <m/>
    <m/>
    <m/>
    <m/>
  </r>
  <r>
    <x v="0"/>
    <x v="0"/>
    <x v="4"/>
    <s v="FCMAT2"/>
    <x v="1"/>
    <d v="2017-09-22T00:00:00"/>
    <d v="1899-12-30T21:00:00"/>
    <n v="-76.687638888888898"/>
    <n v="3.3858611111111112"/>
    <n v="1"/>
    <m/>
    <s v="Gustavo Rodriguez"/>
    <n v="3610"/>
    <b v="1"/>
    <s v=" "/>
    <m/>
    <m/>
    <m/>
    <m/>
    <m/>
    <m/>
    <x v="0"/>
    <m/>
    <n v="0"/>
    <m/>
    <m/>
    <s v="Ninguna"/>
    <m/>
    <m/>
    <m/>
    <m/>
    <m/>
    <m/>
    <m/>
    <m/>
    <m/>
    <m/>
    <m/>
    <m/>
    <m/>
    <m/>
    <m/>
    <m/>
    <m/>
  </r>
  <r>
    <x v="0"/>
    <x v="0"/>
    <x v="4"/>
    <s v="FCMAT5"/>
    <x v="4"/>
    <d v="2017-09-22T00:00:00"/>
    <d v="1899-12-30T22:00:00"/>
    <n v="-76.688416666666669"/>
    <n v="3.385472222222222"/>
    <n v="1"/>
    <m/>
    <s v="Gustavo Rodriguez"/>
    <n v="3600"/>
    <b v="1"/>
    <s v=" "/>
    <m/>
    <m/>
    <m/>
    <m/>
    <m/>
    <m/>
    <x v="0"/>
    <m/>
    <n v="0"/>
    <m/>
    <m/>
    <s v="Ninguna"/>
    <m/>
    <m/>
    <m/>
    <m/>
    <m/>
    <m/>
    <m/>
    <m/>
    <m/>
    <m/>
    <m/>
    <m/>
    <m/>
    <m/>
    <m/>
    <m/>
    <m/>
  </r>
  <r>
    <x v="0"/>
    <x v="1"/>
    <x v="5"/>
    <s v="FCTCT6"/>
    <x v="0"/>
    <d v="2017-11-21T00:00:00"/>
    <d v="1899-12-30T19:45:00"/>
    <n v="-76.722916666666663"/>
    <n v="3.4827499999999998"/>
    <n v="1"/>
    <s v="Derecho"/>
    <s v="Alvaro Fierro"/>
    <n v="1975"/>
    <b v="1"/>
    <s v=" "/>
    <n v="8"/>
    <m/>
    <n v="3"/>
    <s v="Hoja"/>
    <s v="Bosque Secundario"/>
    <m/>
    <x v="3"/>
    <m/>
    <n v="1"/>
    <m/>
    <m/>
    <s v="Ninguna"/>
    <m/>
    <m/>
    <m/>
    <m/>
    <m/>
    <m/>
    <m/>
    <m/>
    <m/>
    <m/>
    <m/>
    <m/>
    <m/>
    <m/>
    <m/>
    <m/>
    <m/>
  </r>
  <r>
    <x v="0"/>
    <x v="1"/>
    <x v="5"/>
    <s v="FCTCT6"/>
    <x v="0"/>
    <d v="2017-11-21T00:00:00"/>
    <d v="1899-12-30T20:00:00"/>
    <n v="-76.722972222222225"/>
    <n v="3.4827222222222218"/>
    <n v="1"/>
    <s v="Derecho"/>
    <s v="Gustavo Rodriguez"/>
    <n v="2019"/>
    <b v="1"/>
    <s v=" "/>
    <n v="8"/>
    <m/>
    <n v="15"/>
    <s v="Hoja"/>
    <s v="Bosque Secundario"/>
    <m/>
    <x v="4"/>
    <m/>
    <n v="1"/>
    <m/>
    <m/>
    <s v="Ninguna"/>
    <m/>
    <m/>
    <m/>
    <m/>
    <m/>
    <m/>
    <m/>
    <m/>
    <m/>
    <m/>
    <m/>
    <m/>
    <m/>
    <m/>
    <m/>
    <m/>
    <m/>
  </r>
  <r>
    <x v="0"/>
    <x v="1"/>
    <x v="5"/>
    <s v="FCTCT6"/>
    <x v="0"/>
    <d v="2017-11-21T00:00:00"/>
    <d v="1899-12-30T20:06:00"/>
    <n v="-76.722972222222225"/>
    <n v="3.4827222222222218"/>
    <n v="1"/>
    <s v="Derecho"/>
    <s v="Oscar Martinez"/>
    <n v="2019"/>
    <b v="1"/>
    <s v=" "/>
    <n v="4"/>
    <m/>
    <n v="5"/>
    <s v="Hoja"/>
    <s v="Bosque Secundario"/>
    <m/>
    <x v="4"/>
    <m/>
    <n v="1"/>
    <m/>
    <m/>
    <s v="Ninguna"/>
    <m/>
    <m/>
    <m/>
    <m/>
    <m/>
    <m/>
    <m/>
    <m/>
    <m/>
    <m/>
    <m/>
    <m/>
    <m/>
    <m/>
    <m/>
    <m/>
    <m/>
  </r>
  <r>
    <x v="0"/>
    <x v="1"/>
    <x v="5"/>
    <s v="FCTCT6"/>
    <x v="0"/>
    <d v="2017-11-21T00:00:00"/>
    <d v="1899-12-30T20:16:00"/>
    <n v="-76.722972222222225"/>
    <n v="3.4827222222222218"/>
    <n v="1"/>
    <s v="Derecho"/>
    <s v="Carolina Burbano"/>
    <n v="2019"/>
    <b v="1"/>
    <s v=" "/>
    <n v="5"/>
    <m/>
    <n v="3"/>
    <s v="Hoja"/>
    <s v="Bosque Secundario"/>
    <m/>
    <x v="4"/>
    <m/>
    <n v="1"/>
    <m/>
    <m/>
    <s v="Ninguna"/>
    <m/>
    <m/>
    <m/>
    <m/>
    <m/>
    <m/>
    <m/>
    <m/>
    <m/>
    <m/>
    <m/>
    <m/>
    <m/>
    <m/>
    <m/>
    <m/>
    <m/>
  </r>
  <r>
    <x v="0"/>
    <x v="1"/>
    <x v="5"/>
    <s v="FCTCT6"/>
    <x v="0"/>
    <d v="2017-11-21T00:00:00"/>
    <d v="1899-12-30T20:20:00"/>
    <n v="-76.722916666666663"/>
    <n v="3.4827499999999998"/>
    <n v="1"/>
    <s v="Derecho"/>
    <s v="Alvaro Fierro"/>
    <n v="2035"/>
    <b v="1"/>
    <s v=" "/>
    <n v="8"/>
    <m/>
    <n v="5"/>
    <s v="Hoja"/>
    <s v="Bosque Secundario"/>
    <m/>
    <x v="4"/>
    <m/>
    <n v="1"/>
    <m/>
    <m/>
    <s v="Ninguna"/>
    <m/>
    <m/>
    <m/>
    <m/>
    <m/>
    <m/>
    <m/>
    <m/>
    <m/>
    <m/>
    <m/>
    <m/>
    <m/>
    <m/>
    <m/>
    <m/>
    <m/>
  </r>
  <r>
    <x v="0"/>
    <x v="1"/>
    <x v="5"/>
    <s v="FCTCT6"/>
    <x v="0"/>
    <d v="2017-11-21T00:00:00"/>
    <d v="1899-12-30T19:45:00"/>
    <n v="-76.723194444444445"/>
    <n v="3.4828055555555562"/>
    <n v="1"/>
    <s v="Izquierdo"/>
    <s v="Gustavo Rodriguez"/>
    <n v="1972"/>
    <b v="1"/>
    <s v=" "/>
    <n v="6"/>
    <m/>
    <n v="1"/>
    <s v="Hoja"/>
    <s v="Bosque Secundario"/>
    <m/>
    <x v="3"/>
    <m/>
    <n v="1"/>
    <m/>
    <m/>
    <s v="Ninguna"/>
    <m/>
    <m/>
    <m/>
    <m/>
    <m/>
    <m/>
    <m/>
    <m/>
    <m/>
    <m/>
    <m/>
    <m/>
    <m/>
    <m/>
    <m/>
    <m/>
    <m/>
  </r>
  <r>
    <x v="0"/>
    <x v="1"/>
    <x v="5"/>
    <s v="FCTCT6"/>
    <x v="0"/>
    <d v="2017-11-21T00:00:00"/>
    <d v="1899-12-30T19:45:00"/>
    <n v="-76.723194444444445"/>
    <n v="3.4828055555555562"/>
    <n v="1"/>
    <s v="Izquierdo"/>
    <s v="Hamilton Bermudez"/>
    <n v="1972"/>
    <b v="1"/>
    <s v=" "/>
    <n v="6"/>
    <m/>
    <n v="1"/>
    <s v="Hoja"/>
    <s v="Bosque Secundario"/>
    <m/>
    <x v="3"/>
    <m/>
    <n v="1"/>
    <m/>
    <m/>
    <s v="Ninguna"/>
    <m/>
    <m/>
    <m/>
    <m/>
    <m/>
    <m/>
    <m/>
    <m/>
    <m/>
    <m/>
    <m/>
    <m/>
    <m/>
    <m/>
    <m/>
    <m/>
    <m/>
  </r>
  <r>
    <x v="0"/>
    <x v="1"/>
    <x v="5"/>
    <s v="FCTCT6"/>
    <x v="0"/>
    <d v="2017-11-21T00:00:00"/>
    <d v="1899-12-30T19:50:00"/>
    <n v="-76.723194444444445"/>
    <n v="3.4828055555555562"/>
    <n v="1"/>
    <s v="Izquierdo"/>
    <s v="Gustavo Rodriguez"/>
    <n v="1972"/>
    <b v="1"/>
    <s v=" "/>
    <n v="9"/>
    <m/>
    <n v="5"/>
    <s v="Hoja"/>
    <s v="Bosque Secundario"/>
    <m/>
    <x v="3"/>
    <m/>
    <n v="1"/>
    <m/>
    <m/>
    <s v="Ninguna"/>
    <m/>
    <m/>
    <m/>
    <m/>
    <m/>
    <m/>
    <m/>
    <m/>
    <m/>
    <m/>
    <m/>
    <m/>
    <m/>
    <m/>
    <m/>
    <m/>
    <m/>
  </r>
  <r>
    <x v="0"/>
    <x v="1"/>
    <x v="5"/>
    <s v="FCTCT6"/>
    <x v="0"/>
    <d v="2017-11-21T00:00:00"/>
    <d v="1899-12-30T20:15:00"/>
    <n v="-76.722972222222225"/>
    <n v="3.4827222222222218"/>
    <n v="1"/>
    <s v="Izquierdo"/>
    <s v="Hamilton Bermudez"/>
    <n v="2019"/>
    <b v="1"/>
    <s v=" "/>
    <m/>
    <m/>
    <n v="50"/>
    <s v="Hoja"/>
    <s v="Bosque Secundario"/>
    <m/>
    <x v="3"/>
    <m/>
    <n v="1"/>
    <m/>
    <m/>
    <s v="Ninguna"/>
    <m/>
    <m/>
    <m/>
    <m/>
    <m/>
    <m/>
    <m/>
    <m/>
    <m/>
    <m/>
    <m/>
    <m/>
    <m/>
    <m/>
    <m/>
    <m/>
    <m/>
  </r>
  <r>
    <x v="0"/>
    <x v="1"/>
    <x v="5"/>
    <s v="FCTCT6"/>
    <x v="0"/>
    <d v="2017-11-21T00:00:00"/>
    <d v="1899-12-30T20:16:00"/>
    <n v="-76.722972222222225"/>
    <n v="3.4827222222222218"/>
    <n v="1"/>
    <s v="Izquierdo"/>
    <s v="Hamilton Bermudez"/>
    <n v="2019"/>
    <b v="1"/>
    <s v=" "/>
    <m/>
    <m/>
    <n v="50"/>
    <s v="Hoja"/>
    <s v="Bosque Secundario"/>
    <m/>
    <x v="3"/>
    <m/>
    <n v="1"/>
    <m/>
    <m/>
    <s v="Ninguna"/>
    <m/>
    <m/>
    <m/>
    <m/>
    <m/>
    <m/>
    <m/>
    <m/>
    <m/>
    <m/>
    <m/>
    <m/>
    <m/>
    <m/>
    <m/>
    <m/>
    <m/>
  </r>
  <r>
    <x v="0"/>
    <x v="1"/>
    <x v="5"/>
    <s v="FCTCT6"/>
    <x v="0"/>
    <d v="2017-11-21T00:00:00"/>
    <d v="1899-12-30T21:15:00"/>
    <n v="-76.722805555555553"/>
    <n v="3.4824166666666669"/>
    <n v="1"/>
    <s v="Derecho"/>
    <s v="Alvaro Fierro"/>
    <n v="2068"/>
    <b v="1"/>
    <s v=" "/>
    <n v="6"/>
    <m/>
    <n v="10"/>
    <s v="Hoja"/>
    <s v="Bosque Secundario"/>
    <s v="Fotografia 8666-8677"/>
    <x v="5"/>
    <m/>
    <n v="1"/>
    <m/>
    <m/>
    <s v="Ninguna"/>
    <m/>
    <m/>
    <m/>
    <m/>
    <m/>
    <m/>
    <m/>
    <m/>
    <m/>
    <m/>
    <m/>
    <m/>
    <m/>
    <m/>
    <m/>
    <m/>
    <m/>
  </r>
  <r>
    <x v="0"/>
    <x v="1"/>
    <x v="6"/>
    <s v="FCTAT5"/>
    <x v="4"/>
    <d v="2017-11-21T00:00:00"/>
    <d v="1899-12-30T22:20:00"/>
    <n v="-76.722972222222225"/>
    <n v="3.481527777777778"/>
    <n v="1"/>
    <s v="Derecho"/>
    <s v="Oscar Martinez"/>
    <n v="2086"/>
    <b v="1"/>
    <s v=" "/>
    <n v="10"/>
    <m/>
    <n v="15"/>
    <s v="Hoja"/>
    <s v="Bosque Secundario"/>
    <s v="Fotografia 8706-8712"/>
    <x v="5"/>
    <m/>
    <n v="1"/>
    <m/>
    <m/>
    <s v="Ninguna"/>
    <m/>
    <m/>
    <m/>
    <m/>
    <m/>
    <m/>
    <m/>
    <m/>
    <m/>
    <m/>
    <m/>
    <m/>
    <m/>
    <m/>
    <m/>
    <m/>
    <m/>
  </r>
  <r>
    <x v="0"/>
    <x v="1"/>
    <x v="6"/>
    <s v="FCTAT5"/>
    <x v="4"/>
    <d v="2017-11-21T00:00:00"/>
    <d v="1899-12-30T22:47:00"/>
    <n v="-76.723027777777773"/>
    <n v="3.4813888888888891"/>
    <n v="1"/>
    <s v="Derecho"/>
    <s v="Alvaro Fierro"/>
    <n v="2094"/>
    <b v="1"/>
    <s v=" "/>
    <n v="10"/>
    <m/>
    <n v="5"/>
    <s v="Hoja"/>
    <s v="Bosque Secundario"/>
    <m/>
    <x v="5"/>
    <m/>
    <n v="1"/>
    <m/>
    <m/>
    <s v="Ninguna"/>
    <m/>
    <m/>
    <m/>
    <m/>
    <m/>
    <m/>
    <m/>
    <m/>
    <m/>
    <m/>
    <m/>
    <m/>
    <m/>
    <m/>
    <m/>
    <m/>
    <m/>
  </r>
  <r>
    <x v="0"/>
    <x v="1"/>
    <x v="6"/>
    <s v="FCTAT5"/>
    <x v="4"/>
    <d v="2017-11-21T00:00:00"/>
    <d v="1899-12-30T22:25:00"/>
    <n v="-76.722999999999999"/>
    <n v="3.481527777777778"/>
    <n v="1"/>
    <s v="Izquierdo"/>
    <s v="Hamilton Bermudez"/>
    <n v="2090"/>
    <b v="1"/>
    <s v=" "/>
    <n v="12"/>
    <m/>
    <n v="30"/>
    <s v="Hoja"/>
    <s v="Bosque Secundario"/>
    <m/>
    <x v="5"/>
    <m/>
    <n v="1"/>
    <m/>
    <m/>
    <s v="Ninguna"/>
    <m/>
    <m/>
    <m/>
    <m/>
    <m/>
    <m/>
    <m/>
    <m/>
    <m/>
    <m/>
    <m/>
    <m/>
    <m/>
    <m/>
    <m/>
    <m/>
    <m/>
  </r>
  <r>
    <x v="0"/>
    <x v="1"/>
    <x v="6"/>
    <s v="FCTAT5"/>
    <x v="4"/>
    <d v="2017-11-21T00:00:00"/>
    <d v="1899-12-30T22:40:00"/>
    <n v="-76.722861111111115"/>
    <n v="3.4813611111111111"/>
    <n v="1"/>
    <s v="Izquierdo"/>
    <s v="Hamilton Bermudez"/>
    <n v="2089"/>
    <b v="1"/>
    <s v=" "/>
    <n v="10"/>
    <m/>
    <n v="20"/>
    <s v="Hoja"/>
    <s v="Bosque Secundario"/>
    <m/>
    <x v="5"/>
    <m/>
    <n v="1"/>
    <m/>
    <m/>
    <s v="Ninguna"/>
    <m/>
    <m/>
    <m/>
    <m/>
    <m/>
    <m/>
    <m/>
    <m/>
    <m/>
    <m/>
    <m/>
    <m/>
    <m/>
    <m/>
    <m/>
    <m/>
    <m/>
  </r>
  <r>
    <x v="0"/>
    <x v="1"/>
    <x v="6"/>
    <s v="FCTAT5"/>
    <x v="4"/>
    <d v="2017-11-21T00:00:00"/>
    <d v="1899-12-30T22:42:00"/>
    <n v="-76.722861111111115"/>
    <n v="3.4813611111111111"/>
    <n v="1"/>
    <s v="Izquierdo"/>
    <s v="Hamilton Bermudez"/>
    <n v="2089"/>
    <b v="1"/>
    <s v=" "/>
    <n v="15"/>
    <m/>
    <n v="20"/>
    <s v="Hoja"/>
    <s v="Bosque Secundario"/>
    <m/>
    <x v="5"/>
    <m/>
    <n v="1"/>
    <m/>
    <m/>
    <s v="Ninguna"/>
    <m/>
    <m/>
    <m/>
    <m/>
    <m/>
    <m/>
    <m/>
    <m/>
    <m/>
    <m/>
    <m/>
    <m/>
    <m/>
    <m/>
    <m/>
    <m/>
    <m/>
  </r>
  <r>
    <x v="0"/>
    <x v="1"/>
    <x v="6"/>
    <s v="FCTAT5"/>
    <x v="4"/>
    <d v="2017-11-21T00:00:00"/>
    <d v="1899-12-30T23:39:00"/>
    <n v="-76.723138888888897"/>
    <n v="3.480777777777778"/>
    <n v="1"/>
    <s v="Derecho"/>
    <s v="Carolina Burbano"/>
    <n v="2108"/>
    <b v="1"/>
    <s v=" "/>
    <n v="10"/>
    <m/>
    <n v="15"/>
    <s v="Hoja"/>
    <s v="Bosque Secundario"/>
    <m/>
    <x v="6"/>
    <m/>
    <n v="1"/>
    <m/>
    <m/>
    <s v="Ninguna"/>
    <m/>
    <m/>
    <m/>
    <m/>
    <m/>
    <m/>
    <m/>
    <m/>
    <m/>
    <m/>
    <m/>
    <m/>
    <m/>
    <m/>
    <m/>
    <m/>
    <m/>
  </r>
  <r>
    <x v="0"/>
    <x v="1"/>
    <x v="6"/>
    <s v="FCTAT5"/>
    <x v="4"/>
    <d v="2017-11-21T00:00:00"/>
    <d v="1899-12-30T23:42:00"/>
    <n v="-76.723111111111109"/>
    <n v="3.48075"/>
    <n v="1"/>
    <s v="Derecho"/>
    <s v="Carolina Burbano"/>
    <n v="2108"/>
    <b v="1"/>
    <s v=" "/>
    <n v="10"/>
    <m/>
    <n v="20"/>
    <s v="Hoja"/>
    <s v="Bosque Secundario"/>
    <m/>
    <x v="5"/>
    <m/>
    <n v="1"/>
    <m/>
    <m/>
    <s v="Ninguna"/>
    <m/>
    <m/>
    <m/>
    <m/>
    <m/>
    <m/>
    <m/>
    <m/>
    <m/>
    <m/>
    <m/>
    <m/>
    <m/>
    <m/>
    <m/>
    <m/>
    <m/>
  </r>
  <r>
    <x v="0"/>
    <x v="1"/>
    <x v="6"/>
    <s v="FCTAT5"/>
    <x v="4"/>
    <d v="2017-11-21T00:00:00"/>
    <d v="1899-12-30T23:15:00"/>
    <n v="-76.723138888888897"/>
    <n v="3.4810833333333329"/>
    <n v="1"/>
    <s v="Izquierdo"/>
    <s v="Hamilton Bermudez"/>
    <n v="2101"/>
    <b v="1"/>
    <s v=" "/>
    <n v="9"/>
    <m/>
    <n v="15"/>
    <s v="Hoja"/>
    <s v="Bosque Secundario"/>
    <m/>
    <x v="3"/>
    <m/>
    <n v="1"/>
    <m/>
    <m/>
    <s v="Ninguna"/>
    <m/>
    <m/>
    <m/>
    <m/>
    <m/>
    <m/>
    <m/>
    <m/>
    <m/>
    <m/>
    <m/>
    <m/>
    <m/>
    <m/>
    <m/>
    <m/>
    <m/>
  </r>
  <r>
    <x v="0"/>
    <x v="1"/>
    <x v="6"/>
    <s v="FCTAT5"/>
    <x v="4"/>
    <d v="2017-11-21T00:00:00"/>
    <d v="1899-12-30T23:25:00"/>
    <n v="-76.723138888888897"/>
    <n v="3.4809166666666669"/>
    <n v="1"/>
    <s v="Izquierdo"/>
    <s v="Hamilton Bermudez"/>
    <n v="2101"/>
    <b v="1"/>
    <s v=" "/>
    <n v="10"/>
    <m/>
    <n v="10"/>
    <s v="Hoja"/>
    <s v="Bosque Secundario"/>
    <m/>
    <x v="5"/>
    <m/>
    <n v="1"/>
    <m/>
    <m/>
    <s v="Ninguna"/>
    <m/>
    <m/>
    <m/>
    <m/>
    <m/>
    <m/>
    <m/>
    <m/>
    <m/>
    <m/>
    <m/>
    <m/>
    <m/>
    <m/>
    <m/>
    <m/>
    <m/>
  </r>
  <r>
    <x v="0"/>
    <x v="1"/>
    <x v="6"/>
    <s v="FCTAT5"/>
    <x v="4"/>
    <d v="2017-11-21T00:00:00"/>
    <d v="1899-12-30T23:35:00"/>
    <n v="-76.723250000000007"/>
    <n v="3.480777777777778"/>
    <n v="1"/>
    <s v="Izquierdo"/>
    <s v="Hamilton Bermudez"/>
    <n v="2107"/>
    <b v="1"/>
    <s v=" "/>
    <n v="12"/>
    <m/>
    <n v="15"/>
    <s v="Hoja"/>
    <s v="Bosque Secundario"/>
    <m/>
    <x v="5"/>
    <m/>
    <n v="1"/>
    <m/>
    <m/>
    <s v="Ninguna"/>
    <m/>
    <m/>
    <m/>
    <m/>
    <m/>
    <m/>
    <m/>
    <m/>
    <m/>
    <m/>
    <m/>
    <m/>
    <m/>
    <m/>
    <m/>
    <m/>
    <m/>
  </r>
  <r>
    <x v="0"/>
    <x v="1"/>
    <x v="6"/>
    <s v="FCTAT5"/>
    <x v="4"/>
    <d v="2017-11-21T00:00:00"/>
    <d v="1899-12-30T23:35:00"/>
    <n v="-76.723250000000007"/>
    <n v="3.480777777777778"/>
    <n v="1"/>
    <s v="Izquierdo"/>
    <s v="Hamilton Bermudez"/>
    <n v="2107"/>
    <b v="1"/>
    <s v=" "/>
    <n v="12"/>
    <m/>
    <n v="15"/>
    <s v="Hoja"/>
    <s v="Bosque Secundario"/>
    <m/>
    <x v="6"/>
    <m/>
    <n v="1"/>
    <m/>
    <m/>
    <s v="Ninguna"/>
    <m/>
    <m/>
    <m/>
    <m/>
    <m/>
    <m/>
    <m/>
    <m/>
    <m/>
    <m/>
    <m/>
    <m/>
    <m/>
    <m/>
    <m/>
    <m/>
    <m/>
  </r>
  <r>
    <x v="0"/>
    <x v="1"/>
    <x v="6"/>
    <s v="FCTAT5"/>
    <x v="4"/>
    <d v="2017-11-21T00:00:00"/>
    <d v="1899-12-30T23:45:00"/>
    <n v="-76.723250000000007"/>
    <n v="3.48075"/>
    <n v="1"/>
    <s v="Izquierdo"/>
    <s v="Gustavo Rodriguez"/>
    <n v="2108"/>
    <b v="1"/>
    <s v=" "/>
    <n v="10"/>
    <m/>
    <n v="5"/>
    <s v="Hoja"/>
    <s v="Bosque Secundario"/>
    <m/>
    <x v="5"/>
    <m/>
    <n v="1"/>
    <m/>
    <m/>
    <s v="Ninguna"/>
    <m/>
    <m/>
    <m/>
    <m/>
    <m/>
    <m/>
    <m/>
    <m/>
    <m/>
    <m/>
    <m/>
    <m/>
    <m/>
    <m/>
    <m/>
    <m/>
    <m/>
  </r>
  <r>
    <x v="0"/>
    <x v="1"/>
    <x v="6"/>
    <s v="FCTAT5"/>
    <x v="4"/>
    <d v="2017-11-21T00:00:00"/>
    <d v="1899-12-30T23:50:00"/>
    <n v="-76.723250000000007"/>
    <n v="3.4805277777777781"/>
    <n v="1"/>
    <s v="Izquierdo"/>
    <s v="Hamilton Bermudez"/>
    <n v="2137"/>
    <b v="1"/>
    <s v=" "/>
    <n v="10"/>
    <m/>
    <n v="5"/>
    <s v="Hoja"/>
    <s v="Bosque Secundario"/>
    <m/>
    <x v="5"/>
    <m/>
    <n v="1"/>
    <m/>
    <m/>
    <s v="Ninguna"/>
    <m/>
    <m/>
    <m/>
    <m/>
    <m/>
    <m/>
    <m/>
    <m/>
    <m/>
    <m/>
    <m/>
    <m/>
    <m/>
    <m/>
    <m/>
    <m/>
    <m/>
  </r>
  <r>
    <x v="0"/>
    <x v="1"/>
    <x v="5"/>
    <s v="FCTCT7"/>
    <x v="1"/>
    <d v="2017-11-21T00:00:00"/>
    <d v="1899-12-30T00:40:00"/>
    <n v="-76.724000000000004"/>
    <n v="3.4841666666666669"/>
    <n v="1"/>
    <s v="Izquierdo"/>
    <s v="Alvaro Fierro"/>
    <n v="2068"/>
    <b v="1"/>
    <s v=" "/>
    <n v="8"/>
    <m/>
    <n v="10"/>
    <s v="Hoja"/>
    <s v="Bosque Secundario"/>
    <m/>
    <x v="3"/>
    <m/>
    <n v="1"/>
    <m/>
    <m/>
    <s v="Ninguna"/>
    <m/>
    <m/>
    <m/>
    <m/>
    <m/>
    <m/>
    <m/>
    <m/>
    <m/>
    <m/>
    <m/>
    <m/>
    <m/>
    <m/>
    <m/>
    <m/>
    <m/>
  </r>
  <r>
    <x v="0"/>
    <x v="1"/>
    <x v="7"/>
    <s v="FCTBT15"/>
    <x v="0"/>
    <d v="2017-11-22T00:00:00"/>
    <d v="1899-12-30T20:32:00"/>
    <n v="-76.713916666666663"/>
    <n v="3.487805555555556"/>
    <n v="1"/>
    <s v="Derecho"/>
    <s v="Alvaro Fierro"/>
    <n v="1859"/>
    <s v=" "/>
    <b v="1"/>
    <n v="15"/>
    <n v="1.1499999999999999"/>
    <n v="30"/>
    <s v="Hoja"/>
    <s v="Bosque Ripario"/>
    <m/>
    <x v="3"/>
    <m/>
    <n v="1"/>
    <m/>
    <m/>
    <s v="Ninguna"/>
    <m/>
    <m/>
    <m/>
    <m/>
    <m/>
    <m/>
    <m/>
    <m/>
    <m/>
    <m/>
    <m/>
    <m/>
    <m/>
    <m/>
    <m/>
    <m/>
    <m/>
  </r>
  <r>
    <x v="0"/>
    <x v="1"/>
    <x v="7"/>
    <s v="FCTBT15"/>
    <x v="0"/>
    <d v="2017-11-22T00:00:00"/>
    <d v="1899-12-30T20:39:00"/>
    <n v="-76.714055555555561"/>
    <n v="3.487805555555556"/>
    <n v="1"/>
    <s v="Derecho"/>
    <s v="Oscar Matinez"/>
    <n v="1863"/>
    <s v=" "/>
    <b v="1"/>
    <n v="12"/>
    <n v="1"/>
    <n v="20"/>
    <s v="Hoja"/>
    <s v="Bosque Ripario"/>
    <m/>
    <x v="3"/>
    <m/>
    <n v="1"/>
    <m/>
    <m/>
    <s v="Ninguna"/>
    <m/>
    <m/>
    <m/>
    <m/>
    <m/>
    <m/>
    <m/>
    <m/>
    <m/>
    <m/>
    <m/>
    <m/>
    <m/>
    <m/>
    <m/>
    <m/>
    <m/>
  </r>
  <r>
    <x v="0"/>
    <x v="1"/>
    <x v="7"/>
    <s v="FCTBT15"/>
    <x v="0"/>
    <d v="2017-11-22T00:00:00"/>
    <d v="1899-12-30T20:40:00"/>
    <n v="-76.713999999999999"/>
    <n v="3.487805555555556"/>
    <n v="1"/>
    <s v="Derecho"/>
    <s v="Oscar Matinez"/>
    <n v="1865"/>
    <s v=" "/>
    <b v="1"/>
    <n v="15"/>
    <n v="1"/>
    <n v="15"/>
    <s v="Hoja"/>
    <s v="Bosque Ripario"/>
    <s v="P. sp5 ¿? Fotografia 8758-8770"/>
    <x v="5"/>
    <m/>
    <n v="1"/>
    <m/>
    <m/>
    <s v="Ninguna"/>
    <m/>
    <m/>
    <m/>
    <m/>
    <m/>
    <m/>
    <m/>
    <m/>
    <m/>
    <m/>
    <m/>
    <m/>
    <m/>
    <m/>
    <m/>
    <m/>
    <m/>
  </r>
  <r>
    <x v="0"/>
    <x v="1"/>
    <x v="7"/>
    <s v="FCTBT16"/>
    <x v="1"/>
    <d v="2017-11-22T00:00:00"/>
    <d v="1899-12-30T20:55:00"/>
    <n v="-76.714194444444445"/>
    <n v="3.4877777777777781"/>
    <n v="1"/>
    <s v="Derecho"/>
    <s v="Hamilton Bermudez"/>
    <n v="1863"/>
    <s v=" "/>
    <b v="1"/>
    <n v="15"/>
    <n v="1.3"/>
    <n v="15"/>
    <s v="Hoja"/>
    <s v="Bosque Ripario"/>
    <s v="fotografia 8771-8784"/>
    <x v="7"/>
    <m/>
    <n v="1"/>
    <m/>
    <m/>
    <s v="Ninguna"/>
    <m/>
    <m/>
    <m/>
    <m/>
    <m/>
    <m/>
    <m/>
    <m/>
    <m/>
    <m/>
    <m/>
    <m/>
    <m/>
    <m/>
    <m/>
    <m/>
    <m/>
  </r>
  <r>
    <x v="0"/>
    <x v="1"/>
    <x v="7"/>
    <s v="FCTBT16"/>
    <x v="1"/>
    <d v="2017-11-22T00:00:00"/>
    <d v="1899-12-30T21:06:00"/>
    <n v="-76.714194444444445"/>
    <n v="3.4877500000000001"/>
    <n v="1"/>
    <s v="Derecho"/>
    <s v="Oscar Matinez"/>
    <n v="1865"/>
    <s v=" "/>
    <b v="1"/>
    <n v="15"/>
    <n v="1.1000000000000001"/>
    <n v="20"/>
    <s v="Hoja"/>
    <s v="Bosque Ripario"/>
    <s v="fotografia 8791-8798"/>
    <x v="5"/>
    <m/>
    <n v="1"/>
    <m/>
    <m/>
    <s v="Ninguna"/>
    <m/>
    <m/>
    <m/>
    <m/>
    <m/>
    <m/>
    <m/>
    <m/>
    <m/>
    <m/>
    <m/>
    <m/>
    <m/>
    <m/>
    <m/>
    <m/>
    <m/>
  </r>
  <r>
    <x v="0"/>
    <x v="1"/>
    <x v="7"/>
    <s v="FCTBT15"/>
    <x v="0"/>
    <d v="2017-11-22T00:00:00"/>
    <d v="1899-12-30T20:40:00"/>
    <n v="-76.713999999999999"/>
    <n v="3.487805555555556"/>
    <n v="1"/>
    <s v="Izquierdo"/>
    <s v="Hamilton Bermudez"/>
    <n v="1865"/>
    <s v=" "/>
    <b v="1"/>
    <n v="15"/>
    <n v="1"/>
    <n v="1"/>
    <s v="Hoja"/>
    <s v="Bosque Ripario"/>
    <s v="Foto 8749-8757"/>
    <x v="5"/>
    <m/>
    <n v="1"/>
    <m/>
    <m/>
    <s v="Ninguna"/>
    <m/>
    <m/>
    <m/>
    <m/>
    <m/>
    <m/>
    <m/>
    <m/>
    <m/>
    <m/>
    <m/>
    <m/>
    <m/>
    <m/>
    <m/>
    <m/>
    <m/>
  </r>
  <r>
    <x v="0"/>
    <x v="1"/>
    <x v="7"/>
    <s v="FCTBT16"/>
    <x v="1"/>
    <d v="2017-11-22T00:00:00"/>
    <d v="1899-12-30T21:00:00"/>
    <n v="-76.714194444444445"/>
    <n v="3.4877777777777781"/>
    <n v="1"/>
    <s v="Izquierdo"/>
    <s v="Carolina Burbano"/>
    <n v="1863"/>
    <s v=" "/>
    <b v="1"/>
    <n v="20"/>
    <n v="1.5"/>
    <n v="1.5"/>
    <s v="Hoja"/>
    <s v="Bosque Ripario"/>
    <m/>
    <x v="5"/>
    <m/>
    <n v="1"/>
    <m/>
    <m/>
    <s v="Ninguna"/>
    <m/>
    <m/>
    <m/>
    <m/>
    <m/>
    <m/>
    <m/>
    <m/>
    <m/>
    <m/>
    <m/>
    <m/>
    <m/>
    <m/>
    <m/>
    <m/>
    <m/>
  </r>
  <r>
    <x v="0"/>
    <x v="1"/>
    <x v="7"/>
    <s v="FCTBT16"/>
    <x v="1"/>
    <d v="2017-11-22T00:00:00"/>
    <d v="1899-12-30T22:01:00"/>
    <n v="-76.714666666666673"/>
    <n v="3.4874999999999998"/>
    <n v="1"/>
    <s v="Derecho"/>
    <s v="Alvaro Fierro"/>
    <n v="1878"/>
    <s v=" "/>
    <b v="1"/>
    <n v="15"/>
    <n v="1.2"/>
    <n v="10"/>
    <s v="Hoja"/>
    <s v="Bosque Ripario"/>
    <m/>
    <x v="5"/>
    <m/>
    <n v="1"/>
    <m/>
    <m/>
    <s v="Ninguna"/>
    <m/>
    <m/>
    <m/>
    <m/>
    <m/>
    <m/>
    <m/>
    <m/>
    <m/>
    <m/>
    <m/>
    <m/>
    <m/>
    <m/>
    <m/>
    <m/>
    <m/>
  </r>
  <r>
    <x v="0"/>
    <x v="1"/>
    <x v="7"/>
    <s v="FCTBT16"/>
    <x v="1"/>
    <d v="2017-11-22T00:00:00"/>
    <d v="1899-12-30T22:05:00"/>
    <n v="-76.714805555555557"/>
    <n v="3.4873888888888889"/>
    <n v="1"/>
    <s v="Derecho"/>
    <s v="Carolina Gonzalez"/>
    <n v="1878"/>
    <s v=" "/>
    <b v="1"/>
    <n v="12"/>
    <n v="1.1599999999999999"/>
    <n v="7"/>
    <s v="Hoja"/>
    <s v="Bosque Ripario"/>
    <m/>
    <x v="5"/>
    <m/>
    <n v="1"/>
    <m/>
    <m/>
    <s v="Ninguna"/>
    <m/>
    <m/>
    <m/>
    <m/>
    <m/>
    <m/>
    <m/>
    <m/>
    <m/>
    <m/>
    <m/>
    <m/>
    <m/>
    <m/>
    <m/>
    <m/>
    <m/>
  </r>
  <r>
    <x v="0"/>
    <x v="1"/>
    <x v="7"/>
    <s v="FCTBT16"/>
    <x v="1"/>
    <d v="2017-11-22T00:00:00"/>
    <d v="1899-12-30T22:15:00"/>
    <n v="-76.714777777777783"/>
    <n v="3.487305555555555"/>
    <n v="1"/>
    <s v="Derecho"/>
    <s v="Alvaro Fierro"/>
    <n v="1880"/>
    <s v=" "/>
    <b v="1"/>
    <n v="15"/>
    <n v="1"/>
    <m/>
    <s v="Tronco"/>
    <s v="Bosque Ripario"/>
    <m/>
    <x v="3"/>
    <m/>
    <n v="1"/>
    <m/>
    <m/>
    <s v="Ninguna"/>
    <m/>
    <m/>
    <m/>
    <m/>
    <m/>
    <m/>
    <m/>
    <m/>
    <m/>
    <m/>
    <m/>
    <m/>
    <m/>
    <m/>
    <m/>
    <m/>
    <m/>
  </r>
  <r>
    <x v="0"/>
    <x v="1"/>
    <x v="7"/>
    <s v="FCTBT16"/>
    <x v="1"/>
    <d v="2017-11-22T00:00:00"/>
    <d v="1899-12-30T22:15:00"/>
    <n v="-76.714777777777783"/>
    <n v="3.487305555555555"/>
    <n v="1"/>
    <s v="Derecho"/>
    <s v="Oscar Martinez"/>
    <n v="1880"/>
    <s v=" "/>
    <b v="1"/>
    <n v="15"/>
    <n v="1"/>
    <m/>
    <s v="Herbacea"/>
    <s v="Bosque Ripario"/>
    <m/>
    <x v="5"/>
    <m/>
    <n v="1"/>
    <m/>
    <m/>
    <s v="Ninguna"/>
    <m/>
    <m/>
    <m/>
    <m/>
    <m/>
    <m/>
    <m/>
    <m/>
    <m/>
    <m/>
    <m/>
    <m/>
    <m/>
    <m/>
    <m/>
    <m/>
    <m/>
  </r>
  <r>
    <x v="0"/>
    <x v="1"/>
    <x v="7"/>
    <s v="FCTBT17"/>
    <x v="2"/>
    <d v="2017-11-22T00:00:00"/>
    <d v="1899-12-30T22:39:00"/>
    <n v="-76.714833333333331"/>
    <n v="3.487055555555556"/>
    <n v="1"/>
    <s v="Derecho"/>
    <s v="Hamilton Bermudez"/>
    <n v="1888"/>
    <s v=" "/>
    <b v="1"/>
    <n v="8"/>
    <n v="1"/>
    <n v="20"/>
    <s v="Herbacea"/>
    <s v="Bosque Ripario"/>
    <m/>
    <x v="5"/>
    <m/>
    <n v="1"/>
    <m/>
    <m/>
    <s v="Ninguna"/>
    <m/>
    <m/>
    <m/>
    <m/>
    <m/>
    <m/>
    <m/>
    <m/>
    <m/>
    <m/>
    <m/>
    <m/>
    <m/>
    <m/>
    <m/>
    <m/>
    <m/>
  </r>
  <r>
    <x v="0"/>
    <x v="1"/>
    <x v="7"/>
    <s v="FCTBT16"/>
    <x v="1"/>
    <d v="2017-11-22T00:00:00"/>
    <d v="1899-12-30T21:50:00"/>
    <n v="-76.714638888888885"/>
    <n v="3.4875277777777778"/>
    <n v="1"/>
    <s v="Izquierdo"/>
    <s v="Hamilton Bermudez"/>
    <n v="1876"/>
    <s v=" "/>
    <b v="1"/>
    <n v="15"/>
    <n v="1"/>
    <n v="50"/>
    <m/>
    <s v="Bosque Ripario"/>
    <m/>
    <x v="5"/>
    <m/>
    <n v="1"/>
    <m/>
    <m/>
    <s v="Ninguna"/>
    <m/>
    <m/>
    <m/>
    <m/>
    <m/>
    <m/>
    <m/>
    <m/>
    <m/>
    <m/>
    <m/>
    <m/>
    <m/>
    <m/>
    <m/>
    <m/>
    <m/>
  </r>
  <r>
    <x v="0"/>
    <x v="1"/>
    <x v="7"/>
    <s v="FCTBT16"/>
    <x v="1"/>
    <d v="2017-11-22T00:00:00"/>
    <d v="1899-12-30T22:10:00"/>
    <n v="-76.714722222222221"/>
    <n v="3.487333333333333"/>
    <n v="1"/>
    <s v="Izquierdo"/>
    <s v="Hamilton Bermudez"/>
    <n v="1878"/>
    <s v=" "/>
    <b v="1"/>
    <n v="12"/>
    <n v="1"/>
    <n v="3"/>
    <m/>
    <s v="Bosque Ripario"/>
    <m/>
    <x v="5"/>
    <m/>
    <n v="1"/>
    <m/>
    <m/>
    <s v="Ninguna"/>
    <m/>
    <m/>
    <m/>
    <m/>
    <m/>
    <m/>
    <m/>
    <m/>
    <m/>
    <m/>
    <m/>
    <m/>
    <m/>
    <m/>
    <m/>
    <m/>
    <m/>
  </r>
  <r>
    <x v="0"/>
    <x v="1"/>
    <x v="7"/>
    <s v="FCTBT15"/>
    <x v="0"/>
    <d v="2017-11-22T00:00:00"/>
    <m/>
    <n v="-76.713972222222225"/>
    <n v="3.487833333333334"/>
    <n v="1"/>
    <m/>
    <s v="Gustavo Rodriguez"/>
    <n v="1857"/>
    <s v=" "/>
    <b v="1"/>
    <m/>
    <m/>
    <m/>
    <m/>
    <m/>
    <m/>
    <x v="0"/>
    <m/>
    <n v="0"/>
    <m/>
    <m/>
    <s v="Ninguna"/>
    <m/>
    <m/>
    <m/>
    <m/>
    <m/>
    <m/>
    <m/>
    <m/>
    <m/>
    <m/>
    <m/>
    <m/>
    <m/>
    <m/>
    <m/>
    <m/>
    <m/>
  </r>
  <r>
    <x v="0"/>
    <x v="2"/>
    <x v="8"/>
    <s v="FCCBT5"/>
    <x v="0"/>
    <d v="2017-10-05T00:00:00"/>
    <d v="1899-12-30T20:50:00"/>
    <n v="-76.644383333333337"/>
    <n v="3.3494888888888892"/>
    <n v="1"/>
    <s v="Derecho"/>
    <s v="Carolina Burbano"/>
    <n v="2479"/>
    <b v="1"/>
    <s v=" "/>
    <m/>
    <m/>
    <n v="7"/>
    <s v="Tronco"/>
    <s v="Bosque Secundario"/>
    <m/>
    <x v="8"/>
    <m/>
    <n v="1"/>
    <m/>
    <m/>
    <s v="Ninguna"/>
    <m/>
    <m/>
    <m/>
    <m/>
    <m/>
    <m/>
    <m/>
    <m/>
    <m/>
    <m/>
    <m/>
    <m/>
    <m/>
    <m/>
    <m/>
    <m/>
    <m/>
  </r>
  <r>
    <x v="0"/>
    <x v="2"/>
    <x v="8"/>
    <s v="FCCBT5"/>
    <x v="0"/>
    <d v="2017-10-05T00:00:00"/>
    <m/>
    <n v="-76.64425"/>
    <n v="3.3495833333333329"/>
    <n v="1"/>
    <s v="Derecho"/>
    <s v="Alvaro Fierro"/>
    <n v="2478"/>
    <b v="1"/>
    <s v=" "/>
    <m/>
    <m/>
    <m/>
    <s v="Hoja"/>
    <s v="Bosque Secundario"/>
    <m/>
    <x v="8"/>
    <m/>
    <n v="1"/>
    <m/>
    <m/>
    <s v="Ninguna"/>
    <m/>
    <m/>
    <m/>
    <m/>
    <m/>
    <m/>
    <m/>
    <m/>
    <m/>
    <m/>
    <m/>
    <m/>
    <m/>
    <m/>
    <m/>
    <m/>
    <m/>
  </r>
  <r>
    <x v="0"/>
    <x v="2"/>
    <x v="8"/>
    <s v="FCCBT5"/>
    <x v="0"/>
    <d v="2017-10-05T00:00:00"/>
    <m/>
    <n v="-76.64425"/>
    <n v="3.3495833333333329"/>
    <n v="1"/>
    <s v="Derecho"/>
    <s v="Carolina Burbano"/>
    <n v="2478"/>
    <b v="1"/>
    <s v=" "/>
    <n v="10"/>
    <m/>
    <m/>
    <s v="Hoja"/>
    <s v="Bosque Secundario"/>
    <m/>
    <x v="8"/>
    <m/>
    <n v="1"/>
    <m/>
    <m/>
    <s v="Ninguna"/>
    <m/>
    <m/>
    <m/>
    <m/>
    <m/>
    <m/>
    <m/>
    <m/>
    <m/>
    <m/>
    <m/>
    <m/>
    <m/>
    <m/>
    <m/>
    <m/>
    <m/>
  </r>
  <r>
    <x v="0"/>
    <x v="2"/>
    <x v="8"/>
    <s v="FCCBT5"/>
    <x v="0"/>
    <d v="2017-10-05T00:00:00"/>
    <d v="1899-12-30T21:54:00"/>
    <n v="-76.644333333333336"/>
    <n v="3.3495555555555558"/>
    <n v="1"/>
    <s v="Derecho"/>
    <s v="Nicole Tovar"/>
    <n v="2472"/>
    <b v="1"/>
    <s v=" "/>
    <n v="20"/>
    <m/>
    <m/>
    <s v="Hoja"/>
    <s v="Bosque Secundario"/>
    <m/>
    <x v="8"/>
    <m/>
    <n v="1"/>
    <m/>
    <m/>
    <s v="Ninguna"/>
    <m/>
    <m/>
    <m/>
    <m/>
    <m/>
    <m/>
    <m/>
    <m/>
    <m/>
    <m/>
    <m/>
    <m/>
    <m/>
    <m/>
    <m/>
    <m/>
    <m/>
  </r>
  <r>
    <x v="0"/>
    <x v="2"/>
    <x v="8"/>
    <s v="FCCBT5"/>
    <x v="0"/>
    <d v="2017-10-05T00:00:00"/>
    <d v="1899-12-30T20:30:00"/>
    <n v="-76.644383333333337"/>
    <n v="3.3494888888888892"/>
    <n v="1"/>
    <s v="Izquierdo"/>
    <s v="Hamilton Bermudez"/>
    <n v="2479"/>
    <b v="1"/>
    <s v=" "/>
    <n v="8"/>
    <m/>
    <n v="5"/>
    <s v="Hoja"/>
    <s v="Bosque Secundario"/>
    <m/>
    <x v="3"/>
    <m/>
    <n v="1"/>
    <m/>
    <m/>
    <s v="Ninguna"/>
    <m/>
    <m/>
    <m/>
    <m/>
    <m/>
    <m/>
    <m/>
    <m/>
    <m/>
    <m/>
    <m/>
    <m/>
    <m/>
    <m/>
    <m/>
    <m/>
    <m/>
  </r>
  <r>
    <x v="0"/>
    <x v="2"/>
    <x v="8"/>
    <s v="FCCBT5"/>
    <x v="0"/>
    <d v="2017-10-05T00:00:00"/>
    <d v="1899-12-30T21:10:00"/>
    <n v="-76.644383333333337"/>
    <n v="3.3494888888888892"/>
    <n v="1"/>
    <s v="Izquierdo"/>
    <s v="Hamilton Bermudez"/>
    <n v="2479"/>
    <b v="1"/>
    <s v=" "/>
    <n v="8"/>
    <m/>
    <n v="10"/>
    <s v="Hoja"/>
    <s v="Bosque Secundario"/>
    <m/>
    <x v="8"/>
    <m/>
    <n v="1"/>
    <m/>
    <m/>
    <s v="Ninguna"/>
    <m/>
    <m/>
    <m/>
    <m/>
    <m/>
    <m/>
    <m/>
    <m/>
    <m/>
    <m/>
    <m/>
    <m/>
    <m/>
    <m/>
    <m/>
    <m/>
    <m/>
  </r>
  <r>
    <x v="0"/>
    <x v="2"/>
    <x v="8"/>
    <s v="FCCBT5"/>
    <x v="0"/>
    <d v="2017-10-05T00:00:00"/>
    <d v="1899-12-30T21:28:00"/>
    <n v="-76.64425555555556"/>
    <n v="3.3495833333333329"/>
    <n v="1"/>
    <s v="Izquierdo"/>
    <s v="Hamilton Bermudez"/>
    <n v="2471"/>
    <b v="1"/>
    <s v=" "/>
    <n v="10"/>
    <m/>
    <n v="2"/>
    <s v="Hoja"/>
    <s v="Bosque Secundario"/>
    <m/>
    <x v="3"/>
    <m/>
    <n v="1"/>
    <m/>
    <m/>
    <s v="Ninguna"/>
    <m/>
    <m/>
    <m/>
    <m/>
    <m/>
    <m/>
    <m/>
    <m/>
    <m/>
    <m/>
    <m/>
    <m/>
    <m/>
    <m/>
    <m/>
    <m/>
    <m/>
  </r>
  <r>
    <x v="0"/>
    <x v="2"/>
    <x v="8"/>
    <s v="FCCBT5"/>
    <x v="0"/>
    <d v="2017-10-05T00:00:00"/>
    <d v="1899-12-30T21:40:00"/>
    <n v="-76.644194444444452"/>
    <n v="3.3495833333333329"/>
    <n v="1"/>
    <s v="Izquierdo"/>
    <s v="Gustavo Rodriguez"/>
    <n v="2469"/>
    <b v="1"/>
    <s v=" "/>
    <n v="12"/>
    <m/>
    <n v="8"/>
    <s v="Hoja"/>
    <s v="Bosque Secundario"/>
    <m/>
    <x v="3"/>
    <m/>
    <n v="1"/>
    <m/>
    <m/>
    <s v="Ninguna"/>
    <m/>
    <m/>
    <m/>
    <m/>
    <m/>
    <m/>
    <m/>
    <m/>
    <m/>
    <m/>
    <m/>
    <m/>
    <m/>
    <m/>
    <m/>
    <m/>
    <m/>
  </r>
  <r>
    <x v="0"/>
    <x v="2"/>
    <x v="8"/>
    <s v="FCCBT6"/>
    <x v="1"/>
    <d v="2017-10-05T00:00:00"/>
    <d v="1899-12-30T22:10:00"/>
    <n v="-76.643416666666667"/>
    <n v="3.3474444444444451"/>
    <n v="1"/>
    <s v="Izquierdo"/>
    <s v="Carolina Burbano"/>
    <n v="2465"/>
    <b v="1"/>
    <s v=" "/>
    <n v="5"/>
    <m/>
    <n v="80"/>
    <s v="Hoja"/>
    <s v="Bosque Secundario"/>
    <m/>
    <x v="6"/>
    <m/>
    <n v="1"/>
    <m/>
    <m/>
    <s v="Ninguna"/>
    <m/>
    <m/>
    <m/>
    <m/>
    <m/>
    <m/>
    <m/>
    <m/>
    <m/>
    <m/>
    <m/>
    <m/>
    <m/>
    <m/>
    <m/>
    <m/>
    <m/>
  </r>
  <r>
    <x v="0"/>
    <x v="2"/>
    <x v="8"/>
    <s v="FCCBT6"/>
    <x v="1"/>
    <d v="2017-10-05T00:00:00"/>
    <d v="1899-12-30T22:31:00"/>
    <n v="-76.643305555555557"/>
    <n v="3.349472222222222"/>
    <n v="1"/>
    <s v="Izquierdo"/>
    <s v="Gustavo Rodriguez"/>
    <n v="2466"/>
    <b v="1"/>
    <s v=" "/>
    <n v="10"/>
    <m/>
    <n v="85"/>
    <s v="Hoja"/>
    <s v="Bosque Secundario"/>
    <m/>
    <x v="8"/>
    <m/>
    <n v="1"/>
    <m/>
    <m/>
    <s v="Ninguna"/>
    <m/>
    <m/>
    <m/>
    <m/>
    <m/>
    <m/>
    <m/>
    <m/>
    <m/>
    <m/>
    <m/>
    <m/>
    <m/>
    <m/>
    <m/>
    <m/>
    <m/>
  </r>
  <r>
    <x v="0"/>
    <x v="2"/>
    <x v="9"/>
    <s v="FCCAT2"/>
    <x v="1"/>
    <d v="2017-10-06T00:00:00"/>
    <d v="1899-12-30T01:00:00"/>
    <n v="-76.647083333333342"/>
    <n v="3.3495833333333329"/>
    <n v="1"/>
    <s v="Derecho"/>
    <s v="Gustavo Rodriguez"/>
    <n v="2447"/>
    <s v=" "/>
    <b v="1"/>
    <m/>
    <n v="1.5"/>
    <m/>
    <m/>
    <s v="Bosque Ripario"/>
    <m/>
    <x v="0"/>
    <s v="Planta invasora"/>
    <n v="0"/>
    <m/>
    <m/>
    <s v="Ninguna"/>
    <m/>
    <m/>
    <m/>
    <m/>
    <m/>
    <m/>
    <m/>
    <m/>
    <m/>
    <m/>
    <m/>
    <m/>
    <m/>
    <m/>
    <m/>
    <m/>
    <m/>
  </r>
  <r>
    <x v="0"/>
    <x v="2"/>
    <x v="10"/>
    <s v="FCCCT18"/>
    <x v="2"/>
    <d v="2017-10-06T00:00:00"/>
    <d v="1899-12-30T18:50:00"/>
    <n v="-76.6564388888889"/>
    <n v="3.355202777777778"/>
    <n v="1"/>
    <s v="Derecho"/>
    <s v="Hamilton Bermudez"/>
    <n v="2619"/>
    <s v=" "/>
    <b v="1"/>
    <n v="8"/>
    <n v="0.57999999999999996"/>
    <n v="5"/>
    <s v="Hoja"/>
    <s v="Bosque Ripario"/>
    <m/>
    <x v="8"/>
    <m/>
    <n v="1"/>
    <m/>
    <m/>
    <s v="Ninguna"/>
    <m/>
    <m/>
    <m/>
    <m/>
    <m/>
    <m/>
    <m/>
    <m/>
    <m/>
    <m/>
    <m/>
    <m/>
    <m/>
    <m/>
    <m/>
    <m/>
    <m/>
  </r>
  <r>
    <x v="0"/>
    <x v="2"/>
    <x v="10"/>
    <s v="FCCCT18"/>
    <x v="2"/>
    <d v="2017-10-06T00:00:00"/>
    <d v="1899-12-30T18:50:00"/>
    <n v="-76.6564388888889"/>
    <n v="3.355202777777778"/>
    <n v="1"/>
    <s v="Izquierdo"/>
    <s v="Hamilton Bermudez"/>
    <n v="2619"/>
    <s v=" "/>
    <b v="1"/>
    <n v="8"/>
    <n v="0.5"/>
    <n v="2"/>
    <s v="Rama seca"/>
    <s v="Bosque Ripario"/>
    <m/>
    <x v="9"/>
    <m/>
    <n v="1"/>
    <m/>
    <m/>
    <s v="Ninguna"/>
    <m/>
    <m/>
    <m/>
    <m/>
    <m/>
    <m/>
    <m/>
    <m/>
    <m/>
    <m/>
    <m/>
    <m/>
    <m/>
    <m/>
    <m/>
    <m/>
    <m/>
  </r>
  <r>
    <x v="0"/>
    <x v="2"/>
    <x v="10"/>
    <s v="FCCCT18"/>
    <x v="2"/>
    <d v="2017-10-06T00:00:00"/>
    <d v="1899-12-30T19:15:00"/>
    <n v="-76.656166666666678"/>
    <n v="3.3552499999999998"/>
    <n v="1"/>
    <s v="Izquierdo"/>
    <s v="Hamilton Bermudez"/>
    <n v="2599"/>
    <s v=" "/>
    <b v="1"/>
    <n v="10"/>
    <n v="0.8"/>
    <n v="10"/>
    <s v="Hoja"/>
    <s v="Bosque Ripario"/>
    <m/>
    <x v="8"/>
    <m/>
    <n v="1"/>
    <m/>
    <m/>
    <s v="Ninguna"/>
    <m/>
    <m/>
    <m/>
    <m/>
    <m/>
    <m/>
    <m/>
    <m/>
    <m/>
    <m/>
    <m/>
    <m/>
    <m/>
    <m/>
    <m/>
    <m/>
    <m/>
  </r>
  <r>
    <x v="0"/>
    <x v="2"/>
    <x v="10"/>
    <s v="FCCCT18"/>
    <x v="2"/>
    <d v="2017-10-06T00:00:00"/>
    <d v="1899-12-30T19:16:00"/>
    <n v="-76.656166666666678"/>
    <n v="3.3552499999999998"/>
    <n v="1"/>
    <s v="Izquierdo"/>
    <s v="Carolina Burbano"/>
    <n v="2599"/>
    <s v=" "/>
    <b v="1"/>
    <n v="10"/>
    <n v="0.4"/>
    <n v="15"/>
    <s v="Tronco caido"/>
    <s v="Bosque Ripario"/>
    <m/>
    <x v="8"/>
    <m/>
    <n v="1"/>
    <m/>
    <m/>
    <s v="Ninguna"/>
    <m/>
    <m/>
    <m/>
    <m/>
    <m/>
    <m/>
    <m/>
    <m/>
    <m/>
    <m/>
    <m/>
    <m/>
    <m/>
    <m/>
    <m/>
    <m/>
    <m/>
  </r>
  <r>
    <x v="0"/>
    <x v="2"/>
    <x v="10"/>
    <s v="FCCCT18"/>
    <x v="2"/>
    <d v="2017-10-06T00:00:00"/>
    <d v="1899-12-30T20:00:00"/>
    <n v="-76.656194444444452"/>
    <n v="3.3553888888888892"/>
    <n v="1"/>
    <s v="Izquierdo"/>
    <s v="Carolina Burbano"/>
    <n v="2580"/>
    <s v=" "/>
    <b v="1"/>
    <n v="10"/>
    <n v="0.4"/>
    <n v="30"/>
    <s v="Suelo"/>
    <s v="Bosque Ripario"/>
    <m/>
    <x v="3"/>
    <m/>
    <n v="1"/>
    <m/>
    <m/>
    <s v="Ninguna"/>
    <m/>
    <m/>
    <m/>
    <m/>
    <m/>
    <m/>
    <m/>
    <m/>
    <m/>
    <m/>
    <m/>
    <m/>
    <m/>
    <m/>
    <m/>
    <m/>
    <m/>
  </r>
  <r>
    <x v="0"/>
    <x v="2"/>
    <x v="10"/>
    <s v="FCCDT17"/>
    <x v="1"/>
    <d v="2017-10-06T00:00:00"/>
    <d v="1899-12-30T20:58:00"/>
    <n v="-76.65613888888889"/>
    <n v="3.3547500000000001"/>
    <n v="1"/>
    <s v="Derecho"/>
    <s v="Alvaro Fierro"/>
    <n v="2585"/>
    <b v="1"/>
    <s v=" "/>
    <n v="15"/>
    <m/>
    <n v="20"/>
    <s v="Hoja"/>
    <s v="Bosque Secundario"/>
    <s v="Juvenil"/>
    <x v="3"/>
    <m/>
    <n v="1"/>
    <m/>
    <m/>
    <s v="Ninguna"/>
    <m/>
    <m/>
    <m/>
    <m/>
    <m/>
    <m/>
    <m/>
    <m/>
    <m/>
    <m/>
    <m/>
    <m/>
    <m/>
    <m/>
    <m/>
    <m/>
    <m/>
  </r>
  <r>
    <x v="0"/>
    <x v="2"/>
    <x v="10"/>
    <s v="FCCDT17"/>
    <x v="1"/>
    <d v="2017-10-06T00:00:00"/>
    <d v="1899-12-30T20:50:00"/>
    <n v="-76.65613888888889"/>
    <n v="3.3547500000000001"/>
    <n v="1"/>
    <s v="Izquierdo"/>
    <s v="Hamilton Bermudez"/>
    <n v="2585"/>
    <b v="1"/>
    <s v=" "/>
    <n v="10"/>
    <m/>
    <n v="50"/>
    <s v="Hoja"/>
    <s v="Bosque Secundario"/>
    <s v="cantando"/>
    <x v="8"/>
    <m/>
    <n v="1"/>
    <m/>
    <m/>
    <s v="Ninguna"/>
    <m/>
    <m/>
    <m/>
    <m/>
    <m/>
    <m/>
    <m/>
    <m/>
    <m/>
    <m/>
    <m/>
    <m/>
    <m/>
    <m/>
    <m/>
    <m/>
    <m/>
  </r>
  <r>
    <x v="0"/>
    <x v="2"/>
    <x v="10"/>
    <s v="FCCDT17"/>
    <x v="1"/>
    <d v="2017-10-06T00:00:00"/>
    <d v="1899-12-30T21:20:00"/>
    <n v="-76.65591666666667"/>
    <n v="3.354805555555556"/>
    <n v="1"/>
    <s v="Izquierdo"/>
    <s v="Hamilton Bermudez"/>
    <n v="2588"/>
    <b v="1"/>
    <s v=" "/>
    <n v="8"/>
    <m/>
    <n v="80"/>
    <s v="Hoja"/>
    <s v="Bosque Secundario"/>
    <m/>
    <x v="8"/>
    <m/>
    <n v="1"/>
    <m/>
    <m/>
    <s v="Ninguna"/>
    <m/>
    <m/>
    <m/>
    <m/>
    <m/>
    <m/>
    <m/>
    <m/>
    <m/>
    <m/>
    <m/>
    <m/>
    <m/>
    <m/>
    <m/>
    <m/>
    <m/>
  </r>
  <r>
    <x v="0"/>
    <x v="2"/>
    <x v="10"/>
    <s v="FCCDT17"/>
    <x v="1"/>
    <d v="2017-10-06T00:00:00"/>
    <d v="1899-12-30T21:30:00"/>
    <n v="-76.65591666666667"/>
    <n v="3.354805555555556"/>
    <n v="1"/>
    <s v="Izquierdo"/>
    <s v="Gustavo Rodriguez"/>
    <n v="2588"/>
    <b v="1"/>
    <s v=" "/>
    <n v="10"/>
    <m/>
    <n v="10"/>
    <s v="Hoja"/>
    <s v="Bosque Secundario"/>
    <m/>
    <x v="9"/>
    <m/>
    <n v="1"/>
    <m/>
    <m/>
    <s v="Ninguna"/>
    <m/>
    <m/>
    <m/>
    <m/>
    <m/>
    <m/>
    <m/>
    <m/>
    <m/>
    <m/>
    <m/>
    <m/>
    <m/>
    <m/>
    <m/>
    <m/>
    <m/>
  </r>
  <r>
    <x v="0"/>
    <x v="2"/>
    <x v="10"/>
    <s v="FCCDT17"/>
    <x v="1"/>
    <d v="2017-10-06T00:00:00"/>
    <d v="1899-12-30T21:31:00"/>
    <n v="-76.65591666666667"/>
    <n v="3.354805555555556"/>
    <n v="1"/>
    <s v="Izquierdo"/>
    <s v="Hamilton Bermudez"/>
    <n v="2588"/>
    <b v="1"/>
    <s v=" "/>
    <n v="10"/>
    <m/>
    <n v="10"/>
    <s v="Hoja"/>
    <s v="Bosque Secundario"/>
    <m/>
    <x v="9"/>
    <m/>
    <n v="1"/>
    <m/>
    <m/>
    <s v="Ninguna"/>
    <m/>
    <m/>
    <m/>
    <m/>
    <m/>
    <m/>
    <m/>
    <m/>
    <m/>
    <m/>
    <m/>
    <m/>
    <m/>
    <m/>
    <m/>
    <m/>
    <m/>
  </r>
  <r>
    <x v="0"/>
    <x v="2"/>
    <x v="11"/>
    <s v="FCCDT15"/>
    <x v="4"/>
    <d v="2017-10-06T00:00:00"/>
    <d v="1899-12-30T22:42:00"/>
    <n v="-76.654055555555558"/>
    <n v="3.3535833333333329"/>
    <n v="1"/>
    <s v="Izquierdo"/>
    <s v="Alvaro Fierro"/>
    <n v="2594"/>
    <b v="1"/>
    <s v=" "/>
    <n v="10"/>
    <m/>
    <n v="5"/>
    <s v="Hoja"/>
    <s v="Bosque Secundario"/>
    <m/>
    <x v="8"/>
    <m/>
    <n v="1"/>
    <m/>
    <m/>
    <s v="Ninguna"/>
    <m/>
    <m/>
    <m/>
    <m/>
    <m/>
    <m/>
    <m/>
    <m/>
    <m/>
    <m/>
    <m/>
    <m/>
    <m/>
    <m/>
    <m/>
    <m/>
    <m/>
  </r>
  <r>
    <x v="0"/>
    <x v="2"/>
    <x v="11"/>
    <s v="FCCDT15"/>
    <x v="4"/>
    <d v="2017-10-06T00:00:00"/>
    <d v="1899-12-30T22:52:00"/>
    <n v="-76.654055555555558"/>
    <n v="3.3535833333333329"/>
    <n v="1"/>
    <s v="Izquierdo"/>
    <s v="Burbano Carolina"/>
    <n v="2594"/>
    <b v="1"/>
    <s v=" "/>
    <n v="5"/>
    <m/>
    <n v="10"/>
    <s v="Hoja"/>
    <s v="Bosque Secundario"/>
    <s v="Foto 8017-8023"/>
    <x v="8"/>
    <m/>
    <n v="1"/>
    <m/>
    <m/>
    <s v="Ninguna"/>
    <m/>
    <m/>
    <m/>
    <m/>
    <m/>
    <m/>
    <m/>
    <m/>
    <m/>
    <m/>
    <m/>
    <m/>
    <m/>
    <m/>
    <m/>
    <m/>
    <m/>
  </r>
  <r>
    <x v="0"/>
    <x v="2"/>
    <x v="11"/>
    <s v="FCCDT15"/>
    <x v="4"/>
    <d v="2017-10-06T00:00:00"/>
    <d v="1899-12-30T23:06:00"/>
    <n v="-76.653750000000002"/>
    <n v="3.353444444444444"/>
    <n v="1"/>
    <s v="Izquierdo"/>
    <s v="Alvaro Fierro"/>
    <n v="2583"/>
    <b v="1"/>
    <s v=" "/>
    <n v="12"/>
    <m/>
    <n v="30"/>
    <s v="Hoja"/>
    <s v="Bosque Secundario"/>
    <m/>
    <x v="8"/>
    <m/>
    <n v="1"/>
    <m/>
    <m/>
    <s v="Ninguna"/>
    <m/>
    <m/>
    <m/>
    <m/>
    <m/>
    <m/>
    <m/>
    <m/>
    <m/>
    <m/>
    <m/>
    <m/>
    <m/>
    <m/>
    <m/>
    <m/>
    <m/>
  </r>
  <r>
    <x v="0"/>
    <x v="2"/>
    <x v="11"/>
    <s v="FCCDT15"/>
    <x v="4"/>
    <d v="2017-10-06T00:00:00"/>
    <d v="1899-12-30T23:20:00"/>
    <n v="-76.653472222222234"/>
    <n v="3.353444444444444"/>
    <n v="1"/>
    <s v="Izquierdo"/>
    <s v="Alvaro Fierro"/>
    <n v="2585"/>
    <b v="1"/>
    <s v=" "/>
    <n v="12"/>
    <m/>
    <n v="40"/>
    <s v="Hoja"/>
    <s v="Bosque Secundario"/>
    <m/>
    <x v="8"/>
    <m/>
    <n v="1"/>
    <m/>
    <m/>
    <s v="Ninguna"/>
    <m/>
    <m/>
    <m/>
    <m/>
    <m/>
    <m/>
    <m/>
    <m/>
    <m/>
    <m/>
    <m/>
    <m/>
    <m/>
    <m/>
    <m/>
    <m/>
    <m/>
  </r>
  <r>
    <x v="0"/>
    <x v="2"/>
    <x v="11"/>
    <s v="FCCDT15"/>
    <x v="4"/>
    <d v="2017-10-06T00:00:00"/>
    <d v="1899-12-30T22:30:00"/>
    <n v="-76.654111111111121"/>
    <n v="3.3535555555555558"/>
    <n v="1"/>
    <s v="Derecho"/>
    <s v="Hamilton Bermudez"/>
    <n v="2583"/>
    <b v="1"/>
    <s v=" "/>
    <n v="8"/>
    <m/>
    <n v="15"/>
    <s v="Hoja"/>
    <s v="Bosque Secundario"/>
    <m/>
    <x v="8"/>
    <m/>
    <n v="1"/>
    <m/>
    <m/>
    <s v="Ninguna"/>
    <m/>
    <m/>
    <m/>
    <m/>
    <m/>
    <m/>
    <m/>
    <m/>
    <m/>
    <m/>
    <m/>
    <m/>
    <m/>
    <m/>
    <m/>
    <m/>
    <m/>
  </r>
  <r>
    <x v="0"/>
    <x v="2"/>
    <x v="11"/>
    <s v="FCCDT15"/>
    <x v="4"/>
    <d v="2017-10-06T00:00:00"/>
    <d v="1899-12-30T22:41:00"/>
    <n v="-76.653861111111112"/>
    <n v="3.3535277777777779"/>
    <n v="1"/>
    <s v="Derecho"/>
    <s v="Hamilton Bermudez"/>
    <n v="2582"/>
    <b v="1"/>
    <s v=" "/>
    <n v="6"/>
    <m/>
    <n v="6"/>
    <s v="Hoja"/>
    <s v="Bosque Secundario"/>
    <m/>
    <x v="8"/>
    <m/>
    <n v="1"/>
    <m/>
    <m/>
    <s v="Ninguna"/>
    <m/>
    <m/>
    <m/>
    <m/>
    <m/>
    <m/>
    <m/>
    <m/>
    <m/>
    <m/>
    <m/>
    <m/>
    <m/>
    <m/>
    <m/>
    <m/>
    <m/>
  </r>
  <r>
    <x v="0"/>
    <x v="2"/>
    <x v="11"/>
    <s v="FCCDT15"/>
    <x v="4"/>
    <d v="2017-10-06T00:00:00"/>
    <d v="1899-12-30T22:48:00"/>
    <n v="-76.653750000000002"/>
    <n v="3.353444444444444"/>
    <n v="1"/>
    <s v="Derecho"/>
    <s v="Hamilton Bermudez"/>
    <n v="2585"/>
    <b v="1"/>
    <s v=" "/>
    <n v="10"/>
    <m/>
    <n v="70"/>
    <s v="Hoja"/>
    <s v="Bosque Secundario"/>
    <m/>
    <x v="8"/>
    <m/>
    <n v="1"/>
    <m/>
    <m/>
    <s v="Ninguna"/>
    <m/>
    <m/>
    <m/>
    <m/>
    <m/>
    <m/>
    <m/>
    <m/>
    <m/>
    <m/>
    <m/>
    <m/>
    <m/>
    <m/>
    <m/>
    <m/>
    <m/>
  </r>
  <r>
    <x v="0"/>
    <x v="2"/>
    <x v="11"/>
    <s v="FCCDT14"/>
    <x v="3"/>
    <d v="2017-10-06T00:00:00"/>
    <d v="1899-12-30T00:00:00"/>
    <n v="-76.65269444444445"/>
    <n v="3.3535555555555558"/>
    <n v="1"/>
    <s v="Derecho"/>
    <s v="Hamilton Bermudez"/>
    <n v="2558"/>
    <b v="1"/>
    <s v=" "/>
    <n v="10"/>
    <m/>
    <n v="70"/>
    <s v="Hoja"/>
    <s v="Bosque Secundario"/>
    <m/>
    <x v="3"/>
    <m/>
    <n v="1"/>
    <m/>
    <m/>
    <s v="Ninguna"/>
    <m/>
    <m/>
    <m/>
    <m/>
    <m/>
    <m/>
    <m/>
    <m/>
    <m/>
    <m/>
    <m/>
    <m/>
    <m/>
    <m/>
    <m/>
    <m/>
    <m/>
  </r>
  <r>
    <x v="0"/>
    <x v="2"/>
    <x v="11"/>
    <s v="FCCDT14"/>
    <x v="3"/>
    <d v="2017-10-06T00:00:00"/>
    <d v="1899-12-30T00:28:00"/>
    <n v="-76.652111111111111"/>
    <n v="3.353444444444444"/>
    <n v="1"/>
    <s v="Izquierdo"/>
    <s v="Carolina Burbano"/>
    <n v="2551"/>
    <b v="1"/>
    <s v=" "/>
    <n v="15"/>
    <m/>
    <n v="90"/>
    <s v="Hoja"/>
    <s v="Bosque Secundario"/>
    <m/>
    <x v="8"/>
    <m/>
    <n v="1"/>
    <m/>
    <m/>
    <s v="Ninguna"/>
    <m/>
    <m/>
    <m/>
    <m/>
    <m/>
    <m/>
    <m/>
    <m/>
    <m/>
    <m/>
    <m/>
    <m/>
    <m/>
    <m/>
    <m/>
    <m/>
    <m/>
  </r>
  <r>
    <x v="1"/>
    <x v="0"/>
    <x v="2"/>
    <s v="FCMDT17"/>
    <x v="0"/>
    <d v="2018-05-10T00:00:00"/>
    <d v="1899-12-30T19:23:00"/>
    <n v="-76.680588888888892"/>
    <n v="3.4012361111111109"/>
    <n v="2"/>
    <s v="Derecho"/>
    <s v="Oscar Martinez"/>
    <n v="3065"/>
    <b v="1"/>
    <s v=" "/>
    <n v="10"/>
    <m/>
    <n v="70"/>
    <s v="Suelo"/>
    <s v="Bosque Secundario"/>
    <m/>
    <x v="0"/>
    <s v="Residuos sólidos"/>
    <n v="0"/>
    <m/>
    <m/>
    <s v="Ninguna"/>
    <m/>
    <m/>
    <m/>
    <m/>
    <m/>
    <m/>
    <m/>
    <m/>
    <m/>
    <m/>
    <m/>
    <m/>
    <m/>
    <m/>
    <m/>
    <m/>
    <m/>
  </r>
  <r>
    <x v="1"/>
    <x v="0"/>
    <x v="2"/>
    <s v="FCMDT18"/>
    <x v="1"/>
    <d v="2018-05-10T00:00:00"/>
    <d v="1899-12-30T20:52:00"/>
    <n v="-76.679702777777777"/>
    <n v="3.400816666666667"/>
    <n v="2"/>
    <s v="Izquierdo"/>
    <s v="Roger Franco"/>
    <n v="3088"/>
    <b v="1"/>
    <s v=" "/>
    <n v="4"/>
    <m/>
    <n v="70"/>
    <s v="Hoja"/>
    <s v="Bosque Secundario"/>
    <m/>
    <x v="10"/>
    <m/>
    <n v="1"/>
    <m/>
    <m/>
    <s v="Ninguna"/>
    <m/>
    <m/>
    <m/>
    <m/>
    <m/>
    <m/>
    <m/>
    <m/>
    <m/>
    <m/>
    <m/>
    <m/>
    <m/>
    <m/>
    <m/>
    <m/>
    <m/>
  </r>
  <r>
    <x v="1"/>
    <x v="0"/>
    <x v="2"/>
    <s v="FCMDT18"/>
    <x v="1"/>
    <d v="2018-05-10T00:00:00"/>
    <d v="1899-12-30T21:30:00"/>
    <n v="-76.67924444444445"/>
    <n v="3.400816666666667"/>
    <n v="2"/>
    <s v="Izquierdo"/>
    <s v="Álvaro Javier Fierro"/>
    <n v="3063"/>
    <b v="1"/>
    <s v=" "/>
    <n v="4"/>
    <m/>
    <n v="60"/>
    <s v="Hoja"/>
    <s v="Bosque Secundario"/>
    <m/>
    <x v="10"/>
    <m/>
    <n v="1"/>
    <m/>
    <m/>
    <s v="Ninguna"/>
    <m/>
    <m/>
    <m/>
    <m/>
    <m/>
    <m/>
    <m/>
    <m/>
    <m/>
    <m/>
    <m/>
    <m/>
    <m/>
    <m/>
    <m/>
    <m/>
    <m/>
  </r>
  <r>
    <x v="1"/>
    <x v="0"/>
    <x v="2"/>
    <s v="FCMDT19"/>
    <x v="2"/>
    <d v="2018-05-10T00:00:00"/>
    <d v="1899-12-30T22:01:00"/>
    <n v="-76.67902500000001"/>
    <n v="3.4008305555555549"/>
    <n v="2"/>
    <s v="Derecho"/>
    <s v="Roger Franco"/>
    <n v="3066"/>
    <b v="1"/>
    <s v=" "/>
    <n v="8"/>
    <m/>
    <n v="40"/>
    <s v="Tronco"/>
    <s v="Bosque Secundario"/>
    <m/>
    <x v="11"/>
    <m/>
    <n v="1"/>
    <m/>
    <m/>
    <s v="Ninguna"/>
    <m/>
    <m/>
    <m/>
    <m/>
    <m/>
    <m/>
    <m/>
    <m/>
    <m/>
    <m/>
    <m/>
    <m/>
    <m/>
    <m/>
    <m/>
    <m/>
    <m/>
  </r>
  <r>
    <x v="1"/>
    <x v="0"/>
    <x v="2"/>
    <s v="FCMDT17"/>
    <x v="0"/>
    <d v="2018-05-10T00:00:00"/>
    <d v="1899-12-30T19:45:00"/>
    <n v="-76.680930555555562"/>
    <n v="3.4013949999999999"/>
    <n v="2"/>
    <s v="Derecho"/>
    <s v="Oscar Martinez"/>
    <n v="3098"/>
    <b v="1"/>
    <b v="1"/>
    <n v="12"/>
    <n v="1.5"/>
    <n v="70"/>
    <s v="Hoja"/>
    <s v="Bosque Secundario"/>
    <m/>
    <x v="10"/>
    <m/>
    <n v="1"/>
    <m/>
    <m/>
    <s v="Ninguna"/>
    <m/>
    <m/>
    <m/>
    <m/>
    <m/>
    <m/>
    <m/>
    <m/>
    <m/>
    <m/>
    <m/>
    <m/>
    <m/>
    <m/>
    <m/>
    <m/>
    <m/>
  </r>
  <r>
    <x v="1"/>
    <x v="0"/>
    <x v="2"/>
    <s v="FCMDT17"/>
    <x v="0"/>
    <d v="2018-05-10T00:00:00"/>
    <d v="1899-12-30T20:21:00"/>
    <n v="-76.680422222222234"/>
    <n v="3.4010055555555549"/>
    <n v="2"/>
    <s v="Derecho"/>
    <s v="Roger Franco"/>
    <n v="3050"/>
    <b v="1"/>
    <s v=" "/>
    <n v="12"/>
    <m/>
    <n v="80"/>
    <s v="Hoja"/>
    <s v="Bosque Secundario"/>
    <m/>
    <x v="10"/>
    <m/>
    <n v="1"/>
    <m/>
    <m/>
    <s v="Ninguna"/>
    <m/>
    <m/>
    <m/>
    <m/>
    <m/>
    <m/>
    <m/>
    <m/>
    <m/>
    <m/>
    <m/>
    <m/>
    <m/>
    <m/>
    <m/>
    <m/>
    <m/>
  </r>
  <r>
    <x v="1"/>
    <x v="0"/>
    <x v="2"/>
    <s v="FCMDT17"/>
    <x v="0"/>
    <d v="2018-05-10T00:00:00"/>
    <d v="1899-12-30T20:31:00"/>
    <n v="-76.680155555555558"/>
    <n v="3.4010305555555549"/>
    <n v="2"/>
    <s v="Derecho"/>
    <s v="Oscar Martinez"/>
    <n v="3072"/>
    <b v="1"/>
    <s v=" "/>
    <n v="12"/>
    <m/>
    <n v="70"/>
    <s v="Hoja"/>
    <s v="Bosque Secundario"/>
    <m/>
    <x v="10"/>
    <m/>
    <n v="1"/>
    <m/>
    <m/>
    <s v="Ninguna"/>
    <m/>
    <m/>
    <m/>
    <m/>
    <m/>
    <m/>
    <m/>
    <m/>
    <m/>
    <m/>
    <m/>
    <m/>
    <m/>
    <m/>
    <m/>
    <m/>
    <m/>
  </r>
  <r>
    <x v="1"/>
    <x v="0"/>
    <x v="2"/>
    <s v="FCMDT18"/>
    <x v="1"/>
    <d v="2018-05-10T00:00:00"/>
    <d v="1899-12-30T20:46:00"/>
    <n v="-76.680138888888891"/>
    <n v="3.4007972222222218"/>
    <n v="2"/>
    <s v="Derecho"/>
    <s v="Oscar Martinez"/>
    <n v="3078"/>
    <b v="1"/>
    <s v=" "/>
    <n v="15"/>
    <m/>
    <n v="70"/>
    <s v="Hoja"/>
    <s v="Bosque Secundario"/>
    <m/>
    <x v="12"/>
    <m/>
    <n v="1"/>
    <m/>
    <m/>
    <s v="Ninguna"/>
    <m/>
    <m/>
    <m/>
    <m/>
    <m/>
    <m/>
    <m/>
    <m/>
    <m/>
    <m/>
    <m/>
    <m/>
    <m/>
    <m/>
    <m/>
    <m/>
    <m/>
  </r>
  <r>
    <x v="1"/>
    <x v="0"/>
    <x v="2"/>
    <s v="FCMDT18"/>
    <x v="1"/>
    <d v="2018-05-10T00:00:00"/>
    <d v="1899-12-30T21:06:00"/>
    <n v="-76.679702777777777"/>
    <n v="3.400816666666667"/>
    <n v="2"/>
    <s v="Derecho"/>
    <s v="Carolina Burbano"/>
    <n v="3088"/>
    <b v="1"/>
    <s v=" "/>
    <n v="15"/>
    <m/>
    <n v="75"/>
    <s v="Hoja"/>
    <s v="Bosque Secundario"/>
    <m/>
    <x v="10"/>
    <m/>
    <n v="1"/>
    <m/>
    <m/>
    <s v="Ninguna"/>
    <m/>
    <m/>
    <m/>
    <m/>
    <m/>
    <m/>
    <m/>
    <m/>
    <m/>
    <m/>
    <m/>
    <m/>
    <m/>
    <m/>
    <m/>
    <m/>
    <m/>
  </r>
  <r>
    <x v="1"/>
    <x v="0"/>
    <x v="2"/>
    <s v="FCMDT18"/>
    <x v="1"/>
    <d v="2018-05-10T00:00:00"/>
    <d v="1899-12-30T21:15:00"/>
    <n v="-76.679269444444444"/>
    <n v="3.4008027777777778"/>
    <n v="2"/>
    <s v="Derecho"/>
    <s v="Carolina Burbano"/>
    <n v="3058"/>
    <b v="1"/>
    <s v=" "/>
    <n v="15"/>
    <m/>
    <n v="80"/>
    <s v="Hoja"/>
    <s v="Bosque Secundario"/>
    <m/>
    <x v="13"/>
    <m/>
    <n v="1"/>
    <m/>
    <m/>
    <s v="Ninguna"/>
    <m/>
    <m/>
    <m/>
    <m/>
    <m/>
    <m/>
    <m/>
    <m/>
    <m/>
    <m/>
    <m/>
    <m/>
    <m/>
    <m/>
    <m/>
    <m/>
    <m/>
  </r>
  <r>
    <x v="1"/>
    <x v="0"/>
    <x v="2"/>
    <s v="FCMDT19"/>
    <x v="2"/>
    <d v="2018-05-10T00:00:00"/>
    <d v="1899-12-30T22:07:00"/>
    <n v="-76.678866666666678"/>
    <n v="3.4009472222222219"/>
    <n v="2"/>
    <s v="Derecho"/>
    <s v="Gustavo Rodriguez"/>
    <n v="3072"/>
    <b v="1"/>
    <s v=" "/>
    <m/>
    <m/>
    <m/>
    <m/>
    <s v="Bosque Secundario"/>
    <m/>
    <x v="0"/>
    <m/>
    <n v="0"/>
    <m/>
    <m/>
    <s v="Ninguna"/>
    <m/>
    <m/>
    <m/>
    <m/>
    <m/>
    <m/>
    <m/>
    <m/>
    <m/>
    <m/>
    <m/>
    <m/>
    <m/>
    <m/>
    <m/>
    <m/>
    <m/>
  </r>
  <r>
    <x v="1"/>
    <x v="3"/>
    <x v="12"/>
    <s v="FCABT3"/>
    <x v="2"/>
    <d v="2018-12-04T00:00:00"/>
    <d v="1899-12-30T07:20:00"/>
    <n v="-76.892361111111114"/>
    <n v="3.5973888888888892"/>
    <n v="3"/>
    <s v="Izquierdo"/>
    <s v="Carolina Burbano"/>
    <n v="582"/>
    <b v="1"/>
    <s v=" "/>
    <n v="20"/>
    <m/>
    <n v="45"/>
    <s v="Chamiza"/>
    <s v="Bosque Secundario"/>
    <m/>
    <x v="14"/>
    <m/>
    <n v="1"/>
    <m/>
    <m/>
    <s v="Ninguna"/>
    <m/>
    <m/>
    <m/>
    <m/>
    <m/>
    <m/>
    <m/>
    <m/>
    <m/>
    <m/>
    <m/>
    <m/>
    <m/>
    <m/>
    <m/>
    <m/>
    <m/>
  </r>
  <r>
    <x v="1"/>
    <x v="3"/>
    <x v="13"/>
    <s v="FCADT18"/>
    <x v="0"/>
    <d v="2018-12-04T00:00:00"/>
    <d v="1899-12-30T20:40:00"/>
    <n v="-76.878611111111098"/>
    <n v="3.543305555555555"/>
    <n v="3"/>
    <s v="Izquierdo"/>
    <s v="Hamilton Bermudez"/>
    <n v="496"/>
    <s v=" "/>
    <b v="1"/>
    <n v="20"/>
    <n v="6"/>
    <n v="40"/>
    <s v="Orilla quebrada"/>
    <s v="Bosque Ripario"/>
    <m/>
    <x v="15"/>
    <m/>
    <n v="1"/>
    <m/>
    <m/>
    <s v="Ninguna"/>
    <m/>
    <m/>
    <m/>
    <m/>
    <m/>
    <m/>
    <m/>
    <m/>
    <m/>
    <m/>
    <m/>
    <m/>
    <m/>
    <m/>
    <m/>
    <m/>
    <m/>
  </r>
  <r>
    <x v="1"/>
    <x v="0"/>
    <x v="1"/>
    <s v="FCMCT16"/>
    <x v="3"/>
    <d v="2018-05-11T00:00:00"/>
    <d v="1899-12-30T21:37:00"/>
    <n v="-76.690619444444451"/>
    <n v="3.4063222222222218"/>
    <n v="2"/>
    <s v="X"/>
    <s v="Jimmy Angulo"/>
    <n v="3388"/>
    <b v="1"/>
    <s v=" "/>
    <n v="2"/>
    <m/>
    <n v="40"/>
    <s v="Hoja"/>
    <s v="Arbustal"/>
    <m/>
    <x v="16"/>
    <m/>
    <n v="1"/>
    <m/>
    <m/>
    <s v="Ninguna"/>
    <m/>
    <m/>
    <m/>
    <m/>
    <m/>
    <m/>
    <m/>
    <m/>
    <m/>
    <m/>
    <m/>
    <m/>
    <m/>
    <m/>
    <m/>
    <m/>
    <m/>
  </r>
  <r>
    <x v="1"/>
    <x v="0"/>
    <x v="1"/>
    <s v="FCMCT16"/>
    <x v="3"/>
    <d v="2018-05-11T00:00:00"/>
    <d v="1899-12-30T21:50:00"/>
    <n v="-76.690711111111113"/>
    <n v="3.4061472222222222"/>
    <n v="2"/>
    <s v="X"/>
    <s v="Alvaro Fierro"/>
    <n v="3324"/>
    <b v="1"/>
    <s v=" "/>
    <n v="2"/>
    <m/>
    <n v="65"/>
    <s v="Hoja"/>
    <s v="Arbustal"/>
    <m/>
    <x v="16"/>
    <m/>
    <n v="1"/>
    <m/>
    <m/>
    <s v="Ninguna"/>
    <m/>
    <m/>
    <m/>
    <m/>
    <m/>
    <m/>
    <m/>
    <m/>
    <m/>
    <m/>
    <m/>
    <m/>
    <m/>
    <m/>
    <m/>
    <m/>
    <m/>
  </r>
  <r>
    <x v="1"/>
    <x v="0"/>
    <x v="1"/>
    <s v="FCMCT14"/>
    <x v="1"/>
    <d v="2018-05-13T00:00:00"/>
    <m/>
    <n v="-76.689475000000002"/>
    <n v="3.407658333333333"/>
    <n v="2"/>
    <s v="Derecho"/>
    <s v="Gustavo Rodriguez"/>
    <n v="3250"/>
    <b v="1"/>
    <s v=" "/>
    <m/>
    <m/>
    <m/>
    <m/>
    <s v="Bosque Secundario"/>
    <m/>
    <x v="0"/>
    <m/>
    <n v="0"/>
    <m/>
    <m/>
    <s v="Ninguna"/>
    <m/>
    <m/>
    <m/>
    <m/>
    <m/>
    <m/>
    <m/>
    <m/>
    <m/>
    <m/>
    <m/>
    <m/>
    <m/>
    <m/>
    <m/>
    <m/>
    <m/>
  </r>
  <r>
    <x v="1"/>
    <x v="0"/>
    <x v="1"/>
    <s v="FCMCT14"/>
    <x v="1"/>
    <d v="2018-05-13T00:00:00"/>
    <d v="1899-12-30T19:37:00"/>
    <n v="-76.689630555555553"/>
    <n v="3.4076416666666671"/>
    <n v="2"/>
    <s v="Derecho"/>
    <s v="Gustavo Rodriguez"/>
    <n v="3450"/>
    <b v="1"/>
    <s v=" "/>
    <n v="10"/>
    <m/>
    <m/>
    <m/>
    <s v="Bosque Secundario"/>
    <m/>
    <x v="0"/>
    <s v="Residuos sólidos"/>
    <n v="0"/>
    <m/>
    <m/>
    <s v="Ninguna"/>
    <m/>
    <m/>
    <m/>
    <m/>
    <m/>
    <m/>
    <m/>
    <m/>
    <m/>
    <m/>
    <m/>
    <m/>
    <m/>
    <m/>
    <m/>
    <m/>
    <m/>
  </r>
  <r>
    <x v="1"/>
    <x v="0"/>
    <x v="1"/>
    <s v="FCMCT14"/>
    <x v="1"/>
    <d v="2018-05-13T00:00:00"/>
    <d v="1899-12-30T19:50:00"/>
    <n v="-76.689730555555556"/>
    <n v="3.4072444444444439"/>
    <n v="2"/>
    <s v="Derecho"/>
    <s v="Gustavo Rodriguez"/>
    <n v="3390"/>
    <b v="1"/>
    <s v=" "/>
    <n v="10"/>
    <m/>
    <n v="5"/>
    <s v="Tronco seco"/>
    <s v="Bosque Secundario"/>
    <m/>
    <x v="17"/>
    <m/>
    <n v="1"/>
    <m/>
    <m/>
    <s v="Ninguna"/>
    <m/>
    <m/>
    <m/>
    <m/>
    <m/>
    <m/>
    <m/>
    <m/>
    <m/>
    <m/>
    <m/>
    <m/>
    <m/>
    <m/>
    <m/>
    <m/>
    <m/>
  </r>
  <r>
    <x v="1"/>
    <x v="0"/>
    <x v="1"/>
    <s v="FCMCT15"/>
    <x v="2"/>
    <d v="2018-05-13T00:00:00"/>
    <d v="1899-12-30T20:10:00"/>
    <n v="-76.69061111111111"/>
    <n v="3.4066111111111108"/>
    <n v="2"/>
    <s v="Izquierdo"/>
    <s v="Oscar Martinez"/>
    <n v="3427"/>
    <b v="1"/>
    <s v=" "/>
    <n v="5"/>
    <m/>
    <n v="5"/>
    <s v="Hoja"/>
    <s v="Arbustal"/>
    <s v="Fotos 0118-0134"/>
    <x v="2"/>
    <m/>
    <n v="1"/>
    <m/>
    <m/>
    <s v="Ninguna"/>
    <m/>
    <m/>
    <m/>
    <m/>
    <m/>
    <m/>
    <m/>
    <m/>
    <m/>
    <m/>
    <m/>
    <m/>
    <m/>
    <m/>
    <m/>
    <m/>
    <m/>
  </r>
  <r>
    <x v="1"/>
    <x v="0"/>
    <x v="1"/>
    <s v="FCMCT15"/>
    <x v="2"/>
    <d v="2018-05-13T00:00:00"/>
    <d v="1899-12-30T21:03:00"/>
    <n v="-76.690347222222229"/>
    <n v="3.406569444444445"/>
    <n v="2"/>
    <s v="Derecho"/>
    <s v="Carolina Burbano"/>
    <n v="3430"/>
    <b v="1"/>
    <s v=" "/>
    <m/>
    <m/>
    <m/>
    <m/>
    <s v="Arbustal"/>
    <m/>
    <x v="0"/>
    <s v="Residuos sólidos"/>
    <n v="0"/>
    <m/>
    <m/>
    <s v="Ninguna"/>
    <m/>
    <m/>
    <m/>
    <m/>
    <m/>
    <m/>
    <m/>
    <m/>
    <m/>
    <m/>
    <m/>
    <m/>
    <m/>
    <m/>
    <m/>
    <m/>
    <m/>
  </r>
  <r>
    <x v="1"/>
    <x v="1"/>
    <x v="6"/>
    <s v="FCTAT5"/>
    <x v="4"/>
    <d v="2018-04-24T00:00:00"/>
    <d v="1899-12-30T19:40:00"/>
    <n v="-76.723083333333335"/>
    <n v="3.4810277777777778"/>
    <n v="2"/>
    <s v="Izquierdo"/>
    <s v="Roger Franco"/>
    <m/>
    <b v="1"/>
    <s v=" "/>
    <n v="12"/>
    <m/>
    <n v="20"/>
    <s v="Hoja"/>
    <s v="Bosque Secundario"/>
    <m/>
    <x v="18"/>
    <m/>
    <n v="1"/>
    <n v="81"/>
    <n v="16.8"/>
    <s v="Ninguna"/>
    <m/>
    <m/>
    <m/>
    <m/>
    <m/>
    <m/>
    <m/>
    <m/>
    <m/>
    <m/>
    <m/>
    <m/>
    <m/>
    <m/>
    <m/>
    <m/>
    <m/>
  </r>
  <r>
    <x v="1"/>
    <x v="1"/>
    <x v="6"/>
    <s v="FCTAT5"/>
    <x v="4"/>
    <d v="2018-04-24T00:00:00"/>
    <d v="1899-12-30T19:47:00"/>
    <n v="-76.723138888888897"/>
    <n v="3.4809999999999999"/>
    <n v="2"/>
    <s v="Derecho"/>
    <s v="Alvaro Fierro"/>
    <n v="2094"/>
    <b v="1"/>
    <s v=" "/>
    <n v="10"/>
    <m/>
    <n v="5"/>
    <s v="Hoja"/>
    <s v="Bosque Secundario"/>
    <s v="Fotos 636-641"/>
    <x v="5"/>
    <m/>
    <n v="1"/>
    <m/>
    <m/>
    <s v="Ninguna"/>
    <m/>
    <m/>
    <m/>
    <m/>
    <m/>
    <m/>
    <m/>
    <m/>
    <m/>
    <m/>
    <m/>
    <m/>
    <m/>
    <m/>
    <m/>
    <m/>
    <m/>
  </r>
  <r>
    <x v="1"/>
    <x v="1"/>
    <x v="6"/>
    <s v="FCTAT5"/>
    <x v="4"/>
    <d v="2018-04-24T00:00:00"/>
    <d v="1899-12-30T17:55:00"/>
    <n v="-76.723166666666671"/>
    <n v="3.4809722222222219"/>
    <n v="2"/>
    <s v="Izquierdo"/>
    <s v="Roger Franco"/>
    <n v="2090"/>
    <b v="1"/>
    <s v=" "/>
    <n v="12"/>
    <m/>
    <n v="10"/>
    <s v="Hoja"/>
    <s v="Bosque Secundario"/>
    <s v="Fotos 642-645"/>
    <x v="3"/>
    <m/>
    <n v="1"/>
    <m/>
    <m/>
    <s v="Ninguna"/>
    <m/>
    <m/>
    <m/>
    <m/>
    <m/>
    <m/>
    <m/>
    <m/>
    <m/>
    <m/>
    <m/>
    <m/>
    <m/>
    <m/>
    <m/>
    <m/>
    <m/>
  </r>
  <r>
    <x v="1"/>
    <x v="1"/>
    <x v="6"/>
    <s v="FCTAT5"/>
    <x v="4"/>
    <d v="2018-04-24T00:00:00"/>
    <d v="1899-12-30T20:03:00"/>
    <n v="-76.723222222222219"/>
    <n v="3.4808888888888889"/>
    <n v="2"/>
    <s v="Derecho"/>
    <s v="Alvaro Fierro"/>
    <n v="2094"/>
    <b v="1"/>
    <s v=" "/>
    <n v="15"/>
    <m/>
    <n v="5"/>
    <s v="Hoja"/>
    <s v="Bosque Secundario"/>
    <m/>
    <x v="18"/>
    <m/>
    <n v="1"/>
    <m/>
    <m/>
    <s v="Ninguna"/>
    <m/>
    <m/>
    <m/>
    <m/>
    <m/>
    <m/>
    <m/>
    <m/>
    <m/>
    <m/>
    <m/>
    <m/>
    <m/>
    <m/>
    <m/>
    <m/>
    <m/>
  </r>
  <r>
    <x v="1"/>
    <x v="1"/>
    <x v="6"/>
    <s v="FCTAT5"/>
    <x v="4"/>
    <d v="2018-04-24T00:00:00"/>
    <d v="1899-12-30T20:03:00"/>
    <n v="-76.723222222222219"/>
    <n v="3.4808888888888889"/>
    <n v="2"/>
    <s v="Izquierdo"/>
    <s v="Roger Franco"/>
    <n v="2092"/>
    <b v="1"/>
    <s v=" "/>
    <n v="15"/>
    <m/>
    <n v="5"/>
    <s v="Hoja"/>
    <s v="Bosque Secundario"/>
    <s v="Fotos 645-651"/>
    <x v="5"/>
    <m/>
    <n v="1"/>
    <m/>
    <m/>
    <s v="Ninguna"/>
    <m/>
    <m/>
    <m/>
    <m/>
    <m/>
    <m/>
    <m/>
    <m/>
    <m/>
    <m/>
    <m/>
    <m/>
    <m/>
    <m/>
    <m/>
    <m/>
    <m/>
  </r>
  <r>
    <x v="1"/>
    <x v="1"/>
    <x v="6"/>
    <s v="FCTAT5"/>
    <x v="4"/>
    <d v="2018-04-24T00:00:00"/>
    <d v="1899-12-30T20:12:00"/>
    <n v="-76.723222222222219"/>
    <n v="3.4808888888888889"/>
    <n v="2"/>
    <s v="Derecho"/>
    <s v="Hamilton Bermudez"/>
    <n v="2092"/>
    <b v="1"/>
    <s v=" "/>
    <n v="20"/>
    <m/>
    <n v="20"/>
    <s v="Hoja"/>
    <s v="Bosque Secundario"/>
    <m/>
    <x v="5"/>
    <m/>
    <n v="1"/>
    <m/>
    <m/>
    <s v="Ninguna"/>
    <m/>
    <m/>
    <m/>
    <m/>
    <m/>
    <m/>
    <m/>
    <m/>
    <m/>
    <m/>
    <m/>
    <m/>
    <m/>
    <m/>
    <m/>
    <m/>
    <m/>
  </r>
  <r>
    <x v="1"/>
    <x v="1"/>
    <x v="6"/>
    <s v="FCTAT5"/>
    <x v="4"/>
    <d v="2018-04-24T00:00:00"/>
    <d v="1899-12-30T20:16:00"/>
    <n v="-76.723222222222219"/>
    <n v="3.4808888888888889"/>
    <n v="2"/>
    <s v="Derecho"/>
    <s v="Alvaro Fierro"/>
    <n v="2092"/>
    <b v="1"/>
    <s v=" "/>
    <n v="12"/>
    <m/>
    <n v="20"/>
    <s v="Tronco"/>
    <s v="Bosque Secundario"/>
    <m/>
    <x v="5"/>
    <m/>
    <n v="1"/>
    <m/>
    <m/>
    <s v="Ninguna"/>
    <m/>
    <m/>
    <m/>
    <m/>
    <m/>
    <m/>
    <m/>
    <m/>
    <m/>
    <m/>
    <m/>
    <m/>
    <m/>
    <m/>
    <m/>
    <m/>
    <m/>
  </r>
  <r>
    <x v="1"/>
    <x v="1"/>
    <x v="6"/>
    <s v="FCTAT5"/>
    <x v="4"/>
    <d v="2018-04-24T00:00:00"/>
    <d v="1899-12-30T20:20:00"/>
    <n v="-76.723222222222219"/>
    <n v="3.4808888888888889"/>
    <n v="2"/>
    <s v="Derecho"/>
    <s v="Hamilton Bermudez"/>
    <n v="2092"/>
    <b v="1"/>
    <s v=" "/>
    <n v="10"/>
    <m/>
    <n v="25"/>
    <s v="Hoja"/>
    <s v="Bosque Secundario"/>
    <m/>
    <x v="5"/>
    <m/>
    <n v="1"/>
    <m/>
    <m/>
    <s v="Ninguna"/>
    <m/>
    <m/>
    <m/>
    <m/>
    <m/>
    <m/>
    <m/>
    <m/>
    <m/>
    <m/>
    <m/>
    <m/>
    <m/>
    <m/>
    <m/>
    <m/>
    <m/>
  </r>
  <r>
    <x v="1"/>
    <x v="1"/>
    <x v="6"/>
    <s v="FCTAT5"/>
    <x v="4"/>
    <d v="2018-04-24T00:00:00"/>
    <d v="1899-12-30T20:20:00"/>
    <n v="-76.723222222222219"/>
    <n v="3.4808888888888889"/>
    <n v="2"/>
    <s v="Izquierdo"/>
    <s v="Oscar Martinez"/>
    <n v="2092"/>
    <b v="1"/>
    <s v=" "/>
    <n v="10"/>
    <m/>
    <n v="25"/>
    <s v="Hoja"/>
    <s v="Bosque Secundario"/>
    <s v="Fotos 665-671"/>
    <x v="6"/>
    <m/>
    <n v="1"/>
    <m/>
    <m/>
    <s v="Ninguna"/>
    <m/>
    <m/>
    <m/>
    <m/>
    <m/>
    <m/>
    <m/>
    <m/>
    <m/>
    <m/>
    <m/>
    <m/>
    <m/>
    <m/>
    <m/>
    <m/>
    <m/>
  </r>
  <r>
    <x v="1"/>
    <x v="1"/>
    <x v="6"/>
    <s v="FCTAT5"/>
    <x v="4"/>
    <d v="2018-04-24T00:00:00"/>
    <d v="1899-12-30T20:32:00"/>
    <n v="-76.723222222222219"/>
    <n v="3.480861111111111"/>
    <n v="2"/>
    <s v="Derecho"/>
    <s v="Alvaro Fierro"/>
    <n v="2098"/>
    <b v="1"/>
    <s v=" "/>
    <n v="15"/>
    <m/>
    <n v="20"/>
    <s v="Hoja"/>
    <s v="Bosque Secundario"/>
    <m/>
    <x v="5"/>
    <m/>
    <n v="1"/>
    <m/>
    <m/>
    <s v="Ninguna"/>
    <m/>
    <m/>
    <m/>
    <m/>
    <m/>
    <m/>
    <m/>
    <m/>
    <m/>
    <m/>
    <m/>
    <m/>
    <m/>
    <m/>
    <m/>
    <m/>
    <m/>
  </r>
  <r>
    <x v="1"/>
    <x v="1"/>
    <x v="6"/>
    <s v="FCTAT5"/>
    <x v="4"/>
    <d v="2018-04-24T00:00:00"/>
    <d v="1899-12-30T20:32:00"/>
    <n v="-76.723222222222219"/>
    <n v="3.480861111111111"/>
    <n v="2"/>
    <s v="Izquierdo"/>
    <s v="Oscar Martinez"/>
    <n v="2098"/>
    <b v="1"/>
    <s v=" "/>
    <n v="12"/>
    <m/>
    <n v="15"/>
    <s v="Hoja"/>
    <s v="Bosque Secundario"/>
    <m/>
    <x v="5"/>
    <m/>
    <n v="1"/>
    <m/>
    <m/>
    <s v="Ninguna"/>
    <m/>
    <m/>
    <m/>
    <m/>
    <m/>
    <m/>
    <m/>
    <m/>
    <m/>
    <m/>
    <m/>
    <m/>
    <m/>
    <m/>
    <m/>
    <m/>
    <m/>
  </r>
  <r>
    <x v="1"/>
    <x v="1"/>
    <x v="6"/>
    <s v="FCTAT5"/>
    <x v="4"/>
    <d v="2018-04-24T00:00:00"/>
    <d v="1899-12-30T20:32:00"/>
    <n v="-76.723222222222219"/>
    <n v="3.480861111111111"/>
    <n v="2"/>
    <s v="Derecho"/>
    <s v="Hamilton Bermudez"/>
    <n v="2098"/>
    <b v="1"/>
    <s v=" "/>
    <n v="12"/>
    <m/>
    <n v="10"/>
    <s v="Hoja"/>
    <s v="Bosque Secundario"/>
    <m/>
    <x v="18"/>
    <m/>
    <n v="1"/>
    <m/>
    <m/>
    <s v="Ninguna"/>
    <m/>
    <m/>
    <m/>
    <m/>
    <m/>
    <m/>
    <m/>
    <m/>
    <m/>
    <m/>
    <m/>
    <m/>
    <m/>
    <m/>
    <m/>
    <m/>
    <m/>
  </r>
  <r>
    <x v="1"/>
    <x v="1"/>
    <x v="6"/>
    <s v="FCTAT5"/>
    <x v="4"/>
    <d v="2018-04-24T00:00:00"/>
    <d v="1899-12-30T20:45:00"/>
    <n v="-76.723250000000007"/>
    <n v="3.4807222222222221"/>
    <n v="2"/>
    <s v="Derecho"/>
    <s v="Alvaro Fierro"/>
    <n v="2101"/>
    <b v="1"/>
    <s v=" "/>
    <n v="12"/>
    <m/>
    <n v="12"/>
    <s v="Suelo"/>
    <s v="Bosque Secundario"/>
    <s v="Fotos 693-699"/>
    <x v="4"/>
    <m/>
    <n v="1"/>
    <m/>
    <m/>
    <s v="Ninguna"/>
    <m/>
    <m/>
    <m/>
    <m/>
    <m/>
    <m/>
    <m/>
    <m/>
    <m/>
    <m/>
    <m/>
    <m/>
    <m/>
    <m/>
    <m/>
    <m/>
    <m/>
  </r>
  <r>
    <x v="1"/>
    <x v="1"/>
    <x v="6"/>
    <s v="FCTAT5"/>
    <x v="4"/>
    <d v="2018-04-24T00:00:00"/>
    <d v="1899-12-30T20:45:00"/>
    <n v="-76.723250000000007"/>
    <n v="3.4807222222222221"/>
    <n v="2"/>
    <s v="Izquierdo"/>
    <s v="Oscar Martinez"/>
    <n v="2101"/>
    <b v="1"/>
    <s v=" "/>
    <n v="12"/>
    <m/>
    <n v="20"/>
    <s v="Hoja"/>
    <s v="Bosque Secundario"/>
    <m/>
    <x v="5"/>
    <m/>
    <n v="1"/>
    <m/>
    <m/>
    <s v="Ninguna"/>
    <m/>
    <m/>
    <m/>
    <m/>
    <m/>
    <m/>
    <m/>
    <m/>
    <m/>
    <m/>
    <m/>
    <m/>
    <m/>
    <m/>
    <m/>
    <m/>
    <m/>
  </r>
  <r>
    <x v="1"/>
    <x v="1"/>
    <x v="6"/>
    <s v="FCTAT5"/>
    <x v="4"/>
    <d v="2018-04-24T00:00:00"/>
    <d v="1899-12-30T20:45:00"/>
    <n v="-76.723250000000007"/>
    <n v="3.4807222222222221"/>
    <n v="2"/>
    <s v="Derecho"/>
    <s v="Alvaro Fierro"/>
    <n v="2101"/>
    <b v="1"/>
    <s v=" "/>
    <n v="12"/>
    <m/>
    <n v="20"/>
    <s v="Hoja"/>
    <s v="Bosque Secundario"/>
    <s v="Fotos 700-710"/>
    <x v="19"/>
    <m/>
    <n v="1"/>
    <m/>
    <m/>
    <s v="Ninguna"/>
    <m/>
    <m/>
    <m/>
    <m/>
    <m/>
    <m/>
    <m/>
    <m/>
    <m/>
    <m/>
    <m/>
    <m/>
    <m/>
    <m/>
    <m/>
    <m/>
    <m/>
  </r>
  <r>
    <x v="1"/>
    <x v="1"/>
    <x v="6"/>
    <s v="FCTAT5"/>
    <x v="4"/>
    <d v="2018-04-24T00:00:00"/>
    <d v="1899-12-30T21:01:00"/>
    <n v="-76.723250000000007"/>
    <n v="3.4804444444444451"/>
    <n v="2"/>
    <s v="Izquierdo"/>
    <s v="Roger Franco"/>
    <n v="2108"/>
    <b v="1"/>
    <s v=" "/>
    <n v="20"/>
    <m/>
    <n v="30"/>
    <s v="Hoja"/>
    <s v="Bosque Secundario"/>
    <m/>
    <x v="5"/>
    <m/>
    <n v="1"/>
    <m/>
    <m/>
    <s v="Ninguna"/>
    <m/>
    <m/>
    <m/>
    <m/>
    <m/>
    <m/>
    <m/>
    <m/>
    <m/>
    <m/>
    <m/>
    <m/>
    <m/>
    <m/>
    <m/>
    <m/>
    <m/>
  </r>
  <r>
    <x v="1"/>
    <x v="1"/>
    <x v="6"/>
    <s v="FCTAT5"/>
    <x v="4"/>
    <d v="2018-04-24T00:00:00"/>
    <d v="1899-12-30T21:05:00"/>
    <n v="-76.723250000000007"/>
    <n v="3.4804444444444451"/>
    <n v="2"/>
    <s v="Derecho"/>
    <s v="Hamilton Bermudez"/>
    <n v="2108"/>
    <b v="1"/>
    <s v=" "/>
    <n v="20"/>
    <m/>
    <n v="30"/>
    <s v="Hoja"/>
    <s v="Bosque Secundario"/>
    <m/>
    <x v="5"/>
    <m/>
    <n v="1"/>
    <m/>
    <m/>
    <s v="Ninguna"/>
    <m/>
    <m/>
    <m/>
    <m/>
    <m/>
    <m/>
    <m/>
    <m/>
    <m/>
    <m/>
    <m/>
    <m/>
    <m/>
    <m/>
    <m/>
    <m/>
    <m/>
  </r>
  <r>
    <x v="1"/>
    <x v="1"/>
    <x v="6"/>
    <s v="FCTAT5"/>
    <x v="4"/>
    <d v="2018-04-24T00:00:00"/>
    <d v="1899-12-30T21:01:00"/>
    <n v="-76.723250000000007"/>
    <n v="3.4804444444444451"/>
    <n v="2"/>
    <s v="Izquierdo"/>
    <s v="Roger Franco"/>
    <n v="2108"/>
    <b v="1"/>
    <s v=" "/>
    <n v="20"/>
    <m/>
    <n v="30"/>
    <s v="Hoja"/>
    <s v="Bosque Secundario"/>
    <m/>
    <x v="5"/>
    <m/>
    <n v="1"/>
    <m/>
    <m/>
    <s v="Ninguna"/>
    <m/>
    <m/>
    <m/>
    <m/>
    <m/>
    <m/>
    <m/>
    <m/>
    <m/>
    <m/>
    <m/>
    <m/>
    <m/>
    <m/>
    <m/>
    <m/>
    <m/>
  </r>
  <r>
    <x v="1"/>
    <x v="1"/>
    <x v="6"/>
    <s v="FCTAT5"/>
    <x v="4"/>
    <d v="2018-04-24T00:00:00"/>
    <d v="1899-12-30T21:05:00"/>
    <n v="-76.723250000000007"/>
    <n v="3.4804444444444451"/>
    <n v="2"/>
    <s v="Derecho"/>
    <s v="Alvaro Fierro"/>
    <n v="2109"/>
    <b v="1"/>
    <s v=" "/>
    <n v="20"/>
    <m/>
    <n v="5"/>
    <s v="Hoja"/>
    <s v="Bosque Secundario"/>
    <m/>
    <x v="5"/>
    <m/>
    <n v="1"/>
    <m/>
    <m/>
    <s v="Ninguna"/>
    <m/>
    <m/>
    <m/>
    <m/>
    <m/>
    <m/>
    <m/>
    <m/>
    <m/>
    <m/>
    <m/>
    <m/>
    <m/>
    <m/>
    <m/>
    <m/>
    <m/>
  </r>
  <r>
    <x v="1"/>
    <x v="1"/>
    <x v="6"/>
    <s v="FCTAT5"/>
    <x v="4"/>
    <d v="2018-04-24T00:00:00"/>
    <d v="1899-12-30T21:08:00"/>
    <n v="-76.723222222222219"/>
    <n v="3.4802499999999998"/>
    <n v="2"/>
    <s v="Izquierdo"/>
    <s v="Roger Franco"/>
    <n v="2113"/>
    <b v="1"/>
    <s v=" "/>
    <n v="15"/>
    <m/>
    <m/>
    <s v="Hoja"/>
    <s v="Bosque Secundario"/>
    <m/>
    <x v="5"/>
    <m/>
    <n v="1"/>
    <n v="84"/>
    <n v="16.100000000000001"/>
    <s v="Ninguna"/>
    <m/>
    <m/>
    <m/>
    <m/>
    <m/>
    <m/>
    <m/>
    <m/>
    <m/>
    <m/>
    <m/>
    <m/>
    <m/>
    <m/>
    <m/>
    <m/>
    <m/>
  </r>
  <r>
    <x v="1"/>
    <x v="1"/>
    <x v="6"/>
    <s v="FCTAT4"/>
    <x v="3"/>
    <d v="2018-04-24T00:00:00"/>
    <d v="1899-12-30T21:17:00"/>
    <n v="-76.723194444444445"/>
    <n v="3.4801111111111109"/>
    <n v="2"/>
    <s v="Derecho"/>
    <s v="Hamilton Bermudez"/>
    <n v="2115"/>
    <b v="1"/>
    <s v=" "/>
    <n v="10"/>
    <m/>
    <n v="15"/>
    <s v="Hoja"/>
    <s v="Bosque Secundario"/>
    <m/>
    <x v="5"/>
    <m/>
    <n v="1"/>
    <m/>
    <m/>
    <s v="Ninguna"/>
    <m/>
    <m/>
    <m/>
    <m/>
    <m/>
    <m/>
    <m/>
    <m/>
    <m/>
    <m/>
    <m/>
    <m/>
    <m/>
    <m/>
    <m/>
    <m/>
    <m/>
  </r>
  <r>
    <x v="1"/>
    <x v="1"/>
    <x v="6"/>
    <s v="FCTAT4"/>
    <x v="3"/>
    <d v="2018-04-24T00:00:00"/>
    <d v="1899-12-30T21:20:00"/>
    <n v="-76.723166666666671"/>
    <n v="3.4801111111111109"/>
    <n v="2"/>
    <s v="Izquierdo"/>
    <s v="Roger Franco"/>
    <n v="2115"/>
    <b v="1"/>
    <s v=" "/>
    <n v="12"/>
    <m/>
    <n v="15"/>
    <s v="Hoja"/>
    <s v="Bosque Secundario"/>
    <m/>
    <x v="5"/>
    <m/>
    <n v="1"/>
    <m/>
    <m/>
    <s v="Ninguna"/>
    <m/>
    <m/>
    <m/>
    <m/>
    <m/>
    <m/>
    <m/>
    <m/>
    <m/>
    <m/>
    <m/>
    <m/>
    <m/>
    <m/>
    <m/>
    <m/>
    <m/>
  </r>
  <r>
    <x v="1"/>
    <x v="1"/>
    <x v="6"/>
    <s v="FCTAT4"/>
    <x v="3"/>
    <d v="2018-04-24T00:00:00"/>
    <d v="1899-12-30T21:29:00"/>
    <n v="-76.723111111111109"/>
    <n v="3.4797777777777781"/>
    <n v="2"/>
    <s v="Derecho"/>
    <s v="Hamilton Bermudez"/>
    <n v="2116"/>
    <b v="1"/>
    <s v=" "/>
    <n v="15"/>
    <m/>
    <n v="20"/>
    <s v="Hoja"/>
    <s v="Bosque Secundario"/>
    <m/>
    <x v="5"/>
    <m/>
    <n v="1"/>
    <m/>
    <m/>
    <s v="Ninguna"/>
    <m/>
    <m/>
    <m/>
    <m/>
    <m/>
    <m/>
    <m/>
    <m/>
    <m/>
    <m/>
    <m/>
    <m/>
    <m/>
    <m/>
    <m/>
    <m/>
    <m/>
  </r>
  <r>
    <x v="1"/>
    <x v="1"/>
    <x v="6"/>
    <s v="FCTAT4"/>
    <x v="3"/>
    <d v="2018-04-24T00:00:00"/>
    <d v="1899-12-30T21:30:00"/>
    <n v="-76.723111111111109"/>
    <n v="3.4797777777777781"/>
    <n v="2"/>
    <s v="Derecho"/>
    <s v="Alvaro Fierro"/>
    <n v="2116"/>
    <b v="1"/>
    <s v=" "/>
    <n v="15"/>
    <m/>
    <n v="10"/>
    <s v="Hoja"/>
    <s v="Bosque Secundario"/>
    <m/>
    <x v="5"/>
    <m/>
    <n v="1"/>
    <m/>
    <m/>
    <s v="Ninguna"/>
    <m/>
    <m/>
    <m/>
    <m/>
    <m/>
    <m/>
    <m/>
    <m/>
    <m/>
    <m/>
    <m/>
    <m/>
    <m/>
    <m/>
    <m/>
    <m/>
    <m/>
  </r>
  <r>
    <x v="1"/>
    <x v="1"/>
    <x v="6"/>
    <s v="FCTAT4"/>
    <x v="3"/>
    <d v="2018-04-24T00:00:00"/>
    <d v="1899-12-30T21:35:00"/>
    <n v="-76.723055555555561"/>
    <n v="3.4796388888888892"/>
    <n v="2"/>
    <s v="Derecho"/>
    <s v="Hamilton Bermudez"/>
    <n v="2125"/>
    <b v="1"/>
    <s v=" "/>
    <n v="15"/>
    <m/>
    <n v="20"/>
    <s v="Hoja"/>
    <s v="Bosque Secundario"/>
    <m/>
    <x v="5"/>
    <m/>
    <n v="1"/>
    <m/>
    <m/>
    <s v="Ninguna"/>
    <m/>
    <m/>
    <m/>
    <m/>
    <m/>
    <m/>
    <m/>
    <m/>
    <m/>
    <m/>
    <m/>
    <m/>
    <m/>
    <m/>
    <m/>
    <m/>
    <m/>
  </r>
  <r>
    <x v="1"/>
    <x v="1"/>
    <x v="6"/>
    <s v="FCTAT4"/>
    <x v="3"/>
    <d v="2018-04-24T00:00:00"/>
    <d v="1899-12-30T21:41:00"/>
    <n v="-76.723055555555561"/>
    <n v="3.4796388888888892"/>
    <n v="2"/>
    <s v="Derecho"/>
    <s v="Hamilton Bermudez"/>
    <n v="2125"/>
    <b v="1"/>
    <s v=" "/>
    <n v="15"/>
    <m/>
    <n v="20"/>
    <s v="Hoja"/>
    <s v="Bosque Secundario"/>
    <s v="Fotos 714-721"/>
    <x v="6"/>
    <m/>
    <n v="1"/>
    <m/>
    <m/>
    <s v="Ninguna"/>
    <m/>
    <m/>
    <m/>
    <m/>
    <m/>
    <m/>
    <m/>
    <m/>
    <m/>
    <m/>
    <m/>
    <m/>
    <m/>
    <m/>
    <m/>
    <m/>
    <m/>
  </r>
  <r>
    <x v="1"/>
    <x v="1"/>
    <x v="6"/>
    <s v="FCTAT4"/>
    <x v="3"/>
    <d v="2018-04-24T00:00:00"/>
    <d v="1899-12-30T21:41:00"/>
    <n v="-76.723055555555561"/>
    <n v="3.4796388888888892"/>
    <n v="2"/>
    <s v="Derecho"/>
    <s v="Hamilton Bermudez"/>
    <n v="2125"/>
    <b v="1"/>
    <s v=" "/>
    <n v="12"/>
    <m/>
    <n v="30"/>
    <s v="Hoja"/>
    <s v="Bosque Secundario"/>
    <m/>
    <x v="5"/>
    <m/>
    <n v="1"/>
    <m/>
    <m/>
    <s v="Ninguna"/>
    <m/>
    <m/>
    <m/>
    <m/>
    <m/>
    <m/>
    <m/>
    <m/>
    <m/>
    <m/>
    <m/>
    <m/>
    <m/>
    <m/>
    <m/>
    <m/>
    <m/>
  </r>
  <r>
    <x v="1"/>
    <x v="1"/>
    <x v="6"/>
    <s v="FCTAT4"/>
    <x v="3"/>
    <d v="2018-04-24T00:00:00"/>
    <d v="1899-12-30T21:49:00"/>
    <n v="-76.722999999999999"/>
    <n v="3.4794999999999998"/>
    <n v="2"/>
    <s v="Derecho"/>
    <s v="Alvaro Fierro"/>
    <n v="2123"/>
    <b v="1"/>
    <s v=" "/>
    <n v="25"/>
    <m/>
    <n v="30"/>
    <s v="Hoja"/>
    <s v="Bosque Secundario"/>
    <m/>
    <x v="5"/>
    <m/>
    <n v="1"/>
    <m/>
    <m/>
    <s v="Ninguna"/>
    <m/>
    <m/>
    <m/>
    <m/>
    <m/>
    <m/>
    <m/>
    <m/>
    <m/>
    <m/>
    <m/>
    <m/>
    <m/>
    <m/>
    <m/>
    <m/>
    <m/>
  </r>
  <r>
    <x v="1"/>
    <x v="1"/>
    <x v="6"/>
    <s v="FCTAT4"/>
    <x v="3"/>
    <d v="2018-04-24T00:00:00"/>
    <d v="1899-12-30T21:49:00"/>
    <n v="-76.722999999999999"/>
    <n v="3.4794999999999998"/>
    <n v="2"/>
    <s v="Derecho"/>
    <s v="Hamilton Bermudez"/>
    <n v="2123"/>
    <b v="1"/>
    <s v=" "/>
    <n v="25"/>
    <m/>
    <n v="30"/>
    <s v="Hoja"/>
    <s v="Bosque Secundario"/>
    <m/>
    <x v="5"/>
    <m/>
    <n v="1"/>
    <m/>
    <m/>
    <s v="Ninguna"/>
    <m/>
    <m/>
    <m/>
    <m/>
    <m/>
    <m/>
    <m/>
    <m/>
    <m/>
    <m/>
    <m/>
    <m/>
    <m/>
    <m/>
    <m/>
    <m/>
    <m/>
  </r>
  <r>
    <x v="1"/>
    <x v="1"/>
    <x v="6"/>
    <s v="FCTAT4"/>
    <x v="3"/>
    <d v="2018-04-24T00:00:00"/>
    <d v="1899-12-30T21:50:00"/>
    <n v="-76.722999999999999"/>
    <n v="3.4794722222222219"/>
    <n v="2"/>
    <s v="Izquierdo"/>
    <s v="Oscar Martinez"/>
    <n v="2123"/>
    <b v="1"/>
    <s v=" "/>
    <n v="15"/>
    <m/>
    <n v="40"/>
    <s v="Hoja"/>
    <s v="Bosque Secundario"/>
    <m/>
    <x v="5"/>
    <m/>
    <n v="1"/>
    <m/>
    <m/>
    <s v="Ninguna"/>
    <m/>
    <m/>
    <m/>
    <m/>
    <m/>
    <m/>
    <m/>
    <m/>
    <m/>
    <m/>
    <m/>
    <m/>
    <m/>
    <m/>
    <m/>
    <m/>
    <m/>
  </r>
  <r>
    <x v="1"/>
    <x v="1"/>
    <x v="6"/>
    <s v="FCTAT4"/>
    <x v="3"/>
    <d v="2018-04-24T00:00:00"/>
    <d v="1899-12-30T21:52:00"/>
    <n v="-76.722999999999999"/>
    <n v="3.4794722222222219"/>
    <n v="2"/>
    <s v="Derecho"/>
    <s v="Hamilton Bermudez"/>
    <n v="2123"/>
    <b v="1"/>
    <s v=" "/>
    <n v="15"/>
    <m/>
    <n v="40"/>
    <s v="Hoja"/>
    <s v="Bosque Secundario"/>
    <m/>
    <x v="5"/>
    <m/>
    <n v="1"/>
    <m/>
    <m/>
    <s v="Ninguna"/>
    <m/>
    <m/>
    <m/>
    <m/>
    <m/>
    <m/>
    <m/>
    <m/>
    <m/>
    <m/>
    <m/>
    <m/>
    <m/>
    <m/>
    <m/>
    <m/>
    <m/>
  </r>
  <r>
    <x v="1"/>
    <x v="1"/>
    <x v="6"/>
    <s v="FCTAT4"/>
    <x v="3"/>
    <d v="2018-04-24T00:00:00"/>
    <d v="1899-12-30T21:54:00"/>
    <n v="-76.722999999999999"/>
    <n v="3.4794722222222219"/>
    <n v="2"/>
    <s v="Izquierdo"/>
    <s v="Oscar Martinez"/>
    <n v="2123"/>
    <b v="1"/>
    <s v=" "/>
    <n v="12"/>
    <m/>
    <n v="30"/>
    <s v="Hoja"/>
    <s v="Bosque Secundario"/>
    <m/>
    <x v="5"/>
    <m/>
    <n v="1"/>
    <m/>
    <m/>
    <s v="Ninguna"/>
    <m/>
    <m/>
    <m/>
    <m/>
    <m/>
    <m/>
    <m/>
    <m/>
    <m/>
    <m/>
    <m/>
    <m/>
    <m/>
    <m/>
    <m/>
    <m/>
    <m/>
  </r>
  <r>
    <x v="1"/>
    <x v="1"/>
    <x v="6"/>
    <s v="FCTAT4"/>
    <x v="3"/>
    <d v="2018-04-24T00:00:00"/>
    <d v="1899-12-30T21:55:00"/>
    <n v="-76.722999999999999"/>
    <n v="3.4794722222222219"/>
    <n v="2"/>
    <s v="Derecho"/>
    <s v="Alvaro Fierro"/>
    <n v="2124"/>
    <b v="1"/>
    <s v=" "/>
    <n v="18"/>
    <m/>
    <n v="25"/>
    <s v="Hoja"/>
    <s v="Bosque Secundario"/>
    <m/>
    <x v="5"/>
    <m/>
    <n v="1"/>
    <m/>
    <m/>
    <s v="Ninguna"/>
    <m/>
    <m/>
    <m/>
    <m/>
    <m/>
    <m/>
    <m/>
    <m/>
    <m/>
    <m/>
    <m/>
    <m/>
    <m/>
    <m/>
    <m/>
    <m/>
    <m/>
  </r>
  <r>
    <x v="1"/>
    <x v="1"/>
    <x v="6"/>
    <s v="FCTAT4"/>
    <x v="3"/>
    <d v="2018-04-24T00:00:00"/>
    <d v="1899-12-30T21:59:00"/>
    <n v="-76.722999999999999"/>
    <n v="3.4794722222222219"/>
    <n v="2"/>
    <s v="Izquierdo"/>
    <s v="Roger Franco"/>
    <n v="2124"/>
    <b v="1"/>
    <s v=" "/>
    <n v="18"/>
    <m/>
    <n v="25"/>
    <s v="Hoja"/>
    <s v="Bosque Secundario"/>
    <m/>
    <x v="5"/>
    <m/>
    <n v="1"/>
    <m/>
    <m/>
    <s v="Ninguna"/>
    <m/>
    <m/>
    <m/>
    <m/>
    <m/>
    <m/>
    <m/>
    <m/>
    <m/>
    <m/>
    <m/>
    <m/>
    <m/>
    <m/>
    <m/>
    <m/>
    <m/>
  </r>
  <r>
    <x v="1"/>
    <x v="1"/>
    <x v="6"/>
    <s v="FCTAT4"/>
    <x v="3"/>
    <d v="2018-04-24T00:00:00"/>
    <d v="1899-12-30T22:02:00"/>
    <n v="-76.723027777777773"/>
    <n v="3.4794722222222219"/>
    <n v="2"/>
    <s v="Derecho"/>
    <s v="Hamilton Bermudez"/>
    <n v="2125"/>
    <b v="1"/>
    <s v=" "/>
    <n v="18"/>
    <m/>
    <n v="30"/>
    <s v="Hoja"/>
    <s v="Bosque Secundario"/>
    <s v="Fotos 732-736"/>
    <x v="6"/>
    <m/>
    <n v="1"/>
    <m/>
    <m/>
    <s v="Ninguna"/>
    <m/>
    <m/>
    <m/>
    <m/>
    <m/>
    <m/>
    <m/>
    <m/>
    <m/>
    <m/>
    <m/>
    <m/>
    <m/>
    <m/>
    <m/>
    <m/>
    <m/>
  </r>
  <r>
    <x v="1"/>
    <x v="1"/>
    <x v="6"/>
    <s v="FCTAT4"/>
    <x v="3"/>
    <d v="2018-04-24T00:00:00"/>
    <d v="1899-12-30T22:02:00"/>
    <n v="-76.723027777777773"/>
    <n v="3.4794722222222219"/>
    <n v="2"/>
    <s v="Derecho"/>
    <s v="Hamilton Bermudez"/>
    <n v="2125"/>
    <b v="1"/>
    <s v=" "/>
    <n v="18"/>
    <m/>
    <n v="30"/>
    <s v="Hoja"/>
    <s v="Bosque Secundario"/>
    <m/>
    <x v="5"/>
    <m/>
    <n v="1"/>
    <m/>
    <m/>
    <s v="Ninguna"/>
    <m/>
    <m/>
    <m/>
    <m/>
    <m/>
    <m/>
    <m/>
    <m/>
    <m/>
    <m/>
    <m/>
    <m/>
    <m/>
    <m/>
    <m/>
    <m/>
    <m/>
  </r>
  <r>
    <x v="1"/>
    <x v="1"/>
    <x v="6"/>
    <s v="FCTAT4"/>
    <x v="3"/>
    <d v="2018-04-24T00:00:00"/>
    <d v="1899-12-30T22:02:00"/>
    <n v="-76.723027777777773"/>
    <n v="3.4794722222222219"/>
    <n v="2"/>
    <s v="Derecho"/>
    <s v="Hamilton Bermudez"/>
    <n v="2125"/>
    <b v="1"/>
    <s v=" "/>
    <n v="18"/>
    <m/>
    <n v="30"/>
    <s v="Hoja"/>
    <s v="Bosque Secundario"/>
    <m/>
    <x v="3"/>
    <m/>
    <n v="1"/>
    <m/>
    <m/>
    <s v="Ninguna"/>
    <m/>
    <m/>
    <m/>
    <m/>
    <m/>
    <m/>
    <m/>
    <m/>
    <m/>
    <m/>
    <m/>
    <m/>
    <m/>
    <m/>
    <m/>
    <m/>
    <m/>
  </r>
  <r>
    <x v="1"/>
    <x v="1"/>
    <x v="6"/>
    <s v="FCTAT4"/>
    <x v="3"/>
    <d v="2018-04-24T00:00:00"/>
    <d v="1899-12-30T22:02:00"/>
    <n v="-76.723027777777773"/>
    <n v="3.4794722222222219"/>
    <n v="2"/>
    <s v="Derecho"/>
    <s v="Hamilton Bermudez"/>
    <n v="2125"/>
    <b v="1"/>
    <s v=" "/>
    <n v="18"/>
    <m/>
    <n v="30"/>
    <s v="Hoja"/>
    <s v="Bosque Secundario"/>
    <m/>
    <x v="6"/>
    <m/>
    <n v="1"/>
    <m/>
    <m/>
    <s v="Ninguna"/>
    <m/>
    <m/>
    <m/>
    <m/>
    <m/>
    <m/>
    <m/>
    <m/>
    <m/>
    <m/>
    <m/>
    <m/>
    <m/>
    <m/>
    <m/>
    <m/>
    <m/>
  </r>
  <r>
    <x v="1"/>
    <x v="1"/>
    <x v="6"/>
    <s v="FCTAT4"/>
    <x v="3"/>
    <d v="2018-04-24T00:00:00"/>
    <d v="1899-12-30T22:08:00"/>
    <n v="-76.722999999999999"/>
    <n v="3.4793611111111109"/>
    <n v="2"/>
    <s v="Derecho"/>
    <s v="Hamilton Bermudez"/>
    <n v="2125"/>
    <b v="1"/>
    <s v=" "/>
    <n v="19"/>
    <m/>
    <n v="50"/>
    <s v="Hoja"/>
    <s v="Bosque Secundario"/>
    <m/>
    <x v="5"/>
    <m/>
    <n v="1"/>
    <m/>
    <m/>
    <s v="Ninguna"/>
    <m/>
    <m/>
    <m/>
    <m/>
    <m/>
    <m/>
    <m/>
    <m/>
    <m/>
    <m/>
    <m/>
    <m/>
    <m/>
    <m/>
    <m/>
    <m/>
    <m/>
  </r>
  <r>
    <x v="1"/>
    <x v="1"/>
    <x v="6"/>
    <s v="FCTAT4"/>
    <x v="3"/>
    <d v="2018-04-24T00:00:00"/>
    <d v="1899-12-30T22:10:00"/>
    <n v="-76.722999999999999"/>
    <n v="3.4793611111111109"/>
    <n v="2"/>
    <s v="Izquierdo"/>
    <s v="Roger Franco"/>
    <n v="2125"/>
    <b v="1"/>
    <s v=" "/>
    <n v="19"/>
    <m/>
    <n v="50"/>
    <s v="Hoja"/>
    <s v="Bosque Secundario"/>
    <m/>
    <x v="5"/>
    <m/>
    <n v="1"/>
    <n v="87"/>
    <n v="16.5"/>
    <s v="Ninguna"/>
    <m/>
    <m/>
    <m/>
    <m/>
    <m/>
    <m/>
    <m/>
    <m/>
    <m/>
    <m/>
    <m/>
    <m/>
    <m/>
    <m/>
    <m/>
    <m/>
    <m/>
  </r>
  <r>
    <x v="1"/>
    <x v="1"/>
    <x v="6"/>
    <s v="FCTAT3"/>
    <x v="2"/>
    <d v="2018-04-24T00:00:00"/>
    <d v="1899-12-30T22:30:00"/>
    <n v="-76.722861111111115"/>
    <n v="3.4789444444444451"/>
    <n v="2"/>
    <s v="Derecho"/>
    <s v="Alvaro Fierro"/>
    <n v="2143"/>
    <b v="1"/>
    <s v=" "/>
    <n v="18"/>
    <m/>
    <n v="35"/>
    <s v="Hoja"/>
    <s v="Bosque Secundario"/>
    <m/>
    <x v="5"/>
    <m/>
    <n v="1"/>
    <n v="87"/>
    <n v="17.3"/>
    <s v="Ninguna"/>
    <m/>
    <m/>
    <m/>
    <m/>
    <m/>
    <m/>
    <m/>
    <m/>
    <m/>
    <m/>
    <m/>
    <m/>
    <m/>
    <m/>
    <m/>
    <m/>
    <m/>
  </r>
  <r>
    <x v="1"/>
    <x v="1"/>
    <x v="6"/>
    <s v="FCTAT3"/>
    <x v="2"/>
    <d v="2018-04-24T00:00:00"/>
    <d v="1899-12-30T22:32:00"/>
    <n v="-76.722861111111115"/>
    <n v="3.4789444444444451"/>
    <n v="2"/>
    <s v="Izquierdo"/>
    <s v="Oscar Martinez"/>
    <n v="2143"/>
    <b v="1"/>
    <s v=" "/>
    <n v="18"/>
    <m/>
    <n v="35"/>
    <s v="Hoja"/>
    <s v="Bosque Secundario"/>
    <m/>
    <x v="5"/>
    <m/>
    <n v="1"/>
    <m/>
    <m/>
    <s v="Ninguna"/>
    <m/>
    <m/>
    <m/>
    <m/>
    <m/>
    <m/>
    <m/>
    <m/>
    <m/>
    <m/>
    <m/>
    <m/>
    <m/>
    <m/>
    <m/>
    <m/>
    <m/>
  </r>
  <r>
    <x v="1"/>
    <x v="1"/>
    <x v="6"/>
    <s v="FCTAT3"/>
    <x v="2"/>
    <d v="2018-04-24T00:00:00"/>
    <d v="1899-12-30T22:34:00"/>
    <n v="-76.722805555555553"/>
    <n v="3.4788888888888891"/>
    <n v="2"/>
    <s v="Derecho"/>
    <s v="Alvaro Fierro"/>
    <n v="2142"/>
    <b v="1"/>
    <s v=" "/>
    <n v="22"/>
    <m/>
    <n v="45"/>
    <s v="Hoja"/>
    <s v="Bosque Secundario"/>
    <m/>
    <x v="5"/>
    <m/>
    <n v="1"/>
    <m/>
    <m/>
    <s v="Ninguna"/>
    <m/>
    <m/>
    <m/>
    <m/>
    <m/>
    <m/>
    <m/>
    <m/>
    <m/>
    <m/>
    <m/>
    <m/>
    <m/>
    <m/>
    <m/>
    <m/>
    <m/>
  </r>
  <r>
    <x v="1"/>
    <x v="1"/>
    <x v="6"/>
    <s v="FCTAT3"/>
    <x v="2"/>
    <d v="2018-04-24T00:00:00"/>
    <d v="1899-12-30T22:36:00"/>
    <n v="-76.722805555555553"/>
    <n v="3.4788888888888891"/>
    <n v="2"/>
    <s v="Derecho"/>
    <s v="Roger Franco"/>
    <n v="2142"/>
    <b v="1"/>
    <s v=" "/>
    <n v="22"/>
    <m/>
    <n v="45"/>
    <s v="Hoja"/>
    <s v="Bosque Secundario"/>
    <m/>
    <x v="5"/>
    <m/>
    <n v="1"/>
    <m/>
    <m/>
    <s v="Ninguna"/>
    <m/>
    <m/>
    <m/>
    <m/>
    <m/>
    <m/>
    <m/>
    <m/>
    <m/>
    <m/>
    <m/>
    <m/>
    <m/>
    <m/>
    <m/>
    <m/>
    <m/>
  </r>
  <r>
    <x v="1"/>
    <x v="1"/>
    <x v="6"/>
    <s v="FCTAT3"/>
    <x v="2"/>
    <d v="2018-04-24T00:00:00"/>
    <d v="1899-12-30T22:39:00"/>
    <n v="-76.722805555555553"/>
    <n v="3.4788611111111112"/>
    <n v="2"/>
    <s v="Derecho"/>
    <s v="Alvaro Fierro"/>
    <n v="2141"/>
    <b v="1"/>
    <s v=" "/>
    <n v="19"/>
    <m/>
    <n v="20"/>
    <s v="Hoja"/>
    <s v="Bosque Secundario"/>
    <m/>
    <x v="5"/>
    <m/>
    <n v="1"/>
    <m/>
    <m/>
    <s v="Ninguna"/>
    <m/>
    <m/>
    <m/>
    <m/>
    <m/>
    <m/>
    <m/>
    <m/>
    <m/>
    <m/>
    <m/>
    <m/>
    <m/>
    <m/>
    <m/>
    <m/>
    <m/>
  </r>
  <r>
    <x v="1"/>
    <x v="1"/>
    <x v="6"/>
    <s v="FCTAT3"/>
    <x v="2"/>
    <d v="2018-04-24T00:00:00"/>
    <d v="1899-12-30T22:41:00"/>
    <n v="-76.722833333333341"/>
    <n v="3.4787499999999998"/>
    <n v="2"/>
    <s v="Izquierdo"/>
    <s v="Roger Franco"/>
    <n v="2138"/>
    <b v="1"/>
    <s v=" "/>
    <n v="18"/>
    <m/>
    <n v="30"/>
    <s v="Hoja"/>
    <s v="Bosque Secundario"/>
    <m/>
    <x v="5"/>
    <m/>
    <n v="1"/>
    <m/>
    <m/>
    <s v="Ninguna"/>
    <m/>
    <m/>
    <m/>
    <m/>
    <m/>
    <m/>
    <m/>
    <m/>
    <m/>
    <m/>
    <m/>
    <m/>
    <m/>
    <m/>
    <m/>
    <m/>
    <m/>
  </r>
  <r>
    <x v="1"/>
    <x v="1"/>
    <x v="6"/>
    <s v="FCTAT3"/>
    <x v="2"/>
    <d v="2018-04-24T00:00:00"/>
    <d v="1899-12-30T22:47:00"/>
    <n v="-76.722805555555553"/>
    <n v="3.4786388888888888"/>
    <n v="2"/>
    <s v="Derecho"/>
    <s v="Alvaro Fierro"/>
    <n v="2140"/>
    <b v="1"/>
    <s v=" "/>
    <n v="17"/>
    <m/>
    <n v="15"/>
    <s v="Hoja"/>
    <s v="Bosque Secundario"/>
    <m/>
    <x v="5"/>
    <m/>
    <n v="1"/>
    <m/>
    <m/>
    <s v="Ninguna"/>
    <m/>
    <m/>
    <m/>
    <m/>
    <m/>
    <m/>
    <m/>
    <m/>
    <m/>
    <m/>
    <m/>
    <m/>
    <m/>
    <m/>
    <m/>
    <m/>
    <m/>
  </r>
  <r>
    <x v="1"/>
    <x v="1"/>
    <x v="6"/>
    <s v="FCTAT3"/>
    <x v="2"/>
    <d v="2018-04-24T00:00:00"/>
    <d v="1899-12-30T22:49:00"/>
    <n v="-76.722805555555553"/>
    <n v="3.4786388888888888"/>
    <n v="2"/>
    <s v="Derecho"/>
    <s v="Hamilton Bermudez"/>
    <n v="2140"/>
    <b v="1"/>
    <s v=" "/>
    <n v="10"/>
    <m/>
    <n v="40"/>
    <s v="Hoja"/>
    <s v="Bosque Secundario"/>
    <m/>
    <x v="5"/>
    <m/>
    <n v="1"/>
    <m/>
    <m/>
    <s v="Ninguna"/>
    <m/>
    <m/>
    <m/>
    <m/>
    <m/>
    <m/>
    <m/>
    <m/>
    <m/>
    <m/>
    <m/>
    <m/>
    <m/>
    <m/>
    <m/>
    <m/>
    <m/>
  </r>
  <r>
    <x v="1"/>
    <x v="1"/>
    <x v="6"/>
    <s v="FCTAT3"/>
    <x v="2"/>
    <d v="2018-04-24T00:00:00"/>
    <d v="1899-12-30T22:55:00"/>
    <n v="-76.722750000000005"/>
    <n v="3.4785833333333329"/>
    <n v="2"/>
    <s v="Izquierdo"/>
    <s v="Roger Franco"/>
    <n v="2139"/>
    <b v="1"/>
    <s v=" "/>
    <n v="20"/>
    <m/>
    <n v="30"/>
    <s v="Hoja"/>
    <s v="Bosque Secundario"/>
    <m/>
    <x v="18"/>
    <m/>
    <n v="1"/>
    <m/>
    <m/>
    <s v="Ninguna"/>
    <m/>
    <m/>
    <m/>
    <m/>
    <m/>
    <m/>
    <m/>
    <m/>
    <m/>
    <m/>
    <m/>
    <m/>
    <m/>
    <m/>
    <m/>
    <m/>
    <m/>
  </r>
  <r>
    <x v="1"/>
    <x v="1"/>
    <x v="6"/>
    <s v="FCTAT3"/>
    <x v="2"/>
    <d v="2018-04-24T00:00:00"/>
    <d v="1899-12-30T22:58:00"/>
    <n v="-76.722750000000005"/>
    <n v="3.4785833333333329"/>
    <n v="2"/>
    <s v="Derecho"/>
    <s v="Hamilton Bermudez"/>
    <n v="2139"/>
    <b v="1"/>
    <s v=" "/>
    <n v="18"/>
    <m/>
    <n v="60"/>
    <s v="Hoja"/>
    <s v="Bosque Secundario"/>
    <s v="Fotos 743-753"/>
    <x v="19"/>
    <m/>
    <n v="1"/>
    <m/>
    <m/>
    <s v="Ninguna"/>
    <m/>
    <m/>
    <m/>
    <m/>
    <m/>
    <m/>
    <m/>
    <m/>
    <m/>
    <m/>
    <m/>
    <m/>
    <m/>
    <m/>
    <m/>
    <m/>
    <m/>
  </r>
  <r>
    <x v="1"/>
    <x v="1"/>
    <x v="6"/>
    <s v="FCTAT3"/>
    <x v="2"/>
    <d v="2018-04-24T00:00:00"/>
    <d v="1899-12-30T22:58:00"/>
    <n v="-76.722750000000005"/>
    <n v="3.4785833333333329"/>
    <n v="2"/>
    <s v="Derecho"/>
    <s v="Alvaro Fierro"/>
    <n v="2130"/>
    <b v="1"/>
    <s v=" "/>
    <n v="18"/>
    <m/>
    <n v="60"/>
    <s v="Hoja"/>
    <s v="Bosque Secundario"/>
    <m/>
    <x v="5"/>
    <m/>
    <n v="1"/>
    <m/>
    <m/>
    <s v="Ninguna"/>
    <m/>
    <m/>
    <m/>
    <m/>
    <m/>
    <m/>
    <m/>
    <m/>
    <m/>
    <m/>
    <m/>
    <m/>
    <m/>
    <m/>
    <m/>
    <m/>
    <m/>
  </r>
  <r>
    <x v="1"/>
    <x v="1"/>
    <x v="6"/>
    <s v="FCTAT3"/>
    <x v="2"/>
    <d v="2018-04-24T00:00:00"/>
    <d v="1899-12-30T23:06:00"/>
    <n v="-76.722750000000005"/>
    <n v="3.4785555555555558"/>
    <n v="2"/>
    <s v="Derecho"/>
    <s v="Oscar Martinez"/>
    <n v="2139"/>
    <b v="1"/>
    <s v=" "/>
    <n v="12"/>
    <m/>
    <n v="30"/>
    <s v="Hoja"/>
    <s v="Bosque Secundario"/>
    <m/>
    <x v="3"/>
    <m/>
    <n v="1"/>
    <m/>
    <m/>
    <s v="Ninguna"/>
    <m/>
    <m/>
    <m/>
    <m/>
    <m/>
    <m/>
    <m/>
    <m/>
    <m/>
    <m/>
    <m/>
    <m/>
    <m/>
    <m/>
    <m/>
    <m/>
    <m/>
  </r>
  <r>
    <x v="1"/>
    <x v="1"/>
    <x v="6"/>
    <s v="FCTAT3"/>
    <x v="2"/>
    <d v="2018-04-24T00:00:00"/>
    <d v="1899-12-30T23:09:00"/>
    <n v="-76.722805555555553"/>
    <n v="3.4784166666666669"/>
    <n v="2"/>
    <s v="Izquierdo"/>
    <s v="Oscar Martinez"/>
    <n v="2140"/>
    <b v="1"/>
    <s v=" "/>
    <n v="14"/>
    <m/>
    <n v="30"/>
    <s v="Hoja"/>
    <s v="Bosque Secundario"/>
    <m/>
    <x v="5"/>
    <m/>
    <n v="1"/>
    <m/>
    <m/>
    <s v="Ninguna"/>
    <m/>
    <m/>
    <m/>
    <m/>
    <m/>
    <m/>
    <m/>
    <m/>
    <m/>
    <m/>
    <m/>
    <m/>
    <m/>
    <m/>
    <m/>
    <m/>
    <m/>
  </r>
  <r>
    <x v="1"/>
    <x v="1"/>
    <x v="6"/>
    <s v="FCTAT3"/>
    <x v="2"/>
    <d v="2018-04-24T00:00:00"/>
    <d v="1899-12-30T23:10:00"/>
    <n v="-76.722805555555553"/>
    <n v="3.4784166666666669"/>
    <n v="2"/>
    <s v="Derecho"/>
    <s v="Alvaro Fierro"/>
    <n v="2140"/>
    <b v="1"/>
    <s v=" "/>
    <n v="24"/>
    <m/>
    <n v="40"/>
    <s v="Suelo"/>
    <s v="Bosque Secundario"/>
    <s v="Fotos 754-759"/>
    <x v="4"/>
    <m/>
    <n v="1"/>
    <n v="81"/>
    <n v="16.2"/>
    <s v="Ninguna"/>
    <m/>
    <m/>
    <m/>
    <m/>
    <m/>
    <m/>
    <m/>
    <m/>
    <m/>
    <m/>
    <m/>
    <m/>
    <m/>
    <m/>
    <m/>
    <m/>
    <m/>
  </r>
  <r>
    <x v="1"/>
    <x v="1"/>
    <x v="6"/>
    <s v="FCTAT3"/>
    <x v="2"/>
    <d v="2018-04-24T00:00:00"/>
    <d v="1899-12-30T23:27:00"/>
    <n v="-76.722694444444443"/>
    <n v="3.4780555555555561"/>
    <n v="2"/>
    <s v="Derecho"/>
    <s v="Alvaro Fierro"/>
    <n v="2142"/>
    <b v="1"/>
    <s v=" "/>
    <n v="15"/>
    <m/>
    <n v="15"/>
    <s v="Suelo"/>
    <s v="Bosque Secundario"/>
    <m/>
    <x v="4"/>
    <m/>
    <n v="1"/>
    <m/>
    <m/>
    <s v="Ninguna"/>
    <m/>
    <m/>
    <m/>
    <m/>
    <m/>
    <m/>
    <m/>
    <m/>
    <m/>
    <m/>
    <m/>
    <m/>
    <m/>
    <m/>
    <m/>
    <m/>
    <m/>
  </r>
  <r>
    <x v="1"/>
    <x v="1"/>
    <x v="6"/>
    <s v="FCTAT2"/>
    <x v="1"/>
    <d v="2018-04-24T00:00:00"/>
    <d v="1899-12-30T23:34:00"/>
    <n v="-76.722722222222231"/>
    <n v="3.4778333333333329"/>
    <n v="2"/>
    <s v="Derecho"/>
    <s v="Hamilton Bermudez"/>
    <n v="2145"/>
    <b v="1"/>
    <s v=" "/>
    <n v="20"/>
    <m/>
    <n v="25"/>
    <s v="Hoja"/>
    <s v="Bosque Secundario"/>
    <m/>
    <x v="5"/>
    <m/>
    <n v="1"/>
    <m/>
    <m/>
    <s v="Ninguna"/>
    <m/>
    <m/>
    <m/>
    <m/>
    <m/>
    <m/>
    <m/>
    <m/>
    <m/>
    <m/>
    <m/>
    <m/>
    <m/>
    <m/>
    <m/>
    <m/>
    <m/>
  </r>
  <r>
    <x v="1"/>
    <x v="1"/>
    <x v="6"/>
    <s v="FCTAT2"/>
    <x v="1"/>
    <d v="2018-04-24T00:00:00"/>
    <d v="1899-12-30T23:36:00"/>
    <n v="-76.722694444444443"/>
    <n v="3.4778333333333329"/>
    <n v="2"/>
    <s v="Derecho"/>
    <s v="Alvaro Fierro"/>
    <n v="2145"/>
    <b v="1"/>
    <s v=" "/>
    <n v="10"/>
    <m/>
    <n v="15"/>
    <s v="Hoja"/>
    <s v="Bosque Secundario"/>
    <s v="Fotos 767-772"/>
    <x v="6"/>
    <m/>
    <n v="1"/>
    <m/>
    <m/>
    <s v="Ninguna"/>
    <m/>
    <m/>
    <m/>
    <m/>
    <m/>
    <m/>
    <m/>
    <m/>
    <m/>
    <m/>
    <m/>
    <m/>
    <m/>
    <m/>
    <m/>
    <m/>
    <m/>
  </r>
  <r>
    <x v="1"/>
    <x v="1"/>
    <x v="6"/>
    <s v="FCTAT2"/>
    <x v="1"/>
    <d v="2018-04-24T00:00:00"/>
    <d v="1899-12-30T23:36:00"/>
    <n v="-76.722694444444443"/>
    <n v="3.4778333333333329"/>
    <n v="2"/>
    <s v="Izquierdo"/>
    <s v="Oscar Martinez"/>
    <n v="2145"/>
    <b v="1"/>
    <s v=" "/>
    <n v="10"/>
    <m/>
    <n v="15"/>
    <s v="Hoja"/>
    <s v="Bosque Secundario"/>
    <m/>
    <x v="5"/>
    <m/>
    <n v="1"/>
    <m/>
    <m/>
    <s v="Ninguna"/>
    <m/>
    <m/>
    <m/>
    <m/>
    <m/>
    <m/>
    <m/>
    <m/>
    <m/>
    <m/>
    <m/>
    <m/>
    <m/>
    <m/>
    <m/>
    <m/>
    <m/>
  </r>
  <r>
    <x v="1"/>
    <x v="1"/>
    <x v="6"/>
    <s v="FCTAT2"/>
    <x v="1"/>
    <d v="2018-04-24T00:00:00"/>
    <d v="1899-12-30T23:40:00"/>
    <n v="-76.722694444444443"/>
    <n v="3.4778333333333329"/>
    <n v="2"/>
    <s v="Izquierdo"/>
    <s v="Oscar Martinez"/>
    <n v="2145"/>
    <b v="1"/>
    <s v=" "/>
    <n v="10"/>
    <m/>
    <n v="15"/>
    <s v="Hoja"/>
    <s v="Bosque Secundario"/>
    <m/>
    <x v="5"/>
    <m/>
    <n v="1"/>
    <m/>
    <m/>
    <s v="Ninguna"/>
    <m/>
    <m/>
    <m/>
    <m/>
    <m/>
    <m/>
    <m/>
    <m/>
    <m/>
    <m/>
    <m/>
    <m/>
    <m/>
    <m/>
    <m/>
    <m/>
    <m/>
  </r>
  <r>
    <x v="1"/>
    <x v="1"/>
    <x v="6"/>
    <s v="FCTAT2"/>
    <x v="1"/>
    <d v="2018-04-24T00:00:00"/>
    <d v="1899-12-30T23:41:00"/>
    <n v="-76.722694444444443"/>
    <n v="3.4778055555555558"/>
    <n v="2"/>
    <s v="Derecho"/>
    <s v="Hamilton Bermudez"/>
    <n v="2146"/>
    <b v="1"/>
    <s v=" "/>
    <n v="15"/>
    <m/>
    <n v="25"/>
    <s v="Hoja"/>
    <s v="Bosque Secundario"/>
    <m/>
    <x v="5"/>
    <m/>
    <n v="1"/>
    <m/>
    <m/>
    <s v="Ninguna"/>
    <m/>
    <m/>
    <m/>
    <m/>
    <m/>
    <m/>
    <m/>
    <m/>
    <m/>
    <m/>
    <m/>
    <m/>
    <m/>
    <m/>
    <m/>
    <m/>
    <m/>
  </r>
  <r>
    <x v="1"/>
    <x v="1"/>
    <x v="6"/>
    <s v="FCTAT2"/>
    <x v="1"/>
    <d v="2018-04-24T00:00:00"/>
    <d v="1899-12-30T23:47:00"/>
    <n v="-76.722694444444443"/>
    <n v="3.4778055555555558"/>
    <n v="2"/>
    <s v="Izquierdo"/>
    <s v="Oscar Martinez"/>
    <n v="2147"/>
    <b v="1"/>
    <s v=" "/>
    <n v="18"/>
    <m/>
    <n v="10"/>
    <s v="Hoja"/>
    <s v="Bosque Secundario"/>
    <s v="Fotos 775-788 Amplexus"/>
    <x v="5"/>
    <m/>
    <n v="1"/>
    <m/>
    <m/>
    <s v="Ninguna"/>
    <m/>
    <m/>
    <m/>
    <m/>
    <m/>
    <m/>
    <m/>
    <m/>
    <m/>
    <m/>
    <m/>
    <m/>
    <m/>
    <m/>
    <m/>
    <m/>
    <m/>
  </r>
  <r>
    <x v="1"/>
    <x v="1"/>
    <x v="6"/>
    <s v="FCTAT2"/>
    <x v="1"/>
    <d v="2018-04-24T00:00:00"/>
    <d v="1899-12-30T23:47:00"/>
    <n v="-76.722694444444443"/>
    <n v="3.4778055555555558"/>
    <n v="2"/>
    <s v="Izquierdo"/>
    <s v="Oscar Martinez"/>
    <n v="2147"/>
    <b v="1"/>
    <s v=" "/>
    <n v="18"/>
    <m/>
    <n v="10"/>
    <s v="Hoja"/>
    <s v="Bosque Secundario"/>
    <m/>
    <x v="5"/>
    <m/>
    <n v="1"/>
    <m/>
    <m/>
    <s v="Ninguna"/>
    <m/>
    <m/>
    <m/>
    <m/>
    <m/>
    <m/>
    <m/>
    <m/>
    <m/>
    <m/>
    <m/>
    <m/>
    <m/>
    <m/>
    <m/>
    <m/>
    <m/>
  </r>
  <r>
    <x v="1"/>
    <x v="1"/>
    <x v="6"/>
    <s v="FCTAT2"/>
    <x v="1"/>
    <d v="2018-04-24T00:00:00"/>
    <d v="1899-12-30T23:51:00"/>
    <n v="-76.722694444444443"/>
    <n v="3.477694444444444"/>
    <n v="2"/>
    <s v="Derecho"/>
    <s v="Alvaro Fierro"/>
    <n v="2147"/>
    <b v="1"/>
    <s v=" "/>
    <n v="20"/>
    <m/>
    <n v="12"/>
    <s v="Hoja"/>
    <s v="Bosque Secundario"/>
    <m/>
    <x v="4"/>
    <m/>
    <n v="1"/>
    <m/>
    <m/>
    <s v="Ninguna"/>
    <m/>
    <m/>
    <m/>
    <m/>
    <m/>
    <m/>
    <m/>
    <m/>
    <m/>
    <m/>
    <m/>
    <m/>
    <m/>
    <m/>
    <m/>
    <m/>
    <m/>
  </r>
  <r>
    <x v="1"/>
    <x v="1"/>
    <x v="6"/>
    <s v="FCTAT2"/>
    <x v="1"/>
    <d v="2018-04-24T00:00:00"/>
    <d v="1899-12-30T23:53:00"/>
    <n v="-76.722583333333333"/>
    <n v="3.477694444444444"/>
    <n v="2"/>
    <s v="Izquierdo"/>
    <s v="Oscar Martinez"/>
    <n v="2147"/>
    <b v="1"/>
    <s v=" "/>
    <n v="20"/>
    <m/>
    <n v="12"/>
    <s v="Hoja"/>
    <s v="Bosque Secundario"/>
    <m/>
    <x v="5"/>
    <m/>
    <n v="1"/>
    <m/>
    <m/>
    <s v="Ninguna"/>
    <m/>
    <m/>
    <m/>
    <m/>
    <m/>
    <m/>
    <m/>
    <m/>
    <m/>
    <m/>
    <m/>
    <m/>
    <m/>
    <m/>
    <m/>
    <m/>
    <m/>
  </r>
  <r>
    <x v="1"/>
    <x v="1"/>
    <x v="6"/>
    <s v="FCTAT2"/>
    <x v="1"/>
    <d v="2018-04-24T00:00:00"/>
    <d v="1899-12-30T23:54:00"/>
    <n v="-76.722583333333333"/>
    <n v="3.477694444444444"/>
    <n v="2"/>
    <s v="Izquierdo"/>
    <s v="Oscar Martinez"/>
    <n v="2147"/>
    <b v="1"/>
    <s v=" "/>
    <n v="20"/>
    <m/>
    <n v="12"/>
    <s v="Hoja"/>
    <s v="Bosque Secundario"/>
    <m/>
    <x v="5"/>
    <m/>
    <n v="1"/>
    <m/>
    <m/>
    <s v="Ninguna"/>
    <m/>
    <m/>
    <m/>
    <m/>
    <m/>
    <m/>
    <m/>
    <m/>
    <m/>
    <m/>
    <m/>
    <m/>
    <m/>
    <m/>
    <m/>
    <m/>
    <m/>
  </r>
  <r>
    <x v="1"/>
    <x v="1"/>
    <x v="6"/>
    <s v="FCTAT2"/>
    <x v="1"/>
    <d v="2018-04-24T00:00:00"/>
    <d v="1899-12-30T23:57:00"/>
    <n v="-76.722499999999997"/>
    <n v="3.477527777777778"/>
    <n v="2"/>
    <s v="Derecho"/>
    <s v="Alvaro Fierro"/>
    <n v="2149"/>
    <b v="1"/>
    <s v=" "/>
    <n v="18"/>
    <m/>
    <n v="10"/>
    <s v="Hoja"/>
    <s v="Bosque Secundario"/>
    <m/>
    <x v="5"/>
    <m/>
    <n v="1"/>
    <m/>
    <m/>
    <s v="Ninguna"/>
    <m/>
    <m/>
    <m/>
    <m/>
    <m/>
    <m/>
    <m/>
    <m/>
    <m/>
    <m/>
    <m/>
    <m/>
    <m/>
    <m/>
    <m/>
    <m/>
    <m/>
  </r>
  <r>
    <x v="1"/>
    <x v="1"/>
    <x v="6"/>
    <s v="FCTAT2"/>
    <x v="1"/>
    <d v="2018-04-24T00:00:00"/>
    <d v="1899-12-30T23:57:00"/>
    <n v="-76.722499999999997"/>
    <n v="3.477527777777778"/>
    <n v="2"/>
    <s v="Derecho"/>
    <s v="Alvaro Fierro"/>
    <n v="2149"/>
    <b v="1"/>
    <s v=" "/>
    <n v="18"/>
    <m/>
    <n v="10"/>
    <s v="Hoja"/>
    <s v="Bosque Secundario"/>
    <m/>
    <x v="5"/>
    <m/>
    <n v="1"/>
    <m/>
    <m/>
    <s v="Ninguna"/>
    <m/>
    <m/>
    <m/>
    <m/>
    <m/>
    <m/>
    <m/>
    <m/>
    <m/>
    <m/>
    <m/>
    <m/>
    <m/>
    <m/>
    <m/>
    <m/>
    <m/>
  </r>
  <r>
    <x v="1"/>
    <x v="1"/>
    <x v="6"/>
    <s v="FCTAT2"/>
    <x v="1"/>
    <d v="2018-04-24T00:00:00"/>
    <d v="1899-12-30T23:57:00"/>
    <n v="-76.722499999999997"/>
    <n v="3.477527777777778"/>
    <n v="2"/>
    <s v="Derecho"/>
    <s v="Hamilton Bermudez"/>
    <n v="2149"/>
    <b v="1"/>
    <s v=" "/>
    <n v="18"/>
    <m/>
    <n v="10"/>
    <s v="Hoja"/>
    <s v="Bosque Secundario"/>
    <m/>
    <x v="5"/>
    <m/>
    <n v="1"/>
    <m/>
    <m/>
    <s v="Ninguna"/>
    <m/>
    <m/>
    <m/>
    <m/>
    <m/>
    <m/>
    <m/>
    <m/>
    <m/>
    <m/>
    <m/>
    <m/>
    <m/>
    <m/>
    <m/>
    <m/>
    <m/>
  </r>
  <r>
    <x v="1"/>
    <x v="1"/>
    <x v="6"/>
    <s v="FCTAT2"/>
    <x v="1"/>
    <d v="2018-04-24T00:00:00"/>
    <d v="1899-12-30T23:58:00"/>
    <n v="-76.722499999999997"/>
    <n v="3.477527777777778"/>
    <n v="2"/>
    <s v="Izquierdo"/>
    <s v="Oscar Martinez"/>
    <n v="2149"/>
    <b v="1"/>
    <s v=" "/>
    <n v="18"/>
    <m/>
    <n v="10"/>
    <s v="Hoja"/>
    <s v="Bosque Secundario"/>
    <m/>
    <x v="5"/>
    <m/>
    <n v="1"/>
    <m/>
    <m/>
    <s v="Ninguna"/>
    <m/>
    <m/>
    <m/>
    <m/>
    <m/>
    <m/>
    <m/>
    <m/>
    <m/>
    <m/>
    <m/>
    <m/>
    <m/>
    <m/>
    <m/>
    <m/>
    <m/>
  </r>
  <r>
    <x v="1"/>
    <x v="1"/>
    <x v="6"/>
    <s v="FCTAT2"/>
    <x v="1"/>
    <d v="2018-04-24T00:00:00"/>
    <d v="1899-12-30T00:01:00"/>
    <n v="-76.722499999999997"/>
    <n v="3.4775"/>
    <n v="2"/>
    <s v="Izquierdo"/>
    <s v="Oscar Martinez"/>
    <n v="2149"/>
    <b v="1"/>
    <s v=" "/>
    <n v="18"/>
    <m/>
    <n v="15"/>
    <s v="Hoja"/>
    <s v="Bosque Secundario"/>
    <m/>
    <x v="5"/>
    <m/>
    <n v="1"/>
    <m/>
    <m/>
    <s v="Ninguna"/>
    <m/>
    <m/>
    <m/>
    <m/>
    <m/>
    <m/>
    <m/>
    <m/>
    <m/>
    <m/>
    <m/>
    <m/>
    <m/>
    <m/>
    <m/>
    <m/>
    <m/>
  </r>
  <r>
    <x v="1"/>
    <x v="1"/>
    <x v="6"/>
    <s v="FCTAT2"/>
    <x v="1"/>
    <d v="2018-04-24T00:00:00"/>
    <d v="1899-12-30T00:03:00"/>
    <n v="-76.722499999999997"/>
    <n v="3.4775"/>
    <n v="2"/>
    <s v="Derecho"/>
    <s v="Hamilton Bermudez"/>
    <n v="2149"/>
    <b v="1"/>
    <s v=" "/>
    <n v="24"/>
    <m/>
    <n v="15"/>
    <s v="Hoja"/>
    <s v="Bosque Secundario"/>
    <m/>
    <x v="5"/>
    <m/>
    <n v="1"/>
    <m/>
    <m/>
    <s v="Ninguna"/>
    <m/>
    <m/>
    <m/>
    <m/>
    <m/>
    <m/>
    <m/>
    <m/>
    <m/>
    <m/>
    <m/>
    <m/>
    <m/>
    <m/>
    <m/>
    <m/>
    <m/>
  </r>
  <r>
    <x v="1"/>
    <x v="1"/>
    <x v="7"/>
    <s v="FCTBT15"/>
    <x v="0"/>
    <d v="2018-04-25T00:00:00"/>
    <d v="1899-12-30T19:50:00"/>
    <n v="-76.713861111111115"/>
    <n v="3.487805555555556"/>
    <n v="2"/>
    <s v="Izquierdo"/>
    <s v="Oscar Martinez"/>
    <n v="1882"/>
    <s v=" "/>
    <b v="1"/>
    <n v="15"/>
    <n v="1.2"/>
    <n v="30"/>
    <s v="Hoja"/>
    <s v="Bosque Ripario"/>
    <m/>
    <x v="3"/>
    <m/>
    <n v="1"/>
    <m/>
    <m/>
    <s v="Ninguna"/>
    <m/>
    <m/>
    <m/>
    <m/>
    <m/>
    <m/>
    <m/>
    <m/>
    <m/>
    <m/>
    <m/>
    <m/>
    <m/>
    <m/>
    <m/>
    <m/>
    <m/>
  </r>
  <r>
    <x v="1"/>
    <x v="1"/>
    <x v="7"/>
    <s v="FCTBT15"/>
    <x v="0"/>
    <d v="2018-04-25T00:00:00"/>
    <d v="1899-12-30T19:58:00"/>
    <n v="-76.713888888888889"/>
    <n v="3.487805555555556"/>
    <n v="2"/>
    <s v="Izquierdo"/>
    <s v="Hamilton Bermudez"/>
    <n v="1883"/>
    <s v=" "/>
    <b v="1"/>
    <n v="20"/>
    <n v="1"/>
    <n v="90"/>
    <s v="Hoja"/>
    <s v="Bosque Ripario"/>
    <m/>
    <x v="3"/>
    <m/>
    <n v="1"/>
    <m/>
    <m/>
    <s v="Ninguna"/>
    <m/>
    <m/>
    <m/>
    <m/>
    <m/>
    <m/>
    <m/>
    <m/>
    <m/>
    <m/>
    <m/>
    <m/>
    <m/>
    <m/>
    <m/>
    <m/>
    <m/>
  </r>
  <r>
    <x v="1"/>
    <x v="1"/>
    <x v="7"/>
    <s v="FCTBT16"/>
    <x v="1"/>
    <d v="2018-04-25T00:00:00"/>
    <d v="1899-12-30T20:21:00"/>
    <n v="-76.714416666666665"/>
    <n v="3.487805555555556"/>
    <n v="2"/>
    <s v="Derecho"/>
    <s v="Alvaro Fierro"/>
    <n v="1890"/>
    <s v=" "/>
    <b v="1"/>
    <m/>
    <m/>
    <m/>
    <s v="Hoja"/>
    <s v="Bosque Ripario"/>
    <m/>
    <x v="3"/>
    <m/>
    <n v="1"/>
    <n v="77"/>
    <n v="16.8"/>
    <s v="Ninguna"/>
    <m/>
    <m/>
    <m/>
    <m/>
    <m/>
    <m/>
    <m/>
    <m/>
    <m/>
    <m/>
    <m/>
    <m/>
    <m/>
    <m/>
    <m/>
    <m/>
    <m/>
  </r>
  <r>
    <x v="1"/>
    <x v="1"/>
    <x v="7"/>
    <s v="FCTBT17"/>
    <x v="2"/>
    <d v="2018-04-25T00:00:00"/>
    <d v="1899-12-30T20:38:00"/>
    <n v="-76.714805555555557"/>
    <n v="3.487130555555555"/>
    <n v="2"/>
    <s v="Izquierdo"/>
    <s v="Oscar Martinez"/>
    <n v="1887"/>
    <s v=" "/>
    <b v="1"/>
    <n v="25"/>
    <n v="1.2"/>
    <n v="90"/>
    <s v="Hoja"/>
    <s v="Bosque Ripario"/>
    <m/>
    <x v="18"/>
    <m/>
    <n v="1"/>
    <m/>
    <m/>
    <s v="Ninguna"/>
    <m/>
    <m/>
    <m/>
    <m/>
    <m/>
    <m/>
    <m/>
    <m/>
    <m/>
    <m/>
    <m/>
    <m/>
    <m/>
    <m/>
    <m/>
    <m/>
    <m/>
  </r>
  <r>
    <x v="1"/>
    <x v="1"/>
    <x v="7"/>
    <s v="FCTBT17"/>
    <x v="2"/>
    <d v="2018-04-25T00:00:00"/>
    <d v="1899-12-30T20:59:00"/>
    <n v="-76.714805555555557"/>
    <n v="3.487130555555555"/>
    <n v="2"/>
    <s v="Izquierdo"/>
    <s v="Oscar Martinez"/>
    <n v="1887"/>
    <s v=" "/>
    <b v="1"/>
    <n v="18"/>
    <n v="1.2"/>
    <n v="90"/>
    <s v="Hoja"/>
    <s v="Bosque Ripario"/>
    <m/>
    <x v="3"/>
    <m/>
    <n v="1"/>
    <m/>
    <m/>
    <s v="Ninguna"/>
    <m/>
    <m/>
    <m/>
    <m/>
    <m/>
    <m/>
    <m/>
    <m/>
    <m/>
    <m/>
    <m/>
    <m/>
    <m/>
    <m/>
    <m/>
    <m/>
    <m/>
  </r>
  <r>
    <x v="1"/>
    <x v="1"/>
    <x v="7"/>
    <s v="FCTBT17"/>
    <x v="2"/>
    <d v="2018-04-25T00:00:00"/>
    <d v="1899-12-30T21:07:00"/>
    <n v="-76.714777777777783"/>
    <n v="3.487083333333334"/>
    <n v="2"/>
    <s v="Derecho"/>
    <s v="Roger Franco"/>
    <n v="1880"/>
    <s v=" "/>
    <b v="1"/>
    <n v="10"/>
    <n v="1"/>
    <n v="30"/>
    <m/>
    <s v="Bosque Ripario"/>
    <m/>
    <x v="0"/>
    <s v="Plastico"/>
    <n v="0"/>
    <n v="75"/>
    <n v="17.5"/>
    <s v="Ninguna"/>
    <m/>
    <m/>
    <m/>
    <m/>
    <m/>
    <m/>
    <m/>
    <m/>
    <m/>
    <m/>
    <m/>
    <m/>
    <m/>
    <m/>
    <m/>
    <m/>
    <m/>
  </r>
  <r>
    <x v="1"/>
    <x v="3"/>
    <x v="13"/>
    <s v="FCADT18"/>
    <x v="0"/>
    <d v="2018-12-04T00:00:00"/>
    <d v="1899-12-30T20:40:00"/>
    <n v="-76.878611111111098"/>
    <n v="3.543305555555555"/>
    <n v="3"/>
    <s v="Izquierdo"/>
    <s v="Hamilton Bermudez"/>
    <n v="496"/>
    <s v=" "/>
    <b v="1"/>
    <n v="20"/>
    <n v="6"/>
    <n v="40"/>
    <s v="Orilla quebrada"/>
    <s v="Bosque Ripario"/>
    <m/>
    <x v="20"/>
    <m/>
    <n v="1"/>
    <m/>
    <m/>
    <s v="Ninguna"/>
    <m/>
    <m/>
    <m/>
    <m/>
    <m/>
    <m/>
    <m/>
    <m/>
    <m/>
    <m/>
    <m/>
    <m/>
    <m/>
    <m/>
    <m/>
    <m/>
    <m/>
  </r>
  <r>
    <x v="1"/>
    <x v="3"/>
    <x v="13"/>
    <s v="FCADT18"/>
    <x v="0"/>
    <d v="2018-12-04T00:00:00"/>
    <d v="1899-12-30T20:10:00"/>
    <n v="-76.878499999999988"/>
    <n v="3.5437500000000002"/>
    <n v="3"/>
    <s v="Derecho"/>
    <s v="Carolina Burbano"/>
    <n v="495"/>
    <s v=" "/>
    <b v="1"/>
    <n v="6"/>
    <n v="4"/>
    <n v="10"/>
    <s v="Platanilla"/>
    <s v="Bosque Ripario"/>
    <m/>
    <x v="21"/>
    <m/>
    <n v="1"/>
    <m/>
    <m/>
    <s v="Ninguna"/>
    <m/>
    <m/>
    <m/>
    <m/>
    <m/>
    <m/>
    <m/>
    <m/>
    <m/>
    <m/>
    <m/>
    <m/>
    <m/>
    <m/>
    <m/>
    <m/>
    <m/>
  </r>
  <r>
    <x v="1"/>
    <x v="3"/>
    <x v="14"/>
    <s v="FCAAT11"/>
    <x v="0"/>
    <d v="2018-12-04T00:00:00"/>
    <d v="1899-12-30T22:03:00"/>
    <n v="-76.881583333333325"/>
    <n v="3.5525277777777782"/>
    <n v="3"/>
    <s v="Izquierdo"/>
    <s v="Hamilton Bermudez"/>
    <n v="511"/>
    <b v="1"/>
    <s v=" "/>
    <n v="6"/>
    <m/>
    <n v="10"/>
    <s v="Sobre hoja"/>
    <s v="Bosque Ripario"/>
    <m/>
    <x v="21"/>
    <m/>
    <n v="1"/>
    <m/>
    <m/>
    <s v="Ninguna"/>
    <m/>
    <m/>
    <m/>
    <m/>
    <m/>
    <m/>
    <m/>
    <m/>
    <m/>
    <m/>
    <m/>
    <m/>
    <m/>
    <m/>
    <m/>
    <m/>
    <m/>
  </r>
  <r>
    <x v="1"/>
    <x v="3"/>
    <x v="14"/>
    <s v="FCAAT12"/>
    <x v="1"/>
    <d v="2018-12-04T00:00:00"/>
    <d v="1899-12-30T22:31:00"/>
    <n v="-76.882583333333329"/>
    <n v="3.5523055555555549"/>
    <n v="3"/>
    <s v="Izquierdo"/>
    <s v="Hamilton Bermudez"/>
    <n v="515"/>
    <b v="1"/>
    <s v=" "/>
    <n v="3"/>
    <m/>
    <n v="5"/>
    <m/>
    <s v="Bosque Ripario"/>
    <m/>
    <x v="15"/>
    <m/>
    <n v="1"/>
    <m/>
    <m/>
    <s v="Ninguna"/>
    <m/>
    <m/>
    <m/>
    <m/>
    <m/>
    <m/>
    <m/>
    <m/>
    <m/>
    <m/>
    <m/>
    <m/>
    <m/>
    <m/>
    <m/>
    <m/>
    <m/>
  </r>
  <r>
    <x v="1"/>
    <x v="3"/>
    <x v="14"/>
    <s v="FCAAT12"/>
    <x v="1"/>
    <d v="2018-12-04T00:00:00"/>
    <d v="1899-12-30T23:31:00"/>
    <n v="-76.882583333333329"/>
    <n v="3.5523055555555549"/>
    <n v="3"/>
    <s v="Izquierdo"/>
    <s v="Hamilton Bermudez"/>
    <n v="516"/>
    <b v="1"/>
    <s v=" "/>
    <n v="3"/>
    <m/>
    <n v="5"/>
    <m/>
    <s v="Bosque Ripario"/>
    <m/>
    <x v="20"/>
    <m/>
    <n v="1"/>
    <m/>
    <m/>
    <s v="Ninguna"/>
    <m/>
    <m/>
    <m/>
    <m/>
    <m/>
    <m/>
    <m/>
    <m/>
    <m/>
    <m/>
    <m/>
    <m/>
    <m/>
    <m/>
    <m/>
    <m/>
    <m/>
  </r>
  <r>
    <x v="1"/>
    <x v="3"/>
    <x v="14"/>
    <s v="FCAAT12"/>
    <x v="1"/>
    <d v="2018-12-04T00:00:00"/>
    <d v="1899-12-30T23:31:00"/>
    <n v="-76.882583333333329"/>
    <n v="3.5523055555555549"/>
    <n v="3"/>
    <s v="Izquierdo"/>
    <s v="Hamilton Bermudez"/>
    <n v="517"/>
    <b v="1"/>
    <s v=" "/>
    <n v="3"/>
    <m/>
    <n v="5"/>
    <m/>
    <s v="Bosque Ripario"/>
    <m/>
    <x v="20"/>
    <m/>
    <n v="1"/>
    <m/>
    <m/>
    <s v="Ninguna"/>
    <m/>
    <m/>
    <m/>
    <m/>
    <m/>
    <m/>
    <m/>
    <m/>
    <m/>
    <m/>
    <m/>
    <m/>
    <m/>
    <m/>
    <m/>
    <m/>
    <m/>
  </r>
  <r>
    <x v="1"/>
    <x v="3"/>
    <x v="14"/>
    <s v="FCAAT12"/>
    <x v="1"/>
    <d v="2018-12-04T00:00:00"/>
    <d v="1899-12-30T23:31:00"/>
    <n v="-76.882583333333329"/>
    <n v="3.5523055555555549"/>
    <n v="3"/>
    <s v="Izquierdo"/>
    <s v="Hamilton Bermudez"/>
    <n v="518"/>
    <b v="1"/>
    <s v=" "/>
    <n v="3"/>
    <m/>
    <n v="5"/>
    <m/>
    <s v="Bosque Ripario"/>
    <m/>
    <x v="20"/>
    <m/>
    <n v="1"/>
    <m/>
    <m/>
    <s v="Ninguna"/>
    <m/>
    <m/>
    <m/>
    <m/>
    <m/>
    <m/>
    <m/>
    <m/>
    <m/>
    <m/>
    <m/>
    <m/>
    <m/>
    <m/>
    <m/>
    <m/>
    <m/>
  </r>
  <r>
    <x v="1"/>
    <x v="3"/>
    <x v="14"/>
    <s v="FCAAT12"/>
    <x v="1"/>
    <d v="2018-12-04T00:00:00"/>
    <d v="1899-12-30T23:31:00"/>
    <n v="-76.882583333333329"/>
    <n v="3.5523055555555549"/>
    <n v="3"/>
    <s v="Izquierdo"/>
    <s v="Hamilton Bermudez"/>
    <n v="519"/>
    <b v="1"/>
    <s v=" "/>
    <n v="3"/>
    <m/>
    <n v="5"/>
    <m/>
    <s v="Bosque Ripario"/>
    <m/>
    <x v="20"/>
    <m/>
    <n v="1"/>
    <m/>
    <m/>
    <s v="Ninguna"/>
    <m/>
    <m/>
    <m/>
    <m/>
    <m/>
    <m/>
    <m/>
    <m/>
    <m/>
    <m/>
    <m/>
    <m/>
    <m/>
    <m/>
    <m/>
    <m/>
    <m/>
  </r>
  <r>
    <x v="1"/>
    <x v="3"/>
    <x v="14"/>
    <s v="FCAAT12"/>
    <x v="1"/>
    <d v="2018-12-04T00:00:00"/>
    <d v="1899-12-30T23:31:00"/>
    <n v="-76.882583333333329"/>
    <n v="3.5523055555555549"/>
    <n v="3"/>
    <s v="Izquierdo"/>
    <s v="Hamilton Bermudez"/>
    <n v="520"/>
    <b v="1"/>
    <s v=" "/>
    <n v="3"/>
    <m/>
    <n v="5"/>
    <m/>
    <s v="Bosque Ripario"/>
    <m/>
    <x v="20"/>
    <m/>
    <n v="1"/>
    <m/>
    <m/>
    <s v="Ninguna"/>
    <m/>
    <m/>
    <m/>
    <m/>
    <m/>
    <m/>
    <m/>
    <m/>
    <m/>
    <m/>
    <m/>
    <m/>
    <m/>
    <m/>
    <m/>
    <m/>
    <m/>
  </r>
  <r>
    <x v="1"/>
    <x v="3"/>
    <x v="14"/>
    <s v="FCAAT12"/>
    <x v="1"/>
    <d v="2018-12-04T00:00:00"/>
    <d v="1899-12-30T23:31:00"/>
    <n v="-76.882583333333329"/>
    <n v="3.5523055555555549"/>
    <n v="3"/>
    <s v="Izquierdo"/>
    <s v="Hamilton Bermudez"/>
    <n v="521"/>
    <b v="1"/>
    <s v=" "/>
    <n v="3"/>
    <m/>
    <n v="5"/>
    <m/>
    <s v="Bosque Ripario"/>
    <m/>
    <x v="20"/>
    <m/>
    <n v="1"/>
    <m/>
    <m/>
    <s v="Ninguna"/>
    <m/>
    <m/>
    <m/>
    <m/>
    <m/>
    <m/>
    <m/>
    <m/>
    <m/>
    <m/>
    <m/>
    <m/>
    <m/>
    <m/>
    <m/>
    <m/>
    <m/>
  </r>
  <r>
    <x v="1"/>
    <x v="3"/>
    <x v="14"/>
    <s v="FCAAT12"/>
    <x v="1"/>
    <d v="2018-12-04T00:00:00"/>
    <d v="1899-12-30T23:31:00"/>
    <n v="-76.882583333333329"/>
    <n v="3.5523055555555549"/>
    <n v="3"/>
    <s v="Izquierdo"/>
    <s v="Hamilton Bermudez"/>
    <n v="522"/>
    <b v="1"/>
    <s v=" "/>
    <n v="3"/>
    <m/>
    <n v="5"/>
    <m/>
    <s v="Bosque Ripario"/>
    <m/>
    <x v="20"/>
    <m/>
    <n v="1"/>
    <m/>
    <m/>
    <s v="Ninguna"/>
    <m/>
    <m/>
    <m/>
    <m/>
    <m/>
    <m/>
    <m/>
    <m/>
    <m/>
    <m/>
    <m/>
    <m/>
    <m/>
    <m/>
    <m/>
    <m/>
    <m/>
  </r>
  <r>
    <x v="1"/>
    <x v="3"/>
    <x v="14"/>
    <s v="FCAAT12"/>
    <x v="1"/>
    <d v="2018-12-04T00:00:00"/>
    <d v="1899-12-30T23:31:00"/>
    <n v="-76.882583333333329"/>
    <n v="3.5523055555555549"/>
    <n v="3"/>
    <s v="Izquierdo"/>
    <s v="Hamilton Bermudez"/>
    <n v="523"/>
    <b v="1"/>
    <s v=" "/>
    <n v="3"/>
    <m/>
    <n v="5"/>
    <m/>
    <s v="Bosque Ripario"/>
    <m/>
    <x v="20"/>
    <m/>
    <n v="1"/>
    <m/>
    <m/>
    <s v="Ninguna"/>
    <m/>
    <m/>
    <m/>
    <m/>
    <m/>
    <m/>
    <m/>
    <m/>
    <m/>
    <m/>
    <m/>
    <m/>
    <m/>
    <m/>
    <m/>
    <m/>
    <m/>
  </r>
  <r>
    <x v="1"/>
    <x v="3"/>
    <x v="14"/>
    <s v="FCAAT12"/>
    <x v="1"/>
    <d v="2018-12-04T00:00:00"/>
    <d v="1899-12-30T23:31:00"/>
    <n v="-76.882583333333329"/>
    <n v="3.5523055555555549"/>
    <n v="3"/>
    <s v="Izquierdo"/>
    <s v="Hamilton Bermudez"/>
    <n v="524"/>
    <b v="1"/>
    <s v=" "/>
    <n v="3"/>
    <m/>
    <n v="5"/>
    <m/>
    <s v="Bosque Ripario"/>
    <m/>
    <x v="20"/>
    <m/>
    <n v="1"/>
    <m/>
    <m/>
    <s v="Ninguna"/>
    <m/>
    <m/>
    <m/>
    <m/>
    <m/>
    <m/>
    <m/>
    <m/>
    <m/>
    <m/>
    <m/>
    <m/>
    <m/>
    <m/>
    <m/>
    <m/>
    <m/>
  </r>
  <r>
    <x v="1"/>
    <x v="3"/>
    <x v="14"/>
    <s v="FCAAT12"/>
    <x v="1"/>
    <d v="2018-12-04T00:00:00"/>
    <d v="1899-12-30T23:31:00"/>
    <n v="-76.882583333333329"/>
    <n v="3.5523055555555549"/>
    <n v="3"/>
    <s v="Izquierdo"/>
    <s v="Hamilton Bermudez"/>
    <n v="525"/>
    <b v="1"/>
    <s v=" "/>
    <n v="3"/>
    <m/>
    <n v="5"/>
    <m/>
    <s v="Bosque Ripario"/>
    <m/>
    <x v="20"/>
    <m/>
    <n v="1"/>
    <m/>
    <m/>
    <s v="Ninguna"/>
    <m/>
    <m/>
    <m/>
    <m/>
    <m/>
    <m/>
    <m/>
    <m/>
    <m/>
    <m/>
    <m/>
    <m/>
    <m/>
    <m/>
    <m/>
    <m/>
    <m/>
  </r>
  <r>
    <x v="1"/>
    <x v="3"/>
    <x v="14"/>
    <s v="FCAAT12"/>
    <x v="1"/>
    <d v="2018-12-04T00:00:00"/>
    <d v="1899-12-30T23:31:00"/>
    <n v="-76.882583333333329"/>
    <n v="3.5523055555555549"/>
    <n v="3"/>
    <s v="Izquierdo"/>
    <s v="Hamilton Bermudez"/>
    <n v="526"/>
    <b v="1"/>
    <s v=" "/>
    <n v="3"/>
    <m/>
    <n v="5"/>
    <m/>
    <s v="Bosque Ripario"/>
    <m/>
    <x v="20"/>
    <m/>
    <n v="1"/>
    <m/>
    <m/>
    <s v="Ninguna"/>
    <m/>
    <m/>
    <m/>
    <m/>
    <m/>
    <m/>
    <m/>
    <m/>
    <m/>
    <m/>
    <m/>
    <m/>
    <m/>
    <m/>
    <m/>
    <m/>
    <m/>
  </r>
  <r>
    <x v="1"/>
    <x v="2"/>
    <x v="9"/>
    <s v="FCCAT2"/>
    <x v="1"/>
    <d v="2018-11-07T00:00:00"/>
    <d v="1899-12-30T19:05:00"/>
    <n v="-76.647111111111116"/>
    <n v="3.3496944444444452"/>
    <n v="3"/>
    <s v="Izquierdo"/>
    <s v="Hamilton Bermudez"/>
    <n v="2306"/>
    <s v=" "/>
    <b v="1"/>
    <n v="7"/>
    <n v="0.5"/>
    <n v="5"/>
    <s v="Helecho"/>
    <s v="Bosque Ripario"/>
    <s v="Juvenil macho"/>
    <x v="18"/>
    <m/>
    <n v="1"/>
    <m/>
    <m/>
    <s v="Ninguna"/>
    <m/>
    <m/>
    <m/>
    <m/>
    <m/>
    <m/>
    <m/>
    <m/>
    <m/>
    <m/>
    <m/>
    <m/>
    <m/>
    <m/>
    <m/>
    <m/>
    <m/>
  </r>
  <r>
    <x v="1"/>
    <x v="2"/>
    <x v="9"/>
    <s v="FCCBT4"/>
    <x v="3"/>
    <d v="2018-11-07T00:00:00"/>
    <d v="1899-12-30T19:00:00"/>
    <n v="-76.64466666666668"/>
    <n v="3.3495833333333329"/>
    <n v="3"/>
    <s v="Derecho"/>
    <s v="Alvaro Fierro"/>
    <n v="2305"/>
    <s v=" "/>
    <b v="1"/>
    <n v="7"/>
    <n v="0.5"/>
    <n v="6"/>
    <s v="Helecho"/>
    <s v="Bosque Ripario"/>
    <m/>
    <x v="18"/>
    <m/>
    <n v="1"/>
    <m/>
    <m/>
    <s v="Ninguna"/>
    <m/>
    <m/>
    <m/>
    <m/>
    <m/>
    <m/>
    <m/>
    <m/>
    <m/>
    <m/>
    <m/>
    <m/>
    <m/>
    <m/>
    <m/>
    <m/>
    <m/>
  </r>
  <r>
    <x v="1"/>
    <x v="2"/>
    <x v="9"/>
    <s v="FCCAT2"/>
    <x v="1"/>
    <d v="2018-11-07T00:00:00"/>
    <d v="1899-12-30T19:15:00"/>
    <n v="-76.647055555555568"/>
    <n v="3.3494166666666669"/>
    <n v="3"/>
    <s v="Derecho"/>
    <s v="Alvaro Fierro"/>
    <n v="2302"/>
    <s v=" "/>
    <b v="1"/>
    <n v="8"/>
    <n v="2"/>
    <n v="15"/>
    <s v="Hoja"/>
    <s v="Bosque Ripario"/>
    <m/>
    <x v="3"/>
    <m/>
    <n v="1"/>
    <m/>
    <m/>
    <s v="Ninguna"/>
    <m/>
    <m/>
    <m/>
    <m/>
    <m/>
    <m/>
    <m/>
    <m/>
    <m/>
    <m/>
    <m/>
    <m/>
    <m/>
    <m/>
    <m/>
    <m/>
    <m/>
  </r>
  <r>
    <x v="1"/>
    <x v="2"/>
    <x v="9"/>
    <s v="FCCAT1"/>
    <x v="0"/>
    <d v="2018-11-07T00:00:00"/>
    <d v="1899-12-30T19:43:00"/>
    <n v="-76.647083333333342"/>
    <n v="3.3488611111111108"/>
    <n v="3"/>
    <s v="Izquierdo"/>
    <s v="Hamilton Bermudez"/>
    <n v="2292"/>
    <s v=" "/>
    <b v="1"/>
    <n v="8"/>
    <n v="0.6"/>
    <n v="25"/>
    <s v="Helecho"/>
    <s v="Bosque Ripario"/>
    <m/>
    <x v="3"/>
    <m/>
    <n v="1"/>
    <m/>
    <m/>
    <s v="Ninguna"/>
    <m/>
    <m/>
    <m/>
    <m/>
    <m/>
    <m/>
    <m/>
    <m/>
    <m/>
    <m/>
    <m/>
    <m/>
    <m/>
    <m/>
    <m/>
    <m/>
    <m/>
  </r>
  <r>
    <x v="1"/>
    <x v="2"/>
    <x v="8"/>
    <s v="FCCBT5"/>
    <x v="0"/>
    <d v="2018-11-07T00:00:00"/>
    <d v="1899-12-30T20:51:00"/>
    <n v="-76.644361111111124"/>
    <n v="3.3495277777777779"/>
    <n v="3"/>
    <s v="Izquierdo"/>
    <s v="Hamilton Bermudez"/>
    <n v="2339"/>
    <b v="1"/>
    <s v=" "/>
    <n v="10"/>
    <m/>
    <n v="15"/>
    <m/>
    <s v="Bosque Secundario"/>
    <m/>
    <x v="17"/>
    <m/>
    <n v="1"/>
    <m/>
    <m/>
    <s v="Ninguna"/>
    <m/>
    <m/>
    <m/>
    <m/>
    <m/>
    <m/>
    <m/>
    <m/>
    <m/>
    <m/>
    <m/>
    <m/>
    <m/>
    <m/>
    <m/>
    <m/>
    <m/>
  </r>
  <r>
    <x v="1"/>
    <x v="2"/>
    <x v="8"/>
    <s v="FCCBT5"/>
    <x v="0"/>
    <d v="2018-11-07T00:00:00"/>
    <d v="1899-12-30T20:51:00"/>
    <n v="-76.644361111111124"/>
    <n v="3.3495277777777779"/>
    <n v="3"/>
    <s v="Izquierdo"/>
    <s v="Guillermo Guerrero"/>
    <n v="2339"/>
    <b v="1"/>
    <s v=" "/>
    <n v="10"/>
    <m/>
    <n v="15"/>
    <m/>
    <s v="Bosque Secundario"/>
    <m/>
    <x v="3"/>
    <m/>
    <n v="1"/>
    <m/>
    <m/>
    <s v="Ninguna"/>
    <m/>
    <m/>
    <m/>
    <m/>
    <m/>
    <m/>
    <m/>
    <m/>
    <m/>
    <m/>
    <m/>
    <m/>
    <m/>
    <m/>
    <m/>
    <m/>
    <m/>
  </r>
  <r>
    <x v="1"/>
    <x v="2"/>
    <x v="8"/>
    <s v="FCCBT5"/>
    <x v="0"/>
    <d v="2018-11-07T00:00:00"/>
    <d v="1899-12-30T20:51:00"/>
    <n v="-76.644361111111124"/>
    <n v="3.3495277777777779"/>
    <n v="3"/>
    <s v="Izquierdo"/>
    <s v="Guillermo Guerrero"/>
    <n v="2339"/>
    <b v="1"/>
    <s v=" "/>
    <n v="10"/>
    <m/>
    <n v="15"/>
    <m/>
    <s v="Bosque Secundario"/>
    <m/>
    <x v="3"/>
    <m/>
    <n v="1"/>
    <m/>
    <m/>
    <s v="Ninguna"/>
    <m/>
    <m/>
    <m/>
    <m/>
    <m/>
    <m/>
    <m/>
    <m/>
    <m/>
    <m/>
    <m/>
    <m/>
    <m/>
    <m/>
    <m/>
    <m/>
    <m/>
  </r>
  <r>
    <x v="1"/>
    <x v="2"/>
    <x v="8"/>
    <s v="FCCBT5"/>
    <x v="0"/>
    <d v="2018-11-07T00:00:00"/>
    <d v="1899-12-30T20:53:00"/>
    <n v="-76.644361111111124"/>
    <n v="3.3495277777777779"/>
    <n v="3"/>
    <s v="Izquierdo"/>
    <s v="Hamilton Bermudez"/>
    <n v="2339"/>
    <b v="1"/>
    <s v=" "/>
    <n v="10"/>
    <m/>
    <n v="15"/>
    <m/>
    <s v="Bosque Secundario"/>
    <m/>
    <x v="3"/>
    <m/>
    <n v="1"/>
    <m/>
    <m/>
    <s v="Ninguna"/>
    <m/>
    <m/>
    <m/>
    <m/>
    <m/>
    <m/>
    <m/>
    <m/>
    <m/>
    <m/>
    <m/>
    <m/>
    <m/>
    <m/>
    <m/>
    <m/>
    <m/>
  </r>
  <r>
    <x v="1"/>
    <x v="2"/>
    <x v="8"/>
    <s v="FCCBT5"/>
    <x v="0"/>
    <d v="2018-11-07T00:00:00"/>
    <d v="1899-12-30T21:04:00"/>
    <n v="-76.644222222222226"/>
    <n v="3.3496111111111109"/>
    <n v="3"/>
    <s v="Izquierdo"/>
    <s v="Hamilton Bermudez"/>
    <n v="2339"/>
    <b v="1"/>
    <s v=" "/>
    <n v="30"/>
    <m/>
    <n v="25"/>
    <m/>
    <s v="Bosque Secundario"/>
    <m/>
    <x v="3"/>
    <m/>
    <n v="1"/>
    <m/>
    <m/>
    <s v="Ninguna"/>
    <m/>
    <m/>
    <m/>
    <m/>
    <m/>
    <m/>
    <m/>
    <m/>
    <m/>
    <m/>
    <m/>
    <m/>
    <m/>
    <m/>
    <m/>
    <m/>
    <m/>
  </r>
  <r>
    <x v="1"/>
    <x v="2"/>
    <x v="8"/>
    <s v="FCCBT5"/>
    <x v="0"/>
    <d v="2018-11-07T00:00:00"/>
    <d v="1899-12-30T21:13:00"/>
    <n v="-76.644027777777779"/>
    <n v="3.3495555555555558"/>
    <n v="3"/>
    <s v="Izquierdo"/>
    <s v="Hamilton Bermudez"/>
    <n v="2339"/>
    <b v="1"/>
    <s v=" "/>
    <n v="25"/>
    <m/>
    <n v="60"/>
    <m/>
    <s v="Bosque Secundario"/>
    <m/>
    <x v="3"/>
    <m/>
    <n v="1"/>
    <m/>
    <m/>
    <s v="Ninguna"/>
    <m/>
    <m/>
    <m/>
    <m/>
    <m/>
    <m/>
    <m/>
    <m/>
    <m/>
    <m/>
    <m/>
    <m/>
    <m/>
    <m/>
    <m/>
    <m/>
    <m/>
  </r>
  <r>
    <x v="1"/>
    <x v="2"/>
    <x v="8"/>
    <s v="FCCBT5"/>
    <x v="0"/>
    <d v="2018-11-07T00:00:00"/>
    <d v="1899-12-30T20:55:00"/>
    <n v="-76.644305555555562"/>
    <n v="3.3495555555555558"/>
    <n v="3"/>
    <s v="Derecho"/>
    <s v="Alvaro Fierro"/>
    <n v="2339"/>
    <b v="1"/>
    <s v=" "/>
    <n v="25"/>
    <m/>
    <n v="15"/>
    <m/>
    <s v="Bosque Secundario"/>
    <m/>
    <x v="3"/>
    <m/>
    <n v="1"/>
    <m/>
    <m/>
    <s v="Ninguna"/>
    <m/>
    <m/>
    <m/>
    <m/>
    <m/>
    <m/>
    <m/>
    <m/>
    <m/>
    <m/>
    <m/>
    <m/>
    <m/>
    <m/>
    <m/>
    <m/>
    <m/>
  </r>
  <r>
    <x v="1"/>
    <x v="2"/>
    <x v="8"/>
    <s v="FCCBT6"/>
    <x v="1"/>
    <d v="2018-11-07T00:00:00"/>
    <d v="1899-12-30T21:52:00"/>
    <n v="-76.643111111111111"/>
    <n v="3.3495555555555558"/>
    <n v="3"/>
    <s v="Izquierdo"/>
    <s v="Hamilton Bermudez"/>
    <n v="2315"/>
    <b v="1"/>
    <s v=" "/>
    <n v="25"/>
    <m/>
    <n v="35"/>
    <m/>
    <s v="Bosque Secundario"/>
    <m/>
    <x v="12"/>
    <m/>
    <n v="1"/>
    <m/>
    <m/>
    <s v="Ninguna"/>
    <m/>
    <m/>
    <m/>
    <m/>
    <m/>
    <m/>
    <m/>
    <m/>
    <m/>
    <m/>
    <m/>
    <m/>
    <m/>
    <m/>
    <m/>
    <m/>
    <m/>
  </r>
  <r>
    <x v="1"/>
    <x v="2"/>
    <x v="8"/>
    <s v="FCCBT6"/>
    <x v="1"/>
    <d v="2018-11-07T00:00:00"/>
    <d v="1899-12-30T22:11:00"/>
    <n v="-76.643055555555563"/>
    <n v="3.3496944444444452"/>
    <n v="3"/>
    <s v="Izquierdo"/>
    <s v="Carolina Burbano"/>
    <n v="2312"/>
    <b v="1"/>
    <s v=" "/>
    <n v="30"/>
    <m/>
    <n v="45"/>
    <m/>
    <s v="Bosque Secundario"/>
    <m/>
    <x v="3"/>
    <m/>
    <n v="1"/>
    <m/>
    <m/>
    <s v="Ninguna"/>
    <m/>
    <m/>
    <m/>
    <m/>
    <m/>
    <m/>
    <m/>
    <m/>
    <m/>
    <m/>
    <m/>
    <m/>
    <m/>
    <m/>
    <m/>
    <m/>
    <m/>
  </r>
  <r>
    <x v="1"/>
    <x v="2"/>
    <x v="8"/>
    <s v="FCCBT6"/>
    <x v="1"/>
    <d v="2018-11-07T00:00:00"/>
    <d v="1899-12-30T21:51:00"/>
    <n v="-76.643111111111111"/>
    <n v="3.348444444444445"/>
    <n v="3"/>
    <s v="Izquierdo"/>
    <s v="Carolina Burbano"/>
    <n v="2315"/>
    <b v="1"/>
    <s v=" "/>
    <n v="25"/>
    <m/>
    <n v="35"/>
    <m/>
    <s v="Bosque Secundario"/>
    <m/>
    <x v="3"/>
    <m/>
    <n v="1"/>
    <m/>
    <m/>
    <s v="Ninguna"/>
    <m/>
    <m/>
    <m/>
    <m/>
    <m/>
    <m/>
    <m/>
    <m/>
    <m/>
    <m/>
    <m/>
    <m/>
    <m/>
    <m/>
    <m/>
    <m/>
    <m/>
  </r>
  <r>
    <x v="1"/>
    <x v="2"/>
    <x v="10"/>
    <s v="FCCCT18"/>
    <x v="2"/>
    <d v="2018-11-08T00:00:00"/>
    <d v="1899-12-30T18:58:00"/>
    <n v="-76.656194444444452"/>
    <n v="3.3552222222222219"/>
    <n v="3"/>
    <s v="Derecho"/>
    <s v="Hamilton Bermudez"/>
    <n v="2448"/>
    <s v=" "/>
    <b v="1"/>
    <n v="20"/>
    <n v="1"/>
    <n v="25"/>
    <m/>
    <s v="Bosque Ripario"/>
    <m/>
    <x v="12"/>
    <m/>
    <n v="1"/>
    <m/>
    <m/>
    <s v="Ninguna"/>
    <m/>
    <m/>
    <m/>
    <m/>
    <m/>
    <m/>
    <m/>
    <m/>
    <m/>
    <m/>
    <m/>
    <m/>
    <m/>
    <m/>
    <m/>
    <m/>
    <m/>
  </r>
  <r>
    <x v="1"/>
    <x v="2"/>
    <x v="10"/>
    <s v="FCCDT17"/>
    <x v="1"/>
    <d v="2018-11-08T00:00:00"/>
    <d v="1899-12-30T19:48:00"/>
    <n v="-76.65613888888889"/>
    <n v="3.354805555555556"/>
    <n v="3"/>
    <s v="Derecho"/>
    <s v="Hamilton Bermudez"/>
    <n v="2450"/>
    <b v="1"/>
    <s v=" "/>
    <n v="25"/>
    <m/>
    <n v="45"/>
    <m/>
    <s v="Bosque Secundario"/>
    <m/>
    <x v="3"/>
    <m/>
    <n v="1"/>
    <m/>
    <m/>
    <s v="Ninguna"/>
    <m/>
    <m/>
    <m/>
    <m/>
    <m/>
    <m/>
    <m/>
    <m/>
    <m/>
    <m/>
    <m/>
    <m/>
    <m/>
    <m/>
    <m/>
    <m/>
    <m/>
  </r>
  <r>
    <x v="1"/>
    <x v="2"/>
    <x v="10"/>
    <s v="FCCDT17"/>
    <x v="1"/>
    <d v="2018-11-08T00:00:00"/>
    <d v="1899-12-30T19:59:00"/>
    <n v="-76.656000000000006"/>
    <n v="3.3547777777777781"/>
    <n v="3"/>
    <s v="Derecho"/>
    <s v="Carolina Burbano"/>
    <n v="2451"/>
    <b v="1"/>
    <s v=" "/>
    <n v="30"/>
    <m/>
    <n v="80"/>
    <m/>
    <s v="Bosque Secundario"/>
    <m/>
    <x v="18"/>
    <m/>
    <n v="1"/>
    <m/>
    <m/>
    <s v="Ninguna"/>
    <m/>
    <m/>
    <m/>
    <m/>
    <m/>
    <m/>
    <m/>
    <m/>
    <m/>
    <m/>
    <m/>
    <m/>
    <m/>
    <m/>
    <m/>
    <m/>
    <m/>
  </r>
  <r>
    <x v="1"/>
    <x v="2"/>
    <x v="10"/>
    <s v="FCCDT17"/>
    <x v="1"/>
    <d v="2018-11-08T00:00:00"/>
    <d v="1899-12-30T20:00:00"/>
    <n v="-76.656000000000006"/>
    <n v="3.3547777777777781"/>
    <n v="3"/>
    <s v="Derecho"/>
    <s v="Hamilton Bermudez"/>
    <n v="2451"/>
    <b v="1"/>
    <s v=" "/>
    <n v="30"/>
    <m/>
    <m/>
    <m/>
    <s v="Bosque Secundario"/>
    <s v="Juvenil"/>
    <x v="3"/>
    <m/>
    <n v="1"/>
    <m/>
    <m/>
    <s v="Ninguna"/>
    <m/>
    <m/>
    <m/>
    <m/>
    <m/>
    <m/>
    <m/>
    <m/>
    <m/>
    <m/>
    <m/>
    <m/>
    <m/>
    <m/>
    <m/>
    <m/>
    <m/>
  </r>
  <r>
    <x v="1"/>
    <x v="2"/>
    <x v="10"/>
    <s v="FCCDT17"/>
    <x v="1"/>
    <d v="2018-11-08T00:00:00"/>
    <d v="1899-12-30T20:08:00"/>
    <n v="-76.65580555555556"/>
    <n v="3.3545833333333328"/>
    <n v="3"/>
    <s v="Derecho"/>
    <s v="Hamilton Bermudez"/>
    <n v="2449"/>
    <b v="1"/>
    <s v=" "/>
    <n v="20"/>
    <m/>
    <n v="75"/>
    <m/>
    <s v="Bosque Secundario"/>
    <m/>
    <x v="18"/>
    <m/>
    <n v="1"/>
    <m/>
    <m/>
    <s v="Ninguna"/>
    <m/>
    <m/>
    <m/>
    <m/>
    <m/>
    <m/>
    <m/>
    <m/>
    <m/>
    <m/>
    <m/>
    <m/>
    <m/>
    <m/>
    <m/>
    <m/>
    <m/>
  </r>
  <r>
    <x v="1"/>
    <x v="2"/>
    <x v="10"/>
    <s v="FCCDT16"/>
    <x v="0"/>
    <d v="2018-11-08T00:00:00"/>
    <d v="1899-12-30T21:04:00"/>
    <n v="-76.655166666666673"/>
    <n v="3.3539444444444451"/>
    <n v="3"/>
    <s v="Izquierdo"/>
    <s v="Hamilton Bermudez"/>
    <n v="2445"/>
    <b v="1"/>
    <s v=" "/>
    <n v="20"/>
    <m/>
    <n v="30"/>
    <m/>
    <s v="Bosque Secundario"/>
    <m/>
    <x v="3"/>
    <m/>
    <n v="1"/>
    <m/>
    <m/>
    <s v="Ninguna"/>
    <m/>
    <m/>
    <m/>
    <m/>
    <m/>
    <m/>
    <m/>
    <m/>
    <m/>
    <m/>
    <m/>
    <m/>
    <m/>
    <m/>
    <m/>
    <m/>
    <m/>
  </r>
  <r>
    <x v="1"/>
    <x v="2"/>
    <x v="10"/>
    <s v="FCCDT16"/>
    <x v="0"/>
    <d v="2018-11-08T00:00:00"/>
    <d v="1899-12-30T21:10:00"/>
    <n v="-76.655027777777789"/>
    <n v="3.3538888888888891"/>
    <n v="3"/>
    <s v="Izquierdo"/>
    <s v="Hamilton Bermudez"/>
    <n v="2445"/>
    <b v="1"/>
    <s v=" "/>
    <n v="20"/>
    <m/>
    <n v="30"/>
    <m/>
    <s v="Bosque Secundario"/>
    <m/>
    <x v="8"/>
    <m/>
    <n v="1"/>
    <m/>
    <m/>
    <s v="Ninguna"/>
    <m/>
    <m/>
    <m/>
    <m/>
    <m/>
    <m/>
    <m/>
    <m/>
    <m/>
    <m/>
    <m/>
    <m/>
    <m/>
    <m/>
    <m/>
    <m/>
    <m/>
  </r>
  <r>
    <x v="1"/>
    <x v="2"/>
    <x v="10"/>
    <s v="FCCCT19"/>
    <x v="3"/>
    <d v="2018-11-08T00:00:00"/>
    <d v="1899-12-30T21:18:00"/>
    <n v="-76.654972222222227"/>
    <n v="3.356611111111111"/>
    <n v="3"/>
    <s v="Izquierdo"/>
    <s v="Carolina Burbano"/>
    <n v="2443"/>
    <b v="1"/>
    <s v=" "/>
    <n v="25"/>
    <m/>
    <n v="20"/>
    <m/>
    <s v="Bosque Secundario"/>
    <m/>
    <x v="10"/>
    <m/>
    <n v="1"/>
    <m/>
    <m/>
    <s v="Ninguna"/>
    <m/>
    <m/>
    <m/>
    <m/>
    <m/>
    <m/>
    <m/>
    <m/>
    <m/>
    <m/>
    <m/>
    <m/>
    <m/>
    <m/>
    <m/>
    <m/>
    <m/>
  </r>
  <r>
    <x v="1"/>
    <x v="2"/>
    <x v="10"/>
    <s v="FCCDT16"/>
    <x v="0"/>
    <d v="2018-11-08T00:00:00"/>
    <d v="1899-12-30T21:00:00"/>
    <n v="-76.655027777777789"/>
    <n v="3.3538888888888891"/>
    <n v="3"/>
    <s v="Derecho"/>
    <s v="Alvaro Fierro"/>
    <n v="2445"/>
    <b v="1"/>
    <s v=" "/>
    <n v="20"/>
    <m/>
    <n v="30"/>
    <m/>
    <s v="Bosque Secundario"/>
    <m/>
    <x v="18"/>
    <m/>
    <n v="1"/>
    <m/>
    <m/>
    <s v="Ninguna"/>
    <m/>
    <m/>
    <m/>
    <m/>
    <m/>
    <m/>
    <m/>
    <m/>
    <m/>
    <m/>
    <m/>
    <m/>
    <m/>
    <m/>
    <m/>
    <m/>
    <m/>
  </r>
  <r>
    <x v="1"/>
    <x v="2"/>
    <x v="11"/>
    <s v="FCCDT15"/>
    <x v="4"/>
    <d v="2018-11-08T00:00:00"/>
    <d v="1899-12-30T21:47:00"/>
    <n v="-76.653000000000006"/>
    <n v="3.353388888888889"/>
    <n v="3"/>
    <s v="Izquierdo"/>
    <m/>
    <n v="2414"/>
    <b v="1"/>
    <s v=" "/>
    <m/>
    <m/>
    <m/>
    <m/>
    <s v="Bosque Secundario"/>
    <m/>
    <x v="0"/>
    <m/>
    <n v="0"/>
    <m/>
    <m/>
    <s v="Ninguna"/>
    <m/>
    <m/>
    <m/>
    <m/>
    <m/>
    <m/>
    <m/>
    <m/>
    <m/>
    <m/>
    <m/>
    <m/>
    <m/>
    <m/>
    <m/>
    <m/>
    <m/>
  </r>
  <r>
    <x v="1"/>
    <x v="2"/>
    <x v="11"/>
    <s v="FCCDT15"/>
    <x v="4"/>
    <d v="2018-11-08T00:00:00"/>
    <d v="1899-12-30T21:47:00"/>
    <n v="-76.653000000000006"/>
    <n v="3.353388888888889"/>
    <n v="3"/>
    <s v="Derecho"/>
    <m/>
    <n v="2414"/>
    <b v="1"/>
    <s v=" "/>
    <m/>
    <m/>
    <m/>
    <m/>
    <s v="Bosque Secundario"/>
    <m/>
    <x v="0"/>
    <m/>
    <n v="0"/>
    <m/>
    <m/>
    <s v="Ninguna"/>
    <m/>
    <m/>
    <m/>
    <m/>
    <m/>
    <m/>
    <m/>
    <m/>
    <m/>
    <m/>
    <m/>
    <m/>
    <m/>
    <m/>
    <m/>
    <m/>
    <m/>
  </r>
  <r>
    <x v="1"/>
    <x v="0"/>
    <x v="1"/>
    <s v="FCMCT16"/>
    <x v="3"/>
    <d v="2018-05-13T00:00:00"/>
    <d v="1899-12-30T21:17:00"/>
    <n v="-76.690633333333338"/>
    <n v="3.4063583333333329"/>
    <n v="2"/>
    <s v="Izquierdo"/>
    <s v="Alvaro Fierro"/>
    <n v="3425"/>
    <b v="1"/>
    <s v=" "/>
    <n v="1.5"/>
    <m/>
    <n v="5"/>
    <s v="Hoja"/>
    <s v="Arbustal"/>
    <m/>
    <x v="2"/>
    <m/>
    <n v="1"/>
    <m/>
    <m/>
    <s v="Ninguna"/>
    <m/>
    <m/>
    <m/>
    <m/>
    <m/>
    <m/>
    <m/>
    <m/>
    <m/>
    <m/>
    <m/>
    <m/>
    <m/>
    <m/>
    <m/>
    <m/>
    <m/>
  </r>
  <r>
    <x v="1"/>
    <x v="0"/>
    <x v="1"/>
    <s v="FCMCT16"/>
    <x v="3"/>
    <d v="2018-05-13T00:00:00"/>
    <d v="1899-12-30T21:28:00"/>
    <n v="-76.690638888888898"/>
    <n v="3.4063555555555549"/>
    <n v="2"/>
    <s v="Izquierdo"/>
    <s v="Roger Franco"/>
    <n v="3425"/>
    <b v="1"/>
    <s v=" "/>
    <n v="1.5"/>
    <m/>
    <n v="60"/>
    <s v="Hoja"/>
    <s v="Arbustal"/>
    <s v="Fotos 0145-0156"/>
    <x v="10"/>
    <m/>
    <n v="1"/>
    <m/>
    <m/>
    <s v="Ninguna"/>
    <m/>
    <m/>
    <m/>
    <m/>
    <m/>
    <m/>
    <m/>
    <m/>
    <m/>
    <m/>
    <m/>
    <m/>
    <m/>
    <m/>
    <m/>
    <m/>
    <m/>
  </r>
  <r>
    <x v="1"/>
    <x v="3"/>
    <x v="14"/>
    <s v="FCAAT12"/>
    <x v="1"/>
    <d v="2018-12-04T00:00:00"/>
    <d v="1899-12-30T23:31:00"/>
    <n v="-76.882583333333329"/>
    <n v="3.5523055555555549"/>
    <n v="3"/>
    <s v="Izquierdo"/>
    <s v="Hamilton Bermudez"/>
    <n v="527"/>
    <b v="1"/>
    <s v=" "/>
    <n v="3"/>
    <m/>
    <n v="5"/>
    <m/>
    <s v="Bosque Ripario"/>
    <m/>
    <x v="20"/>
    <m/>
    <n v="1"/>
    <m/>
    <m/>
    <s v="Ninguna"/>
    <m/>
    <m/>
    <m/>
    <m/>
    <m/>
    <m/>
    <m/>
    <m/>
    <m/>
    <m/>
    <m/>
    <m/>
    <m/>
    <m/>
    <m/>
    <m/>
    <m/>
  </r>
  <r>
    <x v="1"/>
    <x v="3"/>
    <x v="14"/>
    <s v="FCAAT12"/>
    <x v="1"/>
    <d v="2018-12-04T00:00:00"/>
    <d v="1899-12-30T23:31:00"/>
    <n v="-76.882583333333329"/>
    <n v="3.5523055555555549"/>
    <n v="3"/>
    <s v="Izquierdo"/>
    <s v="Hamilton Bermudez"/>
    <n v="528"/>
    <b v="1"/>
    <s v=" "/>
    <n v="3"/>
    <m/>
    <n v="5"/>
    <m/>
    <s v="Bosque Ripario"/>
    <m/>
    <x v="20"/>
    <m/>
    <n v="1"/>
    <m/>
    <m/>
    <s v="Ninguna"/>
    <m/>
    <m/>
    <m/>
    <m/>
    <m/>
    <m/>
    <m/>
    <m/>
    <m/>
    <m/>
    <m/>
    <m/>
    <m/>
    <m/>
    <m/>
    <m/>
    <m/>
  </r>
  <r>
    <x v="1"/>
    <x v="3"/>
    <x v="14"/>
    <s v="FCAAT12"/>
    <x v="1"/>
    <d v="2018-12-04T00:00:00"/>
    <d v="1899-12-30T23:31:00"/>
    <n v="-76.882583333333329"/>
    <n v="3.5523055555555549"/>
    <n v="3"/>
    <s v="Izquierdo"/>
    <s v="Hamilton Bermudez"/>
    <n v="529"/>
    <b v="1"/>
    <s v=" "/>
    <n v="3"/>
    <m/>
    <n v="5"/>
    <m/>
    <s v="Bosque Ripario"/>
    <m/>
    <x v="20"/>
    <m/>
    <n v="1"/>
    <m/>
    <m/>
    <s v="Ninguna"/>
    <m/>
    <m/>
    <m/>
    <m/>
    <m/>
    <m/>
    <m/>
    <m/>
    <m/>
    <m/>
    <m/>
    <m/>
    <m/>
    <m/>
    <m/>
    <m/>
    <m/>
  </r>
  <r>
    <x v="1"/>
    <x v="3"/>
    <x v="14"/>
    <s v="FCAAT12"/>
    <x v="1"/>
    <d v="2018-12-04T00:00:00"/>
    <d v="1899-12-30T23:31:00"/>
    <n v="-76.882583333333329"/>
    <n v="3.5523055555555549"/>
    <n v="3"/>
    <s v="Izquierdo"/>
    <s v="Hamilton Bermudez"/>
    <n v="530"/>
    <b v="1"/>
    <s v=" "/>
    <n v="3"/>
    <m/>
    <n v="5"/>
    <m/>
    <s v="Bosque Ripario"/>
    <m/>
    <x v="20"/>
    <m/>
    <n v="1"/>
    <m/>
    <m/>
    <s v="Ninguna"/>
    <m/>
    <m/>
    <m/>
    <m/>
    <m/>
    <m/>
    <m/>
    <m/>
    <m/>
    <m/>
    <m/>
    <m/>
    <m/>
    <m/>
    <m/>
    <m/>
    <m/>
  </r>
  <r>
    <x v="1"/>
    <x v="3"/>
    <x v="14"/>
    <s v="FCAAT12"/>
    <x v="1"/>
    <d v="2018-12-04T00:00:00"/>
    <d v="1899-12-30T23:31:00"/>
    <n v="-76.882583333333329"/>
    <n v="3.5523055555555549"/>
    <n v="3"/>
    <s v="Izquierdo"/>
    <s v="Hamilton Bermudez"/>
    <n v="531"/>
    <b v="1"/>
    <s v=" "/>
    <n v="3"/>
    <m/>
    <n v="5"/>
    <m/>
    <s v="Bosque Ripario"/>
    <m/>
    <x v="20"/>
    <m/>
    <n v="1"/>
    <m/>
    <m/>
    <s v="Ninguna"/>
    <m/>
    <m/>
    <m/>
    <m/>
    <m/>
    <m/>
    <m/>
    <m/>
    <m/>
    <m/>
    <m/>
    <m/>
    <m/>
    <m/>
    <m/>
    <m/>
    <m/>
  </r>
  <r>
    <x v="1"/>
    <x v="2"/>
    <x v="11"/>
    <s v="FCCDT14"/>
    <x v="3"/>
    <d v="2018-11-08T00:00:00"/>
    <d v="1899-12-30T22:12:00"/>
    <n v="-76.651499999999999"/>
    <n v="3.353194444444445"/>
    <n v="3"/>
    <s v="Derecho"/>
    <m/>
    <n v="2402"/>
    <b v="1"/>
    <s v=" "/>
    <m/>
    <m/>
    <m/>
    <m/>
    <s v="Bosque Secundario"/>
    <m/>
    <x v="0"/>
    <m/>
    <n v="0"/>
    <m/>
    <m/>
    <s v="Ninguna"/>
    <m/>
    <m/>
    <m/>
    <m/>
    <m/>
    <m/>
    <m/>
    <m/>
    <m/>
    <m/>
    <m/>
    <m/>
    <m/>
    <m/>
    <m/>
    <m/>
    <m/>
  </r>
  <r>
    <x v="1"/>
    <x v="2"/>
    <x v="11"/>
    <s v="FCCDT14"/>
    <x v="3"/>
    <d v="2018-11-08T00:00:00"/>
    <d v="1899-12-30T22:12:00"/>
    <n v="-76.651499999999999"/>
    <n v="3.353194444444445"/>
    <n v="3"/>
    <s v="Izquierdo"/>
    <m/>
    <n v="2402"/>
    <b v="1"/>
    <s v=" "/>
    <m/>
    <m/>
    <m/>
    <m/>
    <s v="Bosque Secundario"/>
    <m/>
    <x v="0"/>
    <m/>
    <n v="0"/>
    <m/>
    <m/>
    <s v="Ninguna"/>
    <m/>
    <m/>
    <m/>
    <m/>
    <m/>
    <m/>
    <m/>
    <m/>
    <m/>
    <m/>
    <m/>
    <m/>
    <m/>
    <m/>
    <m/>
    <m/>
    <m/>
  </r>
  <r>
    <x v="1"/>
    <x v="2"/>
    <x v="9"/>
    <s v="FCCAT2"/>
    <x v="1"/>
    <d v="2018-04-11T00:00:00"/>
    <d v="1899-12-30T20:43:00"/>
    <n v="-76.647155555555557"/>
    <n v="3.349394444444445"/>
    <n v="2"/>
    <s v="Derecho"/>
    <s v="Hamilton Bermudez"/>
    <n v="2429"/>
    <s v=" "/>
    <b v="1"/>
    <n v="10"/>
    <n v="1"/>
    <n v="60"/>
    <s v="Hoja"/>
    <s v="Bosque Ripario"/>
    <m/>
    <x v="3"/>
    <m/>
    <n v="1"/>
    <m/>
    <m/>
    <s v="Ninguna"/>
    <m/>
    <m/>
    <m/>
    <m/>
    <m/>
    <m/>
    <m/>
    <m/>
    <m/>
    <m/>
    <m/>
    <m/>
    <m/>
    <m/>
    <m/>
    <m/>
    <m/>
  </r>
  <r>
    <x v="1"/>
    <x v="2"/>
    <x v="9"/>
    <s v="FCCAT1"/>
    <x v="0"/>
    <d v="2018-04-11T00:00:00"/>
    <d v="1899-12-30T21:16:00"/>
    <n v="-76.647041666666667"/>
    <n v="3.3489944444444451"/>
    <n v="2"/>
    <s v="Izquierdo"/>
    <s v="Hamilton Bermudez"/>
    <n v="2421"/>
    <s v=" "/>
    <b v="1"/>
    <n v="5"/>
    <n v="0.5"/>
    <n v="30"/>
    <s v="Hoja"/>
    <s v="Bosque Ripario"/>
    <m/>
    <x v="18"/>
    <m/>
    <n v="1"/>
    <m/>
    <m/>
    <s v="Ninguna"/>
    <m/>
    <m/>
    <m/>
    <m/>
    <m/>
    <m/>
    <m/>
    <m/>
    <m/>
    <m/>
    <m/>
    <m/>
    <m/>
    <m/>
    <m/>
    <m/>
    <m/>
  </r>
  <r>
    <x v="1"/>
    <x v="2"/>
    <x v="9"/>
    <s v="FCCAT1"/>
    <x v="0"/>
    <d v="2018-04-11T00:00:00"/>
    <d v="1899-12-30T21:30:00"/>
    <n v="-76.647072222222235"/>
    <n v="3.3487638888888891"/>
    <n v="2"/>
    <s v="Derecho"/>
    <s v="Hamilton Bermudez"/>
    <n v="2418"/>
    <s v=" "/>
    <b v="1"/>
    <n v="8"/>
    <n v="0.5"/>
    <n v="20"/>
    <s v="Hoja"/>
    <s v="Bosque Ripario"/>
    <m/>
    <x v="3"/>
    <m/>
    <n v="1"/>
    <m/>
    <m/>
    <s v="Ninguna"/>
    <m/>
    <m/>
    <m/>
    <m/>
    <m/>
    <m/>
    <m/>
    <m/>
    <m/>
    <m/>
    <m/>
    <m/>
    <m/>
    <m/>
    <m/>
    <m/>
    <m/>
  </r>
  <r>
    <x v="1"/>
    <x v="2"/>
    <x v="9"/>
    <s v="FCCBT4"/>
    <x v="3"/>
    <d v="2018-04-11T00:00:00"/>
    <d v="1899-12-30T23:28:00"/>
    <n v="-76.644461111111113"/>
    <n v="3.3496972222222219"/>
    <n v="2"/>
    <s v="Izquierdo"/>
    <s v="Gustavo Rodriguez"/>
    <n v="2478"/>
    <b v="1"/>
    <s v=" "/>
    <n v="10"/>
    <m/>
    <n v="10"/>
    <s v="Hoja"/>
    <s v="Bosque Secundario"/>
    <m/>
    <x v="3"/>
    <m/>
    <n v="1"/>
    <m/>
    <m/>
    <s v="Ninguna"/>
    <m/>
    <m/>
    <m/>
    <m/>
    <m/>
    <m/>
    <m/>
    <m/>
    <m/>
    <m/>
    <m/>
    <m/>
    <m/>
    <m/>
    <m/>
    <m/>
    <m/>
  </r>
  <r>
    <x v="1"/>
    <x v="2"/>
    <x v="8"/>
    <s v="FCCBT5"/>
    <x v="0"/>
    <d v="2018-04-11T00:00:00"/>
    <d v="1899-12-30T23:35:00"/>
    <n v="-76.644380555555557"/>
    <n v="3.3495472222222218"/>
    <n v="2"/>
    <s v="Izquierdo"/>
    <s v="Hamilton Bermudez"/>
    <n v="2470"/>
    <b v="1"/>
    <s v=" "/>
    <n v="20"/>
    <m/>
    <n v="20"/>
    <s v="Hoja"/>
    <s v="Bosque Secundario"/>
    <m/>
    <x v="8"/>
    <m/>
    <n v="1"/>
    <m/>
    <m/>
    <s v="Ninguna"/>
    <m/>
    <m/>
    <m/>
    <m/>
    <m/>
    <m/>
    <m/>
    <m/>
    <m/>
    <m/>
    <m/>
    <m/>
    <m/>
    <m/>
    <m/>
    <m/>
    <m/>
  </r>
  <r>
    <x v="1"/>
    <x v="2"/>
    <x v="8"/>
    <s v="FCCBT5"/>
    <x v="0"/>
    <d v="2018-04-11T00:00:00"/>
    <d v="1899-12-30T23:35:00"/>
    <n v="-76.644380555555557"/>
    <n v="3.3495472222222218"/>
    <n v="2"/>
    <s v="Izquierdo"/>
    <s v="Hamilton Bermudez"/>
    <n v="2470"/>
    <b v="1"/>
    <s v=" "/>
    <n v="20"/>
    <m/>
    <n v="20"/>
    <s v="Suelo"/>
    <s v="Bosque Secundario"/>
    <m/>
    <x v="0"/>
    <s v="Plastico"/>
    <n v="0"/>
    <m/>
    <m/>
    <s v="Ninguna"/>
    <m/>
    <m/>
    <m/>
    <m/>
    <m/>
    <m/>
    <m/>
    <m/>
    <m/>
    <m/>
    <m/>
    <m/>
    <m/>
    <m/>
    <m/>
    <m/>
    <m/>
  </r>
  <r>
    <x v="1"/>
    <x v="2"/>
    <x v="8"/>
    <s v="FCCBT5"/>
    <x v="0"/>
    <d v="2018-04-11T00:00:00"/>
    <d v="1899-12-30T00:17:00"/>
    <n v="-76.643636111111121"/>
    <n v="3.3495416666666671"/>
    <n v="2"/>
    <s v="Izquierdo"/>
    <s v="Gustavo Rodriguez"/>
    <n v="2477"/>
    <b v="1"/>
    <s v=" "/>
    <n v="30"/>
    <m/>
    <n v="45"/>
    <s v="Hoja"/>
    <s v="Bosque Secundario"/>
    <m/>
    <x v="3"/>
    <m/>
    <n v="1"/>
    <m/>
    <m/>
    <s v="Ninguna"/>
    <m/>
    <m/>
    <m/>
    <m/>
    <m/>
    <m/>
    <m/>
    <m/>
    <m/>
    <m/>
    <m/>
    <m/>
    <m/>
    <m/>
    <m/>
    <m/>
    <m/>
  </r>
  <r>
    <x v="1"/>
    <x v="2"/>
    <x v="8"/>
    <s v="FCCBT6"/>
    <x v="1"/>
    <d v="2018-04-11T00:00:00"/>
    <d v="1899-12-30T00:39:00"/>
    <n v="-76.643141666666679"/>
    <n v="3.3494555555555561"/>
    <n v="2"/>
    <s v="Izquierdo"/>
    <s v="Roger Franco"/>
    <n v="2461"/>
    <b v="1"/>
    <s v=" "/>
    <n v="15"/>
    <m/>
    <n v="20"/>
    <s v="Hoja"/>
    <s v="Bosque Secundario"/>
    <m/>
    <x v="3"/>
    <m/>
    <n v="1"/>
    <m/>
    <m/>
    <s v="Ninguna"/>
    <m/>
    <m/>
    <m/>
    <m/>
    <m/>
    <m/>
    <m/>
    <m/>
    <m/>
    <m/>
    <m/>
    <m/>
    <m/>
    <m/>
    <m/>
    <m/>
    <m/>
  </r>
  <r>
    <x v="1"/>
    <x v="2"/>
    <x v="11"/>
    <s v="FCCDT14"/>
    <x v="3"/>
    <d v="2018-04-12T00:00:00"/>
    <d v="1899-12-30T19:09:00"/>
    <n v="-76.652638888888902"/>
    <n v="3.3538000000000001"/>
    <n v="2"/>
    <s v="Derecho"/>
    <s v="Hamilton Bermudez"/>
    <n v="2568"/>
    <b v="1"/>
    <s v=" "/>
    <n v="20"/>
    <m/>
    <n v="70"/>
    <s v="Hoja"/>
    <s v="Bosque Secundario"/>
    <m/>
    <x v="3"/>
    <m/>
    <n v="1"/>
    <m/>
    <m/>
    <s v="Ninguna"/>
    <m/>
    <m/>
    <m/>
    <m/>
    <m/>
    <m/>
    <m/>
    <m/>
    <m/>
    <m/>
    <m/>
    <m/>
    <m/>
    <m/>
    <m/>
    <m/>
    <m/>
  </r>
  <r>
    <x v="1"/>
    <x v="2"/>
    <x v="11"/>
    <s v="FCCDT15"/>
    <x v="4"/>
    <d v="2018-04-12T00:00:00"/>
    <d v="1899-12-30T19:15:00"/>
    <n v="-76.65303333333334"/>
    <n v="3.3534277777777781"/>
    <n v="2"/>
    <s v="Izquierdo"/>
    <s v="Roger Franco"/>
    <n v="2573"/>
    <b v="1"/>
    <s v=" "/>
    <n v="20"/>
    <m/>
    <n v="70"/>
    <s v="Hoja"/>
    <s v="Bosque Secundario"/>
    <m/>
    <x v="3"/>
    <m/>
    <n v="1"/>
    <m/>
    <m/>
    <s v="Ninguna"/>
    <m/>
    <m/>
    <m/>
    <m/>
    <m/>
    <m/>
    <m/>
    <m/>
    <m/>
    <m/>
    <m/>
    <m/>
    <m/>
    <m/>
    <m/>
    <m/>
    <m/>
  </r>
  <r>
    <x v="1"/>
    <x v="2"/>
    <x v="11"/>
    <s v="FCCDT15"/>
    <x v="4"/>
    <d v="2018-04-12T00:00:00"/>
    <d v="1899-12-30T19:15:00"/>
    <n v="-76.65303333333334"/>
    <n v="3.3534277777777781"/>
    <n v="2"/>
    <s v="Izquierdo"/>
    <s v="Roger Franco"/>
    <n v="2573"/>
    <b v="1"/>
    <s v=" "/>
    <n v="20"/>
    <m/>
    <n v="70"/>
    <s v="Hoja"/>
    <s v="Bosque Secundario"/>
    <m/>
    <x v="3"/>
    <m/>
    <n v="1"/>
    <m/>
    <m/>
    <s v="Ninguna"/>
    <m/>
    <m/>
    <m/>
    <m/>
    <m/>
    <m/>
    <m/>
    <m/>
    <m/>
    <m/>
    <m/>
    <m/>
    <m/>
    <m/>
    <m/>
    <m/>
    <m/>
  </r>
  <r>
    <x v="1"/>
    <x v="2"/>
    <x v="11"/>
    <s v="FCCDT15"/>
    <x v="4"/>
    <d v="2018-04-12T00:00:00"/>
    <d v="1899-12-30T19:15:00"/>
    <n v="-76.65303333333334"/>
    <n v="3.3534277777777781"/>
    <n v="2"/>
    <s v="Izquierdo"/>
    <s v="Roger Franco"/>
    <n v="2573"/>
    <b v="1"/>
    <s v=" "/>
    <n v="20"/>
    <m/>
    <n v="70"/>
    <s v="Hoja"/>
    <s v="Bosque Secundario"/>
    <m/>
    <x v="8"/>
    <m/>
    <n v="1"/>
    <m/>
    <m/>
    <s v="Ninguna"/>
    <m/>
    <m/>
    <m/>
    <m/>
    <m/>
    <m/>
    <m/>
    <m/>
    <m/>
    <m/>
    <m/>
    <m/>
    <m/>
    <m/>
    <m/>
    <m/>
    <m/>
  </r>
  <r>
    <x v="1"/>
    <x v="2"/>
    <x v="11"/>
    <s v="FCCDT15"/>
    <x v="4"/>
    <d v="2018-04-12T00:00:00"/>
    <d v="1899-12-30T19:50:00"/>
    <n v="-76.653113888888896"/>
    <n v="3.353330555555555"/>
    <n v="2"/>
    <s v="Izquierdo"/>
    <s v="Roger Franco"/>
    <n v="2564"/>
    <b v="1"/>
    <s v=" "/>
    <n v="15"/>
    <m/>
    <n v="80"/>
    <s v="Hoja"/>
    <s v="Bosque Secundario"/>
    <m/>
    <x v="18"/>
    <m/>
    <n v="1"/>
    <m/>
    <m/>
    <s v="Ninguna"/>
    <m/>
    <m/>
    <m/>
    <m/>
    <m/>
    <m/>
    <m/>
    <m/>
    <m/>
    <m/>
    <m/>
    <m/>
    <m/>
    <m/>
    <m/>
    <m/>
    <m/>
  </r>
  <r>
    <x v="1"/>
    <x v="2"/>
    <x v="11"/>
    <s v="FCCDT15"/>
    <x v="4"/>
    <d v="2018-04-12T00:00:00"/>
    <d v="1899-12-30T19:55:00"/>
    <n v="-76.653127777777783"/>
    <n v="3.3535555555555558"/>
    <n v="2"/>
    <s v="Derecho"/>
    <s v="Hamilton Bermudez"/>
    <n v="2569"/>
    <b v="1"/>
    <s v=" "/>
    <n v="10"/>
    <m/>
    <n v="40"/>
    <s v="Hoja"/>
    <s v="Bosque Secundario"/>
    <m/>
    <x v="3"/>
    <m/>
    <n v="1"/>
    <m/>
    <m/>
    <s v="Ninguna"/>
    <m/>
    <m/>
    <m/>
    <m/>
    <m/>
    <m/>
    <m/>
    <m/>
    <m/>
    <m/>
    <m/>
    <m/>
    <m/>
    <m/>
    <m/>
    <m/>
    <m/>
  </r>
  <r>
    <x v="1"/>
    <x v="2"/>
    <x v="11"/>
    <s v="FCCDT15"/>
    <x v="4"/>
    <d v="2018-04-12T00:00:00"/>
    <d v="1899-12-30T20:00:00"/>
    <n v="-76.653386111111118"/>
    <n v="3.3534388888888889"/>
    <n v="2"/>
    <s v="Derecho"/>
    <s v="Roger Franco"/>
    <n v="2601"/>
    <b v="1"/>
    <s v=" "/>
    <n v="10"/>
    <m/>
    <n v="30"/>
    <s v="Hoja"/>
    <s v="Bosque Secundario"/>
    <m/>
    <x v="18"/>
    <m/>
    <n v="1"/>
    <m/>
    <m/>
    <s v="Ninguna"/>
    <m/>
    <m/>
    <m/>
    <m/>
    <m/>
    <m/>
    <m/>
    <m/>
    <m/>
    <m/>
    <m/>
    <m/>
    <m/>
    <m/>
    <m/>
    <m/>
    <m/>
  </r>
  <r>
    <x v="1"/>
    <x v="2"/>
    <x v="10"/>
    <s v="FCCCT18"/>
    <x v="2"/>
    <d v="2018-04-12T00:00:00"/>
    <m/>
    <n v="-76.656450000000007"/>
    <n v="3.355547222222222"/>
    <n v="2"/>
    <m/>
    <s v="Gustavo Rodriguez"/>
    <n v="2660"/>
    <s v=" "/>
    <b v="1"/>
    <m/>
    <m/>
    <m/>
    <m/>
    <m/>
    <m/>
    <x v="0"/>
    <s v="Bolsa Plastica "/>
    <n v="0"/>
    <m/>
    <m/>
    <s v="Ninguna"/>
    <m/>
    <m/>
    <m/>
    <m/>
    <m/>
    <m/>
    <m/>
    <m/>
    <m/>
    <m/>
    <m/>
    <m/>
    <m/>
    <m/>
    <m/>
    <m/>
    <m/>
  </r>
  <r>
    <x v="1"/>
    <x v="2"/>
    <x v="10"/>
    <s v="FCCDT17"/>
    <x v="1"/>
    <d v="2018-04-12T00:00:00"/>
    <d v="1899-12-30T22:10:00"/>
    <n v="-76.656511111111115"/>
    <n v="3.355083333333333"/>
    <n v="2"/>
    <s v="Izquierdo"/>
    <s v="Hamilton Bermudez"/>
    <n v="2594"/>
    <s v=" "/>
    <b v="1"/>
    <n v="8"/>
    <n v="1"/>
    <n v="30"/>
    <s v="Hoja"/>
    <s v="Bosque Ripario"/>
    <m/>
    <x v="8"/>
    <m/>
    <n v="1"/>
    <m/>
    <m/>
    <s v="Ninguna"/>
    <m/>
    <m/>
    <m/>
    <m/>
    <m/>
    <m/>
    <m/>
    <m/>
    <m/>
    <m/>
    <m/>
    <m/>
    <m/>
    <m/>
    <m/>
    <m/>
    <m/>
  </r>
  <r>
    <x v="1"/>
    <x v="2"/>
    <x v="10"/>
    <s v="FCCDT17"/>
    <x v="1"/>
    <d v="2018-04-12T00:00:00"/>
    <d v="1899-12-30T22:32:00"/>
    <n v="-76.656494444444448"/>
    <n v="3.3549527777777781"/>
    <n v="2"/>
    <s v="Derecho"/>
    <s v="Hamilton Bermudez"/>
    <n v="2596"/>
    <b v="1"/>
    <s v=" "/>
    <n v="8"/>
    <m/>
    <n v="5"/>
    <s v="Hoja"/>
    <s v="Bosque Secundario"/>
    <m/>
    <x v="3"/>
    <m/>
    <n v="1"/>
    <m/>
    <m/>
    <s v="Ninguna"/>
    <m/>
    <m/>
    <m/>
    <m/>
    <m/>
    <m/>
    <m/>
    <m/>
    <m/>
    <m/>
    <m/>
    <m/>
    <m/>
    <m/>
    <m/>
    <m/>
    <m/>
  </r>
  <r>
    <x v="1"/>
    <x v="0"/>
    <x v="1"/>
    <s v="FCMCT13"/>
    <x v="0"/>
    <d v="2018-11-22T00:00:00"/>
    <d v="1899-12-30T20:00:00"/>
    <n v="-76.688611111111115"/>
    <n v="3.407972222222222"/>
    <n v="3"/>
    <s v="Izquierdo"/>
    <m/>
    <n v="3221"/>
    <b v="1"/>
    <s v=" "/>
    <m/>
    <m/>
    <m/>
    <m/>
    <s v="Arbustal"/>
    <m/>
    <x v="0"/>
    <m/>
    <n v="0"/>
    <m/>
    <m/>
    <s v="Ninguna"/>
    <m/>
    <m/>
    <m/>
    <m/>
    <m/>
    <m/>
    <m/>
    <m/>
    <m/>
    <m/>
    <m/>
    <m/>
    <m/>
    <m/>
    <m/>
    <m/>
    <m/>
  </r>
  <r>
    <x v="1"/>
    <x v="0"/>
    <x v="1"/>
    <s v="FCMCT13"/>
    <x v="0"/>
    <d v="2018-11-22T00:00:00"/>
    <d v="1899-12-30T20:00:00"/>
    <n v="-76.688611111111115"/>
    <n v="3.407972222222222"/>
    <n v="3"/>
    <s v="Derecho"/>
    <m/>
    <n v="3221"/>
    <b v="1"/>
    <s v=" "/>
    <m/>
    <m/>
    <m/>
    <m/>
    <s v="Arbustal"/>
    <m/>
    <x v="0"/>
    <m/>
    <n v="0"/>
    <m/>
    <m/>
    <s v="Ninguna"/>
    <m/>
    <m/>
    <m/>
    <m/>
    <m/>
    <m/>
    <m/>
    <m/>
    <m/>
    <m/>
    <m/>
    <m/>
    <m/>
    <m/>
    <m/>
    <m/>
    <m/>
  </r>
  <r>
    <x v="1"/>
    <x v="0"/>
    <x v="1"/>
    <s v="FCMCT14"/>
    <x v="1"/>
    <d v="2018-11-22T00:00:00"/>
    <d v="1899-12-30T20:00:00"/>
    <n v="-76.689638888888894"/>
    <n v="3.4073888888888888"/>
    <n v="3"/>
    <s v="Izquierdo"/>
    <m/>
    <n v="3226"/>
    <b v="1"/>
    <s v=" "/>
    <m/>
    <m/>
    <m/>
    <m/>
    <s v="Arbustal"/>
    <m/>
    <x v="0"/>
    <m/>
    <n v="0"/>
    <m/>
    <m/>
    <s v="Ninguna"/>
    <m/>
    <m/>
    <m/>
    <m/>
    <m/>
    <m/>
    <m/>
    <m/>
    <m/>
    <m/>
    <m/>
    <m/>
    <m/>
    <m/>
    <m/>
    <m/>
    <m/>
  </r>
  <r>
    <x v="1"/>
    <x v="0"/>
    <x v="1"/>
    <s v="FCMCT14"/>
    <x v="1"/>
    <d v="2018-11-22T00:00:00"/>
    <d v="1899-12-30T20:00:00"/>
    <n v="-76.689638888888894"/>
    <n v="3.4073888888888888"/>
    <n v="3"/>
    <s v="Derecho"/>
    <m/>
    <n v="3226"/>
    <b v="1"/>
    <s v=" "/>
    <m/>
    <m/>
    <m/>
    <m/>
    <s v="Arbustal"/>
    <m/>
    <x v="0"/>
    <m/>
    <n v="0"/>
    <m/>
    <m/>
    <s v="Ninguna"/>
    <m/>
    <m/>
    <m/>
    <m/>
    <m/>
    <m/>
    <m/>
    <m/>
    <m/>
    <m/>
    <m/>
    <m/>
    <m/>
    <m/>
    <m/>
    <m/>
    <m/>
  </r>
  <r>
    <x v="1"/>
    <x v="0"/>
    <x v="1"/>
    <s v="FCMCT16"/>
    <x v="3"/>
    <d v="2018-11-22T00:00:00"/>
    <d v="1899-12-30T20:49:00"/>
    <n v="-76.69061111111111"/>
    <n v="3.406416666666666"/>
    <n v="3"/>
    <s v="Izquierdo"/>
    <s v="Guillermo Guerrero"/>
    <n v="3223"/>
    <b v="1"/>
    <s v=" "/>
    <n v="2"/>
    <m/>
    <n v="10"/>
    <m/>
    <s v="Arbustal"/>
    <m/>
    <x v="8"/>
    <m/>
    <n v="1"/>
    <m/>
    <m/>
    <s v="Ninguna"/>
    <m/>
    <m/>
    <m/>
    <m/>
    <m/>
    <m/>
    <m/>
    <m/>
    <m/>
    <m/>
    <m/>
    <m/>
    <m/>
    <m/>
    <m/>
    <m/>
    <m/>
  </r>
  <r>
    <x v="1"/>
    <x v="0"/>
    <x v="1"/>
    <s v="FCMCT16"/>
    <x v="3"/>
    <d v="2018-11-22T00:00:00"/>
    <m/>
    <n v="-76.69061111111111"/>
    <n v="3.406416666666666"/>
    <n v="3"/>
    <s v="Derecho"/>
    <s v="Roger Franco"/>
    <n v="3223"/>
    <b v="1"/>
    <s v=" "/>
    <n v="2"/>
    <m/>
    <n v="10"/>
    <m/>
    <s v="Arbustal"/>
    <m/>
    <x v="2"/>
    <m/>
    <n v="1"/>
    <m/>
    <m/>
    <s v="Ninguna"/>
    <m/>
    <m/>
    <m/>
    <m/>
    <m/>
    <m/>
    <m/>
    <m/>
    <m/>
    <m/>
    <m/>
    <m/>
    <m/>
    <m/>
    <m/>
    <m/>
    <m/>
  </r>
  <r>
    <x v="1"/>
    <x v="0"/>
    <x v="1"/>
    <s v="FCMCT16"/>
    <x v="3"/>
    <d v="2018-11-22T00:00:00"/>
    <d v="1899-12-30T21:10:00"/>
    <n v="-76.690694444444446"/>
    <n v="3.406305555555555"/>
    <n v="3"/>
    <s v="Izquierdo"/>
    <s v="Carolina Burbano"/>
    <n v="3223"/>
    <b v="1"/>
    <s v=" "/>
    <n v="2"/>
    <m/>
    <n v="5"/>
    <m/>
    <s v="Arbustal"/>
    <s v="hembra"/>
    <x v="2"/>
    <m/>
    <n v="1"/>
    <m/>
    <m/>
    <s v="Ninguna"/>
    <m/>
    <m/>
    <m/>
    <m/>
    <m/>
    <m/>
    <m/>
    <m/>
    <m/>
    <m/>
    <m/>
    <m/>
    <m/>
    <m/>
    <m/>
    <m/>
    <m/>
  </r>
  <r>
    <x v="1"/>
    <x v="0"/>
    <x v="1"/>
    <s v="FCMCT16"/>
    <x v="3"/>
    <d v="2018-11-22T00:00:00"/>
    <d v="1899-12-30T21:16:00"/>
    <n v="-76.69072222222222"/>
    <n v="3.40625"/>
    <n v="3"/>
    <s v="Izquierdo"/>
    <s v="Carolina Burbano"/>
    <n v="3223"/>
    <b v="1"/>
    <s v=" "/>
    <n v="2"/>
    <m/>
    <n v="5"/>
    <m/>
    <s v="Arbustal"/>
    <m/>
    <x v="2"/>
    <m/>
    <n v="1"/>
    <m/>
    <m/>
    <s v="Ninguna"/>
    <m/>
    <m/>
    <m/>
    <m/>
    <m/>
    <m/>
    <m/>
    <m/>
    <m/>
    <m/>
    <m/>
    <m/>
    <m/>
    <m/>
    <m/>
    <m/>
    <m/>
  </r>
  <r>
    <x v="1"/>
    <x v="0"/>
    <x v="4"/>
    <s v="FCMAT8"/>
    <x v="5"/>
    <d v="2018-11-23T00:00:00"/>
    <d v="1899-12-30T19:18:00"/>
    <n v="-76.687333333333342"/>
    <n v="3.386138888888889"/>
    <n v="3"/>
    <m/>
    <s v="Carolina Burbano"/>
    <n v="3409"/>
    <b v="1"/>
    <s v=" "/>
    <n v="1"/>
    <m/>
    <m/>
    <s v="Bromelia"/>
    <s v="Arbustal"/>
    <m/>
    <x v="16"/>
    <m/>
    <n v="1"/>
    <m/>
    <m/>
    <s v="Ninguna"/>
    <m/>
    <m/>
    <m/>
    <m/>
    <m/>
    <m/>
    <m/>
    <m/>
    <m/>
    <m/>
    <m/>
    <m/>
    <m/>
    <m/>
    <m/>
    <m/>
    <m/>
  </r>
  <r>
    <x v="1"/>
    <x v="0"/>
    <x v="4"/>
    <s v="FCMAT8"/>
    <x v="5"/>
    <d v="2018-11-23T00:00:00"/>
    <d v="1899-12-30T19:30:00"/>
    <n v="-76.687416666666664"/>
    <n v="3.386166666666667"/>
    <n v="3"/>
    <m/>
    <s v="Hamilton Bermudez"/>
    <n v="3409"/>
    <b v="1"/>
    <s v=" "/>
    <n v="1"/>
    <m/>
    <m/>
    <s v="Puya"/>
    <s v="Arbustal"/>
    <m/>
    <x v="12"/>
    <m/>
    <n v="1"/>
    <m/>
    <m/>
    <s v="Ninguna"/>
    <m/>
    <m/>
    <m/>
    <m/>
    <m/>
    <m/>
    <m/>
    <m/>
    <m/>
    <m/>
    <m/>
    <m/>
    <m/>
    <m/>
    <m/>
    <m/>
    <m/>
  </r>
  <r>
    <x v="1"/>
    <x v="0"/>
    <x v="4"/>
    <s v="FCMAT8"/>
    <x v="5"/>
    <d v="2018-11-23T00:00:00"/>
    <d v="1899-12-30T19:44:00"/>
    <n v="-76.687472222222226"/>
    <n v="3.386194444444445"/>
    <n v="3"/>
    <m/>
    <s v="Hamilton Bermudez"/>
    <n v="3409"/>
    <b v="1"/>
    <s v=" "/>
    <n v="1"/>
    <m/>
    <m/>
    <m/>
    <s v="Arbustal"/>
    <m/>
    <x v="22"/>
    <m/>
    <n v="1"/>
    <m/>
    <m/>
    <s v="Ninguna"/>
    <m/>
    <m/>
    <m/>
    <m/>
    <m/>
    <m/>
    <m/>
    <m/>
    <m/>
    <m/>
    <m/>
    <m/>
    <m/>
    <m/>
    <m/>
    <m/>
    <m/>
  </r>
  <r>
    <x v="1"/>
    <x v="0"/>
    <x v="4"/>
    <s v="FCMAT7"/>
    <x v="6"/>
    <d v="2018-11-23T00:00:00"/>
    <d v="1899-12-30T19:53:00"/>
    <n v="-76.687527777777788"/>
    <n v="3.38625"/>
    <n v="3"/>
    <m/>
    <s v="Hamilton Bermudez"/>
    <n v="3109"/>
    <b v="1"/>
    <s v=" "/>
    <n v="1"/>
    <m/>
    <m/>
    <m/>
    <s v="Arbustal"/>
    <m/>
    <x v="22"/>
    <m/>
    <n v="1"/>
    <m/>
    <m/>
    <s v="Ninguna"/>
    <m/>
    <m/>
    <m/>
    <m/>
    <m/>
    <m/>
    <m/>
    <m/>
    <m/>
    <m/>
    <m/>
    <m/>
    <m/>
    <m/>
    <m/>
    <m/>
    <m/>
  </r>
  <r>
    <x v="1"/>
    <x v="0"/>
    <x v="4"/>
    <s v="FCMAT3"/>
    <x v="2"/>
    <d v="2018-11-23T00:00:00"/>
    <d v="1899-12-30T20:12:00"/>
    <n v="-76.68772222222222"/>
    <n v="3.3853333333333331"/>
    <n v="3"/>
    <m/>
    <s v="Hamilton Bermudez"/>
    <n v="3402"/>
    <b v="1"/>
    <s v=" "/>
    <n v="1"/>
    <m/>
    <m/>
    <m/>
    <s v="Arbustal"/>
    <m/>
    <x v="16"/>
    <m/>
    <n v="1"/>
    <m/>
    <m/>
    <s v="Ninguna"/>
    <m/>
    <m/>
    <m/>
    <m/>
    <m/>
    <m/>
    <m/>
    <m/>
    <m/>
    <m/>
    <m/>
    <m/>
    <m/>
    <m/>
    <m/>
    <m/>
    <m/>
  </r>
  <r>
    <x v="1"/>
    <x v="0"/>
    <x v="2"/>
    <s v="FCMDT17"/>
    <x v="0"/>
    <d v="2018-11-24T00:00:00"/>
    <d v="1899-12-30T20:12:00"/>
    <n v="-76.680500000000009"/>
    <n v="3.4011666666666671"/>
    <n v="3"/>
    <s v="Izquierdo"/>
    <s v="Carolina Burbano"/>
    <n v="2904"/>
    <b v="1"/>
    <s v=" "/>
    <n v="20"/>
    <m/>
    <n v="15"/>
    <m/>
    <s v="Bosque Ripario"/>
    <m/>
    <x v="12"/>
    <m/>
    <n v="1"/>
    <m/>
    <m/>
    <s v="Ninguna"/>
    <m/>
    <m/>
    <m/>
    <m/>
    <m/>
    <m/>
    <m/>
    <m/>
    <m/>
    <m/>
    <m/>
    <m/>
    <m/>
    <m/>
    <m/>
    <m/>
    <m/>
  </r>
  <r>
    <x v="1"/>
    <x v="0"/>
    <x v="2"/>
    <s v="FCMDT17"/>
    <x v="0"/>
    <d v="2018-11-24T00:00:00"/>
    <d v="1899-12-30T20:12:00"/>
    <n v="-76.680527777777783"/>
    <n v="3.4011666666666671"/>
    <n v="3"/>
    <s v="Izquierdo"/>
    <s v="Carolina Burbano"/>
    <n v="2901"/>
    <b v="1"/>
    <s v=" "/>
    <n v="20"/>
    <m/>
    <n v="30"/>
    <m/>
    <s v="Bosque Ripario"/>
    <m/>
    <x v="9"/>
    <m/>
    <n v="1"/>
    <m/>
    <m/>
    <s v="Ninguna"/>
    <m/>
    <m/>
    <m/>
    <m/>
    <m/>
    <m/>
    <m/>
    <m/>
    <m/>
    <m/>
    <m/>
    <m/>
    <m/>
    <m/>
    <m/>
    <m/>
    <m/>
  </r>
  <r>
    <x v="1"/>
    <x v="0"/>
    <x v="2"/>
    <s v="FCMDT17"/>
    <x v="0"/>
    <d v="2018-11-24T00:00:00"/>
    <d v="1899-12-30T20:25:00"/>
    <n v="-76.680361111111111"/>
    <n v="3.4010833333333328"/>
    <n v="3"/>
    <s v="Izquierdo"/>
    <s v="Geovanny Marin"/>
    <n v="2899"/>
    <b v="1"/>
    <s v=" "/>
    <n v="20"/>
    <m/>
    <n v="30"/>
    <m/>
    <s v="Bosque Ripario"/>
    <m/>
    <x v="11"/>
    <m/>
    <n v="1"/>
    <m/>
    <m/>
    <s v="Ninguna"/>
    <m/>
    <m/>
    <m/>
    <m/>
    <m/>
    <m/>
    <m/>
    <m/>
    <m/>
    <m/>
    <m/>
    <m/>
    <m/>
    <m/>
    <m/>
    <m/>
    <m/>
  </r>
  <r>
    <x v="1"/>
    <x v="0"/>
    <x v="3"/>
    <s v="FCMDT20"/>
    <x v="0"/>
    <d v="2018-11-24T00:00:00"/>
    <d v="1899-12-30T19:35:00"/>
    <n v="-76.679111111111112"/>
    <n v="3.402333333333333"/>
    <n v="3"/>
    <s v="Derecho"/>
    <s v="Guillermo Guerrero"/>
    <n v="2911"/>
    <b v="1"/>
    <s v=" "/>
    <n v="20"/>
    <m/>
    <n v="30"/>
    <m/>
    <s v="Bosque Ripario"/>
    <m/>
    <x v="23"/>
    <m/>
    <n v="1"/>
    <m/>
    <m/>
    <s v="Ninguna"/>
    <m/>
    <m/>
    <m/>
    <m/>
    <m/>
    <m/>
    <m/>
    <m/>
    <m/>
    <m/>
    <m/>
    <m/>
    <m/>
    <m/>
    <m/>
    <m/>
    <m/>
  </r>
  <r>
    <x v="1"/>
    <x v="0"/>
    <x v="2"/>
    <s v="FCMDT18"/>
    <x v="1"/>
    <d v="2018-11-24T00:00:00"/>
    <d v="1899-12-30T21:31:00"/>
    <n v="-76.679583333333341"/>
    <n v="3.400694444444444"/>
    <n v="3"/>
    <s v="Izquierdo"/>
    <s v="Carolina Burbano"/>
    <n v="2880"/>
    <b v="1"/>
    <s v=" "/>
    <n v="20"/>
    <m/>
    <n v="20"/>
    <m/>
    <s v="Bosque Ripario"/>
    <m/>
    <x v="24"/>
    <m/>
    <n v="1"/>
    <m/>
    <m/>
    <s v="Ninguna"/>
    <m/>
    <m/>
    <m/>
    <m/>
    <m/>
    <m/>
    <m/>
    <m/>
    <m/>
    <m/>
    <m/>
    <m/>
    <m/>
    <m/>
    <m/>
    <m/>
    <m/>
  </r>
  <r>
    <x v="1"/>
    <x v="0"/>
    <x v="2"/>
    <s v="FCMDT18"/>
    <x v="1"/>
    <d v="2018-11-24T00:00:00"/>
    <d v="1899-12-30T20:48:00"/>
    <n v="-76.680027777777781"/>
    <n v="3.400722222222222"/>
    <n v="3"/>
    <s v="Derecho"/>
    <s v="Hamilton Bermudez"/>
    <n v="2890"/>
    <b v="1"/>
    <s v=" "/>
    <n v="20"/>
    <m/>
    <n v="10"/>
    <m/>
    <s v="Bosque Ripario"/>
    <m/>
    <x v="9"/>
    <m/>
    <n v="1"/>
    <m/>
    <m/>
    <s v="Ninguna"/>
    <m/>
    <m/>
    <m/>
    <m/>
    <m/>
    <m/>
    <m/>
    <m/>
    <m/>
    <m/>
    <m/>
    <m/>
    <m/>
    <m/>
    <m/>
    <m/>
    <m/>
  </r>
  <r>
    <x v="1"/>
    <x v="0"/>
    <x v="2"/>
    <s v="FCMDT17"/>
    <x v="0"/>
    <d v="2018-11-24T00:00:00"/>
    <d v="1899-12-30T21:04:00"/>
    <n v="-76.680361111111111"/>
    <n v="3.4009444444444439"/>
    <n v="3"/>
    <s v="Derecho"/>
    <s v="Hamilton Bermudez"/>
    <n v="2888"/>
    <b v="1"/>
    <s v=" "/>
    <n v="15"/>
    <m/>
    <n v="30"/>
    <m/>
    <s v="Bosque Ripario"/>
    <m/>
    <x v="16"/>
    <m/>
    <n v="1"/>
    <m/>
    <m/>
    <s v="Ninguna"/>
    <m/>
    <m/>
    <m/>
    <m/>
    <m/>
    <m/>
    <m/>
    <m/>
    <m/>
    <m/>
    <m/>
    <m/>
    <m/>
    <m/>
    <m/>
    <m/>
    <m/>
  </r>
  <r>
    <x v="1"/>
    <x v="0"/>
    <x v="2"/>
    <s v="FCMDT19"/>
    <x v="2"/>
    <d v="2018-11-24T00:00:00"/>
    <d v="1899-12-30T22:12:00"/>
    <n v="-76.678777777777782"/>
    <n v="3.4008333333333329"/>
    <n v="3"/>
    <s v="Izquierdo"/>
    <s v="Carolina Burbano"/>
    <n v="2886"/>
    <b v="1"/>
    <s v=" "/>
    <n v="15"/>
    <m/>
    <n v="10"/>
    <m/>
    <s v="Bosque Ripario"/>
    <m/>
    <x v="25"/>
    <m/>
    <n v="1"/>
    <m/>
    <m/>
    <s v="Ninguna"/>
    <m/>
    <m/>
    <m/>
    <m/>
    <m/>
    <m/>
    <m/>
    <m/>
    <m/>
    <m/>
    <m/>
    <m/>
    <m/>
    <m/>
    <m/>
    <m/>
    <m/>
  </r>
  <r>
    <x v="1"/>
    <x v="0"/>
    <x v="2"/>
    <s v="FCMDT19"/>
    <x v="2"/>
    <d v="2018-11-24T00:00:00"/>
    <d v="1899-12-30T22:02:00"/>
    <n v="-76.679055555555564"/>
    <n v="3.4007499999999999"/>
    <n v="3"/>
    <s v="Derecho"/>
    <s v="Hamilton Bermudez"/>
    <n v="2883"/>
    <b v="1"/>
    <s v=" "/>
    <n v="15"/>
    <m/>
    <n v="10"/>
    <m/>
    <s v="Bosque Ripario"/>
    <m/>
    <x v="11"/>
    <m/>
    <n v="1"/>
    <m/>
    <m/>
    <s v="Ninguna"/>
    <m/>
    <m/>
    <m/>
    <m/>
    <m/>
    <m/>
    <m/>
    <m/>
    <m/>
    <m/>
    <m/>
    <m/>
    <m/>
    <m/>
    <m/>
    <m/>
    <m/>
  </r>
  <r>
    <x v="1"/>
    <x v="0"/>
    <x v="2"/>
    <s v="FCMDT19"/>
    <x v="2"/>
    <d v="2018-11-24T00:00:00"/>
    <d v="1899-12-30T22:20:00"/>
    <n v="-76.678638888888898"/>
    <n v="3.400694444444444"/>
    <n v="3"/>
    <s v="Derecho"/>
    <s v="Guillermo Guerrero"/>
    <n v="2886"/>
    <b v="1"/>
    <s v=" "/>
    <n v="15"/>
    <m/>
    <n v="10"/>
    <m/>
    <s v="Bosque Ripario"/>
    <m/>
    <x v="25"/>
    <m/>
    <n v="1"/>
    <m/>
    <m/>
    <s v="Ninguna"/>
    <m/>
    <m/>
    <m/>
    <m/>
    <m/>
    <m/>
    <m/>
    <m/>
    <m/>
    <m/>
    <m/>
    <m/>
    <m/>
    <m/>
    <m/>
    <m/>
    <m/>
  </r>
  <r>
    <x v="1"/>
    <x v="3"/>
    <x v="14"/>
    <s v="FCAAT12"/>
    <x v="1"/>
    <d v="2018-12-04T00:00:00"/>
    <d v="1899-12-30T23:31:00"/>
    <n v="-76.882583333333329"/>
    <n v="3.5523055555555549"/>
    <n v="3"/>
    <s v="Izquierdo"/>
    <s v="Hamilton Bermudez"/>
    <n v="532"/>
    <b v="1"/>
    <s v=" "/>
    <n v="3"/>
    <m/>
    <n v="5"/>
    <m/>
    <s v="Bosque Ripario"/>
    <m/>
    <x v="20"/>
    <m/>
    <n v="1"/>
    <m/>
    <m/>
    <s v="Ninguna"/>
    <m/>
    <m/>
    <m/>
    <m/>
    <m/>
    <m/>
    <m/>
    <m/>
    <m/>
    <m/>
    <m/>
    <m/>
    <m/>
    <m/>
    <m/>
    <m/>
    <m/>
  </r>
  <r>
    <x v="1"/>
    <x v="3"/>
    <x v="14"/>
    <s v="FCAAT12"/>
    <x v="1"/>
    <d v="2018-12-04T00:00:00"/>
    <d v="1899-12-30T23:31:00"/>
    <n v="-76.882583333333329"/>
    <n v="3.5523055555555549"/>
    <n v="3"/>
    <s v="Izquierdo"/>
    <s v="Hamilton Bermudez"/>
    <n v="533"/>
    <b v="1"/>
    <s v=" "/>
    <n v="3"/>
    <m/>
    <n v="5"/>
    <m/>
    <s v="Bosque Ripario"/>
    <m/>
    <x v="20"/>
    <m/>
    <n v="1"/>
    <m/>
    <m/>
    <s v="Ninguna"/>
    <m/>
    <m/>
    <m/>
    <m/>
    <m/>
    <m/>
    <m/>
    <m/>
    <m/>
    <m/>
    <m/>
    <m/>
    <m/>
    <m/>
    <m/>
    <m/>
    <m/>
  </r>
  <r>
    <x v="1"/>
    <x v="3"/>
    <x v="14"/>
    <s v="FCAAT12"/>
    <x v="1"/>
    <d v="2018-12-04T00:00:00"/>
    <d v="1899-12-30T23:31:00"/>
    <n v="-76.882583333333329"/>
    <n v="3.5523055555555549"/>
    <n v="3"/>
    <s v="Izquierdo"/>
    <s v="Hamilton Bermudez"/>
    <n v="534"/>
    <b v="1"/>
    <s v=" "/>
    <n v="3"/>
    <m/>
    <n v="5"/>
    <m/>
    <s v="Bosque Ripario"/>
    <m/>
    <x v="20"/>
    <m/>
    <n v="1"/>
    <m/>
    <m/>
    <s v="Ninguna"/>
    <m/>
    <m/>
    <m/>
    <m/>
    <m/>
    <m/>
    <m/>
    <m/>
    <m/>
    <m/>
    <m/>
    <m/>
    <m/>
    <m/>
    <m/>
    <m/>
    <m/>
  </r>
  <r>
    <x v="1"/>
    <x v="3"/>
    <x v="14"/>
    <s v="FCAAT12"/>
    <x v="1"/>
    <d v="2018-12-04T00:00:00"/>
    <d v="1899-12-30T23:31:00"/>
    <n v="-76.882583333333329"/>
    <n v="3.5523055555555549"/>
    <n v="3"/>
    <s v="Izquierdo"/>
    <s v="Hamilton Bermudez"/>
    <n v="535"/>
    <b v="1"/>
    <s v=" "/>
    <n v="3"/>
    <m/>
    <n v="5"/>
    <m/>
    <s v="Bosque Ripario"/>
    <m/>
    <x v="20"/>
    <m/>
    <n v="1"/>
    <m/>
    <m/>
    <s v="Ninguna"/>
    <m/>
    <m/>
    <m/>
    <m/>
    <m/>
    <m/>
    <m/>
    <m/>
    <m/>
    <m/>
    <m/>
    <m/>
    <m/>
    <m/>
    <m/>
    <m/>
    <m/>
  </r>
  <r>
    <x v="1"/>
    <x v="3"/>
    <x v="14"/>
    <s v="FCAAT14"/>
    <x v="3"/>
    <d v="2018-12-04T00:00:00"/>
    <d v="1899-12-30T22:47:00"/>
    <n v="-76.882611111111103"/>
    <n v="3.5524444444444438"/>
    <n v="3"/>
    <s v="Izquierdo"/>
    <s v="Hamilton Bermudez"/>
    <n v="516"/>
    <b v="1"/>
    <s v=" "/>
    <n v="20"/>
    <m/>
    <n v="10"/>
    <m/>
    <s v="Bosque Ripario"/>
    <m/>
    <x v="26"/>
    <m/>
    <n v="1"/>
    <m/>
    <m/>
    <s v="Ninguna"/>
    <m/>
    <m/>
    <m/>
    <m/>
    <m/>
    <m/>
    <m/>
    <m/>
    <m/>
    <m/>
    <m/>
    <m/>
    <m/>
    <m/>
    <m/>
    <m/>
    <m/>
  </r>
  <r>
    <x v="1"/>
    <x v="3"/>
    <x v="14"/>
    <s v="FCAAT14"/>
    <x v="3"/>
    <d v="2018-12-04T00:00:00"/>
    <d v="1899-12-30T22:47:00"/>
    <n v="-76.882611111111103"/>
    <n v="3.5524444444444438"/>
    <n v="3"/>
    <s v="Izquierdo"/>
    <s v="Hamilton Bermudez"/>
    <n v="516"/>
    <b v="1"/>
    <s v=" "/>
    <n v="20"/>
    <m/>
    <n v="10"/>
    <m/>
    <s v="Bosque Ripario"/>
    <m/>
    <x v="26"/>
    <m/>
    <n v="1"/>
    <m/>
    <m/>
    <s v="Ninguna"/>
    <m/>
    <m/>
    <m/>
    <m/>
    <m/>
    <m/>
    <m/>
    <m/>
    <m/>
    <m/>
    <m/>
    <m/>
    <m/>
    <m/>
    <m/>
    <m/>
    <m/>
  </r>
  <r>
    <x v="1"/>
    <x v="3"/>
    <x v="14"/>
    <s v="FCAAT14"/>
    <x v="3"/>
    <d v="2018-12-04T00:00:00"/>
    <d v="1899-12-30T22:47:00"/>
    <n v="-76.882611111111103"/>
    <n v="3.5524444444444438"/>
    <n v="3"/>
    <s v="Izquierdo"/>
    <s v="Guillermo Guerrero"/>
    <n v="516"/>
    <b v="1"/>
    <s v=" "/>
    <n v="20"/>
    <m/>
    <n v="10"/>
    <m/>
    <s v="Bosque Ripario"/>
    <m/>
    <x v="26"/>
    <m/>
    <n v="1"/>
    <m/>
    <m/>
    <s v="Ninguna"/>
    <m/>
    <m/>
    <m/>
    <m/>
    <m/>
    <m/>
    <m/>
    <m/>
    <m/>
    <m/>
    <m/>
    <m/>
    <m/>
    <m/>
    <m/>
    <m/>
    <m/>
  </r>
  <r>
    <x v="1"/>
    <x v="3"/>
    <x v="14"/>
    <s v="FCAAT14"/>
    <x v="3"/>
    <d v="2018-12-04T00:00:00"/>
    <d v="1899-12-30T22:47:00"/>
    <n v="-76.882611111111103"/>
    <n v="3.5524444444444438"/>
    <n v="3"/>
    <s v="Izquierdo"/>
    <s v="Guillermo Guerrero"/>
    <n v="516"/>
    <b v="1"/>
    <s v=" "/>
    <n v="20"/>
    <m/>
    <n v="10"/>
    <m/>
    <s v="Bosque Ripario"/>
    <m/>
    <x v="27"/>
    <m/>
    <n v="1"/>
    <m/>
    <m/>
    <s v="Ninguna"/>
    <m/>
    <m/>
    <m/>
    <m/>
    <m/>
    <m/>
    <m/>
    <m/>
    <m/>
    <m/>
    <m/>
    <m/>
    <m/>
    <m/>
    <m/>
    <m/>
    <m/>
  </r>
  <r>
    <x v="1"/>
    <x v="3"/>
    <x v="14"/>
    <s v="FCAAT11"/>
    <x v="0"/>
    <d v="2018-12-04T00:00:00"/>
    <d v="1899-12-30T22:09:00"/>
    <n v="-76.881583333333325"/>
    <n v="3.5526944444444442"/>
    <n v="3"/>
    <s v="Derecho"/>
    <s v="Carolina Burbano"/>
    <n v="511"/>
    <b v="1"/>
    <s v=" "/>
    <n v="6"/>
    <m/>
    <n v="10"/>
    <m/>
    <s v="Bosque Ripario"/>
    <m/>
    <x v="21"/>
    <m/>
    <n v="1"/>
    <m/>
    <m/>
    <s v="Ninguna"/>
    <m/>
    <m/>
    <m/>
    <m/>
    <m/>
    <m/>
    <m/>
    <m/>
    <m/>
    <m/>
    <m/>
    <m/>
    <m/>
    <m/>
    <m/>
    <m/>
    <m/>
  </r>
  <r>
    <x v="1"/>
    <x v="3"/>
    <x v="14"/>
    <s v="FCAAT12"/>
    <x v="1"/>
    <d v="2018-12-04T00:00:00"/>
    <d v="1899-12-30T22:22:00"/>
    <n v="-76.881999999999991"/>
    <n v="3.5524444444444438"/>
    <n v="3"/>
    <s v="Derecho"/>
    <s v="Carolina Burbano"/>
    <n v="515"/>
    <b v="1"/>
    <s v=" "/>
    <n v="10"/>
    <m/>
    <n v="5"/>
    <m/>
    <s v="Bosque Ripario"/>
    <m/>
    <x v="21"/>
    <m/>
    <n v="1"/>
    <m/>
    <m/>
    <s v="Ninguna"/>
    <m/>
    <m/>
    <m/>
    <m/>
    <m/>
    <m/>
    <m/>
    <m/>
    <m/>
    <m/>
    <m/>
    <m/>
    <m/>
    <m/>
    <m/>
    <m/>
    <m/>
  </r>
  <r>
    <x v="1"/>
    <x v="3"/>
    <x v="14"/>
    <s v="FCAAT14"/>
    <x v="3"/>
    <d v="2018-12-04T00:00:00"/>
    <d v="1899-12-30T22:47:00"/>
    <n v="-76.882611111111103"/>
    <n v="3.5524444444444438"/>
    <n v="3"/>
    <s v="Derecho"/>
    <s v="Carolina Burbano"/>
    <n v="516"/>
    <b v="1"/>
    <s v=" "/>
    <n v="20"/>
    <m/>
    <n v="10"/>
    <m/>
    <s v="Bosque Ripario"/>
    <m/>
    <x v="28"/>
    <m/>
    <n v="1"/>
    <m/>
    <m/>
    <s v="Ninguna"/>
    <m/>
    <m/>
    <m/>
    <m/>
    <m/>
    <m/>
    <m/>
    <m/>
    <m/>
    <m/>
    <m/>
    <m/>
    <m/>
    <m/>
    <m/>
    <m/>
    <m/>
  </r>
  <r>
    <x v="1"/>
    <x v="3"/>
    <x v="14"/>
    <s v="FCAAT11"/>
    <x v="0"/>
    <d v="2018-12-04T00:00:00"/>
    <d v="1899-12-30T21:40:00"/>
    <n v="-76.880694444444444"/>
    <n v="3.5526666666666671"/>
    <n v="3"/>
    <s v="Izquierdo"/>
    <s v="Carolina Burbano"/>
    <n v="503"/>
    <b v="1"/>
    <s v=" "/>
    <m/>
    <m/>
    <m/>
    <m/>
    <s v="Bosque Ripario"/>
    <m/>
    <x v="0"/>
    <s v="Plastico"/>
    <n v="0"/>
    <m/>
    <m/>
    <s v="Ninguna"/>
    <m/>
    <m/>
    <m/>
    <m/>
    <m/>
    <m/>
    <m/>
    <m/>
    <m/>
    <m/>
    <m/>
    <m/>
    <m/>
    <m/>
    <m/>
    <m/>
    <m/>
  </r>
  <r>
    <x v="1"/>
    <x v="3"/>
    <x v="14"/>
    <s v="FCAAT11"/>
    <x v="0"/>
    <d v="2018-12-04T00:00:00"/>
    <d v="1899-12-30T21:51:00"/>
    <n v="-76.880861111111102"/>
    <n v="3.5526666666666671"/>
    <n v="3"/>
    <s v="Derecho"/>
    <s v="Carolina Burbano"/>
    <n v="503"/>
    <b v="1"/>
    <s v=" "/>
    <n v="2"/>
    <m/>
    <n v="7"/>
    <s v="Hoja"/>
    <s v="Bosque Ripario"/>
    <m/>
    <x v="21"/>
    <m/>
    <n v="1"/>
    <m/>
    <m/>
    <s v="Ninguna"/>
    <m/>
    <m/>
    <m/>
    <m/>
    <m/>
    <m/>
    <m/>
    <m/>
    <m/>
    <m/>
    <m/>
    <m/>
    <m/>
    <m/>
    <m/>
    <m/>
    <m/>
  </r>
  <r>
    <x v="1"/>
    <x v="3"/>
    <x v="14"/>
    <s v="FCAAT11"/>
    <x v="0"/>
    <d v="2018-04-26T00:00:00"/>
    <d v="1899-12-30T20:15:00"/>
    <n v="-76.88047222222221"/>
    <n v="3.5526944444444442"/>
    <n v="2"/>
    <m/>
    <s v="Alvaro Fierro"/>
    <n v="586"/>
    <m/>
    <s v=" "/>
    <m/>
    <m/>
    <n v="5"/>
    <m/>
    <m/>
    <m/>
    <x v="29"/>
    <m/>
    <n v="1"/>
    <n v="97"/>
    <n v="25.5"/>
    <s v="Ninguna"/>
    <m/>
    <m/>
    <m/>
    <m/>
    <m/>
    <m/>
    <m/>
    <m/>
    <m/>
    <m/>
    <m/>
    <m/>
    <m/>
    <m/>
    <m/>
    <m/>
    <m/>
  </r>
  <r>
    <x v="1"/>
    <x v="3"/>
    <x v="15"/>
    <s v="FCAAT15"/>
    <x v="0"/>
    <d v="2018-04-26T00:00:00"/>
    <d v="1899-12-30T22:33:00"/>
    <n v="-76.890277777777783"/>
    <n v="3.5511111111111111"/>
    <n v="2"/>
    <m/>
    <s v="Hamilton Bermudez"/>
    <n v="680"/>
    <m/>
    <s v=" "/>
    <m/>
    <m/>
    <m/>
    <m/>
    <m/>
    <m/>
    <x v="29"/>
    <m/>
    <n v="1"/>
    <n v="99"/>
    <n v="24"/>
    <s v="Ninguna"/>
    <m/>
    <m/>
    <m/>
    <m/>
    <m/>
    <m/>
    <m/>
    <m/>
    <m/>
    <m/>
    <m/>
    <m/>
    <m/>
    <m/>
    <m/>
    <m/>
    <m/>
  </r>
  <r>
    <x v="1"/>
    <x v="3"/>
    <x v="16"/>
    <s v="FCACT5"/>
    <x v="0"/>
    <d v="2018-04-27T00:00:00"/>
    <d v="1899-12-30T08:13:00"/>
    <n v="-76.880444444444436"/>
    <n v="3.576888888888889"/>
    <n v="2"/>
    <s v="Izquierdo"/>
    <s v="Roger Franco"/>
    <n v="662"/>
    <b v="1"/>
    <s v=" "/>
    <n v="10"/>
    <m/>
    <n v="90"/>
    <m/>
    <s v="Bosque Secundario"/>
    <m/>
    <x v="14"/>
    <m/>
    <n v="1"/>
    <m/>
    <m/>
    <s v="Ninguna"/>
    <m/>
    <m/>
    <m/>
    <m/>
    <m/>
    <m/>
    <m/>
    <m/>
    <m/>
    <m/>
    <m/>
    <m/>
    <m/>
    <m/>
    <m/>
    <m/>
    <m/>
  </r>
  <r>
    <x v="1"/>
    <x v="3"/>
    <x v="16"/>
    <s v="FCACT8"/>
    <x v="3"/>
    <d v="2018-04-27T00:00:00"/>
    <d v="1899-12-30T08:52:00"/>
    <n v="-76.880416666666662"/>
    <n v="3.5791388888888891"/>
    <n v="2"/>
    <s v="Izquierdo"/>
    <s v="Roger Franco"/>
    <n v="741"/>
    <b v="1"/>
    <s v=" "/>
    <n v="8"/>
    <m/>
    <n v="90"/>
    <m/>
    <s v="Bosque Secundario"/>
    <m/>
    <x v="14"/>
    <m/>
    <n v="1"/>
    <m/>
    <m/>
    <s v="Ninguna"/>
    <m/>
    <m/>
    <m/>
    <m/>
    <m/>
    <m/>
    <m/>
    <m/>
    <m/>
    <m/>
    <m/>
    <m/>
    <m/>
    <m/>
    <m/>
    <m/>
    <m/>
  </r>
  <r>
    <x v="1"/>
    <x v="3"/>
    <x v="16"/>
    <s v="FCACT8"/>
    <x v="3"/>
    <d v="2018-04-27T00:00:00"/>
    <d v="1899-12-30T08:22:00"/>
    <n v="-76.880416666666662"/>
    <n v="3.5791388888888891"/>
    <n v="2"/>
    <s v="Izquierdo"/>
    <s v="Alvaro Fierro"/>
    <n v="741"/>
    <b v="1"/>
    <s v=" "/>
    <m/>
    <m/>
    <m/>
    <m/>
    <s v="Bosque Secundario"/>
    <s v="Auditivo"/>
    <x v="14"/>
    <m/>
    <n v="1"/>
    <m/>
    <m/>
    <s v="Ninguna"/>
    <m/>
    <m/>
    <m/>
    <m/>
    <m/>
    <m/>
    <m/>
    <m/>
    <m/>
    <m/>
    <m/>
    <m/>
    <m/>
    <m/>
    <m/>
    <m/>
    <m/>
  </r>
  <r>
    <x v="1"/>
    <x v="3"/>
    <x v="16"/>
    <s v="FCACT8"/>
    <x v="3"/>
    <d v="2018-04-27T00:00:00"/>
    <d v="1899-12-30T08:22:00"/>
    <n v="-76.880416666666662"/>
    <n v="3.5791388888888891"/>
    <n v="2"/>
    <s v="Derecho"/>
    <s v="Roger Franco"/>
    <n v="741"/>
    <b v="1"/>
    <s v=" "/>
    <m/>
    <m/>
    <m/>
    <m/>
    <s v="Bosque Secundario"/>
    <s v="Auditivo"/>
    <x v="14"/>
    <m/>
    <n v="1"/>
    <m/>
    <m/>
    <s v="Ninguna"/>
    <m/>
    <m/>
    <m/>
    <m/>
    <m/>
    <m/>
    <m/>
    <m/>
    <m/>
    <m/>
    <m/>
    <m/>
    <m/>
    <m/>
    <m/>
    <m/>
    <m/>
  </r>
  <r>
    <x v="1"/>
    <x v="3"/>
    <x v="16"/>
    <s v="FCACT8"/>
    <x v="3"/>
    <d v="2018-04-27T00:00:00"/>
    <d v="1899-12-30T09:10:00"/>
    <n v="-76.880416666666662"/>
    <n v="3.5791388888888891"/>
    <n v="2"/>
    <s v="Izquierdo"/>
    <s v="Roger Franco"/>
    <n v="741"/>
    <b v="1"/>
    <s v=" "/>
    <m/>
    <m/>
    <m/>
    <m/>
    <s v="Bosque Secundario"/>
    <s v="Auditivo"/>
    <x v="14"/>
    <m/>
    <n v="1"/>
    <m/>
    <m/>
    <s v="Ninguna"/>
    <m/>
    <m/>
    <m/>
    <m/>
    <m/>
    <m/>
    <m/>
    <m/>
    <m/>
    <m/>
    <m/>
    <m/>
    <m/>
    <m/>
    <m/>
    <m/>
    <m/>
  </r>
  <r>
    <x v="1"/>
    <x v="3"/>
    <x v="16"/>
    <s v="FCACT8"/>
    <x v="3"/>
    <d v="2018-04-27T00:00:00"/>
    <d v="1899-12-30T09:12:00"/>
    <n v="-76.880416666666662"/>
    <n v="3.5791388888888891"/>
    <n v="2"/>
    <s v="Izquierdo"/>
    <s v="Oscar Martinez"/>
    <n v="741"/>
    <b v="1"/>
    <s v=" "/>
    <m/>
    <m/>
    <m/>
    <m/>
    <s v="Bosque Secundario"/>
    <s v="Auditivo"/>
    <x v="14"/>
    <m/>
    <n v="1"/>
    <m/>
    <m/>
    <s v="Ninguna"/>
    <m/>
    <m/>
    <m/>
    <m/>
    <m/>
    <m/>
    <m/>
    <m/>
    <m/>
    <m/>
    <m/>
    <m/>
    <m/>
    <m/>
    <m/>
    <m/>
    <m/>
  </r>
  <r>
    <x v="1"/>
    <x v="3"/>
    <x v="16"/>
    <s v="FCACT7"/>
    <x v="2"/>
    <d v="2018-04-27T00:00:00"/>
    <d v="1899-12-30T09:50:00"/>
    <n v="-76.88047222222221"/>
    <n v="3.5787499999999999"/>
    <n v="2"/>
    <s v="Derecho"/>
    <s v="Roger Franco"/>
    <n v="712"/>
    <b v="1"/>
    <s v=" "/>
    <n v="7"/>
    <m/>
    <n v="70"/>
    <m/>
    <s v="Bosque Secundario"/>
    <m/>
    <x v="14"/>
    <m/>
    <n v="1"/>
    <m/>
    <m/>
    <s v="Ninguna"/>
    <m/>
    <m/>
    <m/>
    <m/>
    <m/>
    <m/>
    <m/>
    <m/>
    <m/>
    <m/>
    <m/>
    <m/>
    <m/>
    <m/>
    <m/>
    <m/>
    <m/>
  </r>
  <r>
    <x v="1"/>
    <x v="3"/>
    <x v="16"/>
    <s v="FCACT7"/>
    <x v="2"/>
    <d v="2018-04-27T00:00:00"/>
    <d v="1899-12-30T09:52:00"/>
    <n v="-76.88047222222221"/>
    <n v="3.5787499999999999"/>
    <n v="2"/>
    <s v="Derecho"/>
    <s v="Hamilton Bermudez"/>
    <n v="712"/>
    <b v="1"/>
    <s v=" "/>
    <n v="7"/>
    <m/>
    <n v="70"/>
    <m/>
    <s v="Bosque Secundario"/>
    <m/>
    <x v="14"/>
    <m/>
    <n v="1"/>
    <m/>
    <m/>
    <s v="Ninguna"/>
    <m/>
    <m/>
    <m/>
    <m/>
    <m/>
    <m/>
    <m/>
    <m/>
    <m/>
    <m/>
    <m/>
    <m/>
    <m/>
    <m/>
    <m/>
    <m/>
    <m/>
  </r>
  <r>
    <x v="1"/>
    <x v="3"/>
    <x v="16"/>
    <s v="FCACT6"/>
    <x v="1"/>
    <d v="2018-04-27T00:00:00"/>
    <m/>
    <m/>
    <m/>
    <n v="2"/>
    <m/>
    <m/>
    <m/>
    <m/>
    <s v=" "/>
    <m/>
    <m/>
    <m/>
    <m/>
    <m/>
    <m/>
    <x v="0"/>
    <m/>
    <n v="0"/>
    <m/>
    <m/>
    <m/>
    <m/>
    <m/>
    <m/>
    <m/>
    <m/>
    <m/>
    <m/>
    <m/>
    <m/>
    <m/>
    <m/>
    <m/>
    <m/>
    <m/>
    <m/>
    <m/>
    <m/>
  </r>
  <r>
    <x v="1"/>
    <x v="3"/>
    <x v="12"/>
    <s v="FCABT1"/>
    <x v="0"/>
    <d v="2018-04-28T00:00:00"/>
    <d v="1899-12-30T20:25:00"/>
    <n v="-76.891833333333338"/>
    <n v="3.594586111111111"/>
    <n v="2"/>
    <s v="Derecho"/>
    <s v="Alvaro Fierro"/>
    <n v="624"/>
    <b v="1"/>
    <s v=" "/>
    <n v="12"/>
    <m/>
    <n v="10"/>
    <m/>
    <s v="Bosque Secundario"/>
    <m/>
    <x v="30"/>
    <m/>
    <n v="1"/>
    <m/>
    <m/>
    <s v="Ninguna"/>
    <m/>
    <m/>
    <m/>
    <m/>
    <m/>
    <m/>
    <m/>
    <m/>
    <m/>
    <m/>
    <m/>
    <m/>
    <m/>
    <m/>
    <m/>
    <m/>
    <m/>
  </r>
  <r>
    <x v="1"/>
    <x v="3"/>
    <x v="12"/>
    <s v="FCABT1"/>
    <x v="0"/>
    <d v="2018-04-28T00:00:00"/>
    <d v="1899-12-30T20:34:00"/>
    <n v="-76.891430555555559"/>
    <n v="3.594213888888889"/>
    <n v="2"/>
    <s v="Derecho"/>
    <s v="Alvaro Fierro"/>
    <n v="523"/>
    <b v="1"/>
    <s v=" "/>
    <n v="3"/>
    <m/>
    <n v="10"/>
    <m/>
    <s v="Bosque Secundario"/>
    <m/>
    <x v="15"/>
    <m/>
    <n v="1"/>
    <m/>
    <m/>
    <s v="Ninguna"/>
    <m/>
    <m/>
    <m/>
    <m/>
    <m/>
    <m/>
    <m/>
    <m/>
    <m/>
    <m/>
    <m/>
    <m/>
    <m/>
    <m/>
    <m/>
    <m/>
    <m/>
  </r>
  <r>
    <x v="1"/>
    <x v="3"/>
    <x v="12"/>
    <s v="FCABT1"/>
    <x v="0"/>
    <d v="2018-04-28T00:00:00"/>
    <d v="1899-12-30T20:43:00"/>
    <n v="-76.891852777777785"/>
    <n v="3.594558333333334"/>
    <n v="2"/>
    <s v="Derecho"/>
    <s v="Alvaro Fierro"/>
    <n v="596"/>
    <b v="1"/>
    <s v=" "/>
    <n v="15"/>
    <m/>
    <n v="5"/>
    <m/>
    <s v="Bosque Secundario"/>
    <m/>
    <x v="15"/>
    <m/>
    <n v="1"/>
    <m/>
    <m/>
    <s v="Ninguna"/>
    <m/>
    <m/>
    <m/>
    <m/>
    <m/>
    <m/>
    <m/>
    <m/>
    <m/>
    <m/>
    <m/>
    <m/>
    <m/>
    <m/>
    <m/>
    <m/>
    <m/>
  </r>
  <r>
    <x v="1"/>
    <x v="3"/>
    <x v="12"/>
    <s v="FCABT1"/>
    <x v="0"/>
    <d v="2018-04-28T00:00:00"/>
    <d v="1899-12-30T20:50:00"/>
    <n v="-76.892086111111112"/>
    <n v="3.5949"/>
    <n v="2"/>
    <s v="Izquierdo"/>
    <s v="Hamilton Bermudez"/>
    <n v="585"/>
    <b v="1"/>
    <s v=" "/>
    <n v="30"/>
    <m/>
    <n v="90"/>
    <m/>
    <s v="Bosque Secundario"/>
    <m/>
    <x v="31"/>
    <m/>
    <n v="1"/>
    <m/>
    <m/>
    <s v="Ninguna"/>
    <m/>
    <m/>
    <m/>
    <m/>
    <m/>
    <m/>
    <m/>
    <m/>
    <m/>
    <m/>
    <m/>
    <m/>
    <m/>
    <m/>
    <m/>
    <m/>
    <m/>
  </r>
  <r>
    <x v="1"/>
    <x v="3"/>
    <x v="12"/>
    <s v="FCABT2"/>
    <x v="1"/>
    <d v="2018-04-28T00:00:00"/>
    <d v="1899-12-30T21:23:00"/>
    <n v="-76.89262777777779"/>
    <n v="3.5956250000000001"/>
    <n v="2"/>
    <s v="Derecho"/>
    <s v="Alvaro Fierro"/>
    <n v="576"/>
    <b v="1"/>
    <s v=" "/>
    <n v="15"/>
    <m/>
    <n v="5"/>
    <m/>
    <s v="Bosque Secundario"/>
    <m/>
    <x v="15"/>
    <m/>
    <n v="1"/>
    <m/>
    <m/>
    <s v="Ninguna"/>
    <m/>
    <m/>
    <m/>
    <m/>
    <m/>
    <m/>
    <m/>
    <m/>
    <m/>
    <m/>
    <m/>
    <m/>
    <m/>
    <m/>
    <m/>
    <m/>
    <m/>
  </r>
  <r>
    <x v="1"/>
    <x v="3"/>
    <x v="16"/>
    <s v="FCACT7"/>
    <x v="2"/>
    <d v="2018-12-05T00:00:00"/>
    <d v="1899-12-30T07:51:00"/>
    <n v="-76.880499999999998"/>
    <n v="3.5787499999999999"/>
    <n v="3"/>
    <s v="Derecho"/>
    <s v="Guillermo Guerrero"/>
    <n v="620"/>
    <b v="1"/>
    <s v=" "/>
    <n v="20"/>
    <m/>
    <n v="40"/>
    <s v="Hoja"/>
    <s v="Bosque Secundario"/>
    <m/>
    <x v="14"/>
    <m/>
    <n v="1"/>
    <m/>
    <m/>
    <s v="Ninguna"/>
    <m/>
    <m/>
    <m/>
    <m/>
    <m/>
    <m/>
    <m/>
    <m/>
    <m/>
    <m/>
    <m/>
    <m/>
    <m/>
    <m/>
    <m/>
    <m/>
    <m/>
  </r>
  <r>
    <x v="1"/>
    <x v="3"/>
    <x v="16"/>
    <s v="FCACT7"/>
    <x v="2"/>
    <d v="2018-12-05T00:00:00"/>
    <d v="1899-12-30T08:05:00"/>
    <n v="-76.880499999999998"/>
    <n v="3.578638888888888"/>
    <n v="3"/>
    <s v="Derecho"/>
    <s v="Guillermo Guerrero"/>
    <n v="620"/>
    <b v="1"/>
    <s v=" "/>
    <n v="2"/>
    <m/>
    <n v="50"/>
    <s v="Hoja"/>
    <s v="Bosque Secundario"/>
    <m/>
    <x v="14"/>
    <m/>
    <n v="1"/>
    <m/>
    <m/>
    <s v="Ninguna"/>
    <m/>
    <m/>
    <m/>
    <m/>
    <m/>
    <m/>
    <m/>
    <m/>
    <m/>
    <m/>
    <m/>
    <m/>
    <m/>
    <m/>
    <m/>
    <m/>
    <m/>
  </r>
  <r>
    <x v="1"/>
    <x v="3"/>
    <x v="12"/>
    <s v="FCABT2"/>
    <x v="1"/>
    <d v="2018-12-06T00:00:00"/>
    <d v="1899-12-30T08:45:00"/>
    <n v="-76.89200000000001"/>
    <n v="3.5956944444444452"/>
    <n v="3"/>
    <s v="Derecho"/>
    <s v="Guillermo Guerrero"/>
    <n v="508"/>
    <b v="1"/>
    <s v=" "/>
    <n v="15"/>
    <m/>
    <n v="30"/>
    <s v="Tronco"/>
    <s v="Bosque Secundario"/>
    <m/>
    <x v="14"/>
    <m/>
    <n v="1"/>
    <m/>
    <m/>
    <s v="Ninguna"/>
    <m/>
    <m/>
    <m/>
    <m/>
    <m/>
    <m/>
    <m/>
    <m/>
    <m/>
    <m/>
    <m/>
    <m/>
    <m/>
    <m/>
    <m/>
    <m/>
    <m/>
  </r>
  <r>
    <x v="1"/>
    <x v="3"/>
    <x v="12"/>
    <s v="FCABT2"/>
    <x v="1"/>
    <d v="2018-12-06T00:00:00"/>
    <d v="1899-12-30T08:45:00"/>
    <n v="-76.89200000000001"/>
    <n v="3.5956944444444452"/>
    <n v="3"/>
    <s v="Derecho"/>
    <s v="Guillermo Guerrero"/>
    <n v="508"/>
    <b v="1"/>
    <s v=" "/>
    <n v="15"/>
    <m/>
    <n v="30"/>
    <s v="Tronco"/>
    <s v="Bosque Secundario"/>
    <m/>
    <x v="14"/>
    <m/>
    <n v="1"/>
    <m/>
    <m/>
    <s v="Ninguna"/>
    <m/>
    <m/>
    <m/>
    <m/>
    <m/>
    <m/>
    <m/>
    <m/>
    <m/>
    <m/>
    <m/>
    <m/>
    <m/>
    <m/>
    <m/>
    <m/>
    <m/>
  </r>
  <r>
    <x v="1"/>
    <x v="3"/>
    <x v="12"/>
    <s v="FCABT2"/>
    <x v="1"/>
    <d v="2018-12-06T00:00:00"/>
    <d v="1899-12-30T09:12:00"/>
    <n v="-76.892194444444456"/>
    <n v="3.5955833333333329"/>
    <n v="3"/>
    <s v="Derecho"/>
    <s v="Carolina Burbano"/>
    <n v="501"/>
    <b v="1"/>
    <s v=" "/>
    <n v="30"/>
    <m/>
    <n v="80"/>
    <s v="Hoja"/>
    <s v="Bosque Secundario"/>
    <m/>
    <x v="14"/>
    <m/>
    <n v="1"/>
    <m/>
    <m/>
    <s v="Ninguna"/>
    <m/>
    <m/>
    <m/>
    <m/>
    <m/>
    <m/>
    <m/>
    <m/>
    <m/>
    <m/>
    <m/>
    <m/>
    <m/>
    <m/>
    <m/>
    <m/>
    <m/>
  </r>
  <r>
    <x v="1"/>
    <x v="3"/>
    <x v="12"/>
    <s v="FCABT2"/>
    <x v="1"/>
    <d v="2018-12-06T00:00:00"/>
    <m/>
    <n v="-76.892833333333343"/>
    <n v="3.5960000000000001"/>
    <n v="3"/>
    <m/>
    <m/>
    <n v="512"/>
    <b v="1"/>
    <s v=" "/>
    <m/>
    <m/>
    <m/>
    <m/>
    <s v="Bosque Secundario"/>
    <m/>
    <x v="0"/>
    <m/>
    <n v="0"/>
    <m/>
    <m/>
    <s v="Ninguna"/>
    <m/>
    <m/>
    <m/>
    <m/>
    <m/>
    <m/>
    <m/>
    <m/>
    <m/>
    <m/>
    <m/>
    <m/>
    <m/>
    <m/>
    <m/>
    <m/>
    <m/>
  </r>
  <r>
    <x v="1"/>
    <x v="2"/>
    <x v="10"/>
    <s v="FCCDT17"/>
    <x v="1"/>
    <d v="2018-04-12T00:00:00"/>
    <d v="1899-12-30T22:39:00"/>
    <n v="-76.656272222222228"/>
    <n v="3.3548583333333331"/>
    <n v="2"/>
    <s v="Derecho"/>
    <s v="Roger Franco"/>
    <n v="2593"/>
    <b v="1"/>
    <s v=" "/>
    <n v="20"/>
    <m/>
    <n v="60"/>
    <s v="Hoja"/>
    <s v="Bosque Secundario"/>
    <m/>
    <x v="8"/>
    <m/>
    <n v="1"/>
    <m/>
    <m/>
    <s v="Ninguna"/>
    <m/>
    <m/>
    <m/>
    <m/>
    <m/>
    <m/>
    <m/>
    <m/>
    <m/>
    <m/>
    <m/>
    <m/>
    <m/>
    <m/>
    <m/>
    <m/>
    <m/>
  </r>
  <r>
    <x v="1"/>
    <x v="2"/>
    <x v="10"/>
    <s v="FCCDT17"/>
    <x v="1"/>
    <d v="2018-04-12T00:00:00"/>
    <d v="1899-12-30T22:45:00"/>
    <n v="-76.656130555555563"/>
    <n v="3.3548249999999999"/>
    <n v="2"/>
    <s v="Derecho"/>
    <s v="Hamilton Bermudez"/>
    <n v="2595"/>
    <b v="1"/>
    <s v=" "/>
    <n v="20"/>
    <m/>
    <n v="45"/>
    <s v="Hoja"/>
    <s v="Bosque Secundario"/>
    <m/>
    <x v="8"/>
    <m/>
    <n v="1"/>
    <m/>
    <m/>
    <s v="Ninguna"/>
    <m/>
    <m/>
    <m/>
    <m/>
    <m/>
    <m/>
    <m/>
    <m/>
    <m/>
    <m/>
    <m/>
    <m/>
    <m/>
    <m/>
    <m/>
    <m/>
    <m/>
  </r>
  <r>
    <x v="1"/>
    <x v="2"/>
    <x v="10"/>
    <s v="FCCDT17"/>
    <x v="1"/>
    <d v="2018-04-12T00:00:00"/>
    <d v="1899-12-30T22:45:00"/>
    <n v="-76.656130555555563"/>
    <n v="3.3548249999999999"/>
    <n v="2"/>
    <s v="Derecho"/>
    <s v="Hamilton Bermudez"/>
    <n v="2595"/>
    <b v="1"/>
    <s v=" "/>
    <n v="20"/>
    <m/>
    <n v="45"/>
    <s v="Hoja"/>
    <s v="Bosque Secundario"/>
    <m/>
    <x v="8"/>
    <m/>
    <n v="1"/>
    <m/>
    <m/>
    <s v="Ninguna"/>
    <m/>
    <m/>
    <m/>
    <m/>
    <m/>
    <m/>
    <m/>
    <m/>
    <m/>
    <m/>
    <m/>
    <m/>
    <m/>
    <m/>
    <m/>
    <m/>
    <m/>
  </r>
  <r>
    <x v="1"/>
    <x v="2"/>
    <x v="11"/>
    <s v="FCCDT14"/>
    <x v="3"/>
    <d v="2018-04-12T00:00:00"/>
    <d v="1899-12-30T00:15:00"/>
    <n v="-76.652033333333335"/>
    <n v="3.3534944444444439"/>
    <n v="2"/>
    <s v="Derecho"/>
    <s v="Hamilton Bermudez"/>
    <n v="2554"/>
    <b v="1"/>
    <s v=" "/>
    <n v="15"/>
    <m/>
    <n v="50"/>
    <s v="Hoja"/>
    <s v="Bosque Secundario"/>
    <m/>
    <x v="3"/>
    <m/>
    <n v="1"/>
    <m/>
    <m/>
    <s v="Ninguna"/>
    <m/>
    <m/>
    <m/>
    <m/>
    <m/>
    <m/>
    <m/>
    <m/>
    <m/>
    <m/>
    <m/>
    <m/>
    <m/>
    <m/>
    <m/>
    <m/>
    <m/>
  </r>
  <r>
    <x v="1"/>
    <x v="2"/>
    <x v="11"/>
    <s v="FCCDT14"/>
    <x v="3"/>
    <d v="2018-04-12T00:00:00"/>
    <d v="1899-12-30T00:18:00"/>
    <n v="-76.652033333333335"/>
    <n v="3.3534944444444439"/>
    <n v="2"/>
    <s v="Derecho"/>
    <s v="Gustavo Rodriguez"/>
    <n v="2554"/>
    <b v="1"/>
    <s v=" "/>
    <n v="20"/>
    <m/>
    <n v="60"/>
    <s v="Hoja"/>
    <s v="Bosque Secundario"/>
    <m/>
    <x v="3"/>
    <m/>
    <n v="1"/>
    <m/>
    <m/>
    <s v="Ninguna"/>
    <m/>
    <m/>
    <m/>
    <m/>
    <m/>
    <m/>
    <m/>
    <m/>
    <m/>
    <m/>
    <m/>
    <m/>
    <m/>
    <m/>
    <m/>
    <m/>
    <m/>
  </r>
  <r>
    <x v="1"/>
    <x v="2"/>
    <x v="11"/>
    <s v="FCCDT14"/>
    <x v="3"/>
    <d v="2018-04-12T00:00:00"/>
    <d v="1899-12-30T00:20:00"/>
    <n v="-76.651983333333334"/>
    <n v="3.3534388888888889"/>
    <n v="2"/>
    <s v="Derecho"/>
    <s v="Roger Franco"/>
    <n v="2548"/>
    <b v="1"/>
    <s v=" "/>
    <n v="20"/>
    <m/>
    <n v="90"/>
    <s v="Hoja"/>
    <s v="Bosque Secundario"/>
    <m/>
    <x v="3"/>
    <m/>
    <n v="1"/>
    <m/>
    <m/>
    <s v="Ninguna"/>
    <m/>
    <m/>
    <m/>
    <m/>
    <m/>
    <m/>
    <m/>
    <m/>
    <m/>
    <m/>
    <m/>
    <m/>
    <m/>
    <m/>
    <m/>
    <m/>
    <m/>
  </r>
  <r>
    <x v="1"/>
    <x v="2"/>
    <x v="11"/>
    <s v="FCCDT14"/>
    <x v="3"/>
    <d v="2018-04-12T00:00:00"/>
    <d v="1899-12-30T00:26:00"/>
    <n v="-76.651825000000002"/>
    <n v="3.3532972222222219"/>
    <n v="2"/>
    <s v="Derecho"/>
    <s v="Hamilton Bermudez"/>
    <n v="2545"/>
    <b v="1"/>
    <s v=" "/>
    <n v="15"/>
    <m/>
    <n v="30"/>
    <s v="Hoja"/>
    <s v="Bosque Secundario"/>
    <m/>
    <x v="3"/>
    <m/>
    <n v="1"/>
    <m/>
    <m/>
    <s v="Ninguna"/>
    <m/>
    <m/>
    <m/>
    <m/>
    <m/>
    <m/>
    <m/>
    <m/>
    <m/>
    <m/>
    <m/>
    <m/>
    <m/>
    <m/>
    <m/>
    <m/>
    <m/>
  </r>
  <r>
    <x v="1"/>
    <x v="3"/>
    <x v="12"/>
    <s v="FCABT3"/>
    <x v="2"/>
    <d v="2018-12-06T00:00:00"/>
    <d v="1899-12-30T09:53:00"/>
    <n v="-76.892472222222224"/>
    <n v="3.5973055555555562"/>
    <n v="3"/>
    <s v="Derecho"/>
    <s v="Hamilton Bermudez"/>
    <n v="583"/>
    <b v="1"/>
    <s v=" "/>
    <n v="30"/>
    <m/>
    <n v="45"/>
    <s v="Tronco"/>
    <s v="Bosque Secundario"/>
    <m/>
    <x v="14"/>
    <m/>
    <n v="1"/>
    <m/>
    <m/>
    <s v="Ninguna"/>
    <m/>
    <m/>
    <m/>
    <m/>
    <m/>
    <m/>
    <m/>
    <m/>
    <m/>
    <m/>
    <m/>
    <m/>
    <m/>
    <m/>
    <m/>
    <m/>
    <m/>
  </r>
  <r>
    <x v="2"/>
    <x v="1"/>
    <x v="17"/>
    <s v="FCTDT22"/>
    <x v="1"/>
    <d v="2019-10-16T00:00:00"/>
    <d v="1899-12-30T21:44:27"/>
    <n v="-76.726098333333297"/>
    <n v="3.4994049999999999"/>
    <n v="4"/>
    <s v="Derecho"/>
    <s v="Guillermo Guerrero"/>
    <n v="1805"/>
    <b v="1"/>
    <b v="1"/>
    <n v="20"/>
    <n v="2.1"/>
    <n v="3"/>
    <s v="arbustos"/>
    <s v="Bosque Ripario"/>
    <m/>
    <x v="5"/>
    <m/>
    <n v="1"/>
    <m/>
    <m/>
    <s v="Ninguna"/>
    <m/>
    <m/>
    <m/>
    <m/>
    <m/>
    <m/>
    <m/>
    <m/>
    <m/>
    <m/>
    <m/>
    <m/>
    <m/>
    <m/>
    <m/>
    <m/>
    <m/>
  </r>
  <r>
    <x v="2"/>
    <x v="1"/>
    <x v="17"/>
    <s v="FCTDT21"/>
    <x v="0"/>
    <d v="2019-10-16T00:00:00"/>
    <d v="1899-12-30T23:10:30"/>
    <n v="-76.726883333333305"/>
    <n v="3.5003649999999999"/>
    <n v="4"/>
    <s v="Izquierdo"/>
    <s v="Gustavo Gonzales"/>
    <n v="1808"/>
    <b v="1"/>
    <b v="0"/>
    <n v="5"/>
    <n v="0"/>
    <n v="5"/>
    <s v="arbustivo"/>
    <s v="Potrero"/>
    <s v="registro auditivo, 6 aproximadamente cantando"/>
    <x v="7"/>
    <m/>
    <n v="1"/>
    <m/>
    <m/>
    <s v="Ganadería"/>
    <m/>
    <m/>
    <m/>
    <m/>
    <m/>
    <m/>
    <m/>
    <m/>
    <m/>
    <m/>
    <m/>
    <m/>
    <m/>
    <m/>
    <m/>
    <m/>
    <m/>
  </r>
  <r>
    <x v="2"/>
    <x v="1"/>
    <x v="17"/>
    <s v="FCTDT22"/>
    <x v="1"/>
    <d v="2019-10-16T00:00:00"/>
    <d v="1899-12-30T21:23:27"/>
    <n v="-76.726044999999999"/>
    <n v="3.499285"/>
    <n v="4"/>
    <m/>
    <m/>
    <n v="1790"/>
    <b v="1"/>
    <b v="1"/>
    <n v="20"/>
    <n v="2"/>
    <n v="10"/>
    <m/>
    <s v="Bosque Primario"/>
    <m/>
    <x v="0"/>
    <m/>
    <n v="0"/>
    <m/>
    <m/>
    <s v="Ninguna"/>
    <m/>
    <m/>
    <m/>
    <m/>
    <m/>
    <m/>
    <m/>
    <m/>
    <m/>
    <m/>
    <m/>
    <m/>
    <m/>
    <m/>
    <m/>
    <m/>
    <m/>
  </r>
  <r>
    <x v="2"/>
    <x v="1"/>
    <x v="17"/>
    <s v="FCTDT22"/>
    <x v="1"/>
    <d v="2019-10-16T00:00:00"/>
    <d v="1899-12-30T21:33:57"/>
    <n v="-76.726074999999994"/>
    <n v="3.4993616666666698"/>
    <n v="4"/>
    <s v="Derecho"/>
    <s v="Gustavo Gonzales"/>
    <n v="1790"/>
    <b v="1"/>
    <b v="1"/>
    <n v="25"/>
    <n v="2"/>
    <n v="3"/>
    <s v="arbusto"/>
    <s v="Bosque Ripario"/>
    <s v="macho"/>
    <x v="31"/>
    <m/>
    <n v="1"/>
    <m/>
    <m/>
    <s v="Ninguna"/>
    <m/>
    <m/>
    <m/>
    <m/>
    <m/>
    <m/>
    <m/>
    <m/>
    <m/>
    <m/>
    <m/>
    <m/>
    <m/>
    <m/>
    <m/>
    <m/>
    <m/>
  </r>
  <r>
    <x v="2"/>
    <x v="1"/>
    <x v="17"/>
    <s v="FCTDT22"/>
    <x v="1"/>
    <d v="2019-10-16T00:00:00"/>
    <d v="1899-12-30T22:22:40"/>
    <n v="-76.726285000000004"/>
    <n v="3.49976333333333"/>
    <n v="4"/>
    <s v="Izquierdo"/>
    <s v="Gustavo Gonzales"/>
    <n v="1806"/>
    <b v="1"/>
    <b v="1"/>
    <n v="18"/>
    <n v="2.5"/>
    <n v="7"/>
    <s v="helechos"/>
    <s v="Bosque Ripario"/>
    <m/>
    <x v="3"/>
    <m/>
    <n v="1"/>
    <m/>
    <m/>
    <s v="Ninguna"/>
    <m/>
    <m/>
    <m/>
    <m/>
    <m/>
    <m/>
    <m/>
    <m/>
    <m/>
    <m/>
    <m/>
    <m/>
    <m/>
    <m/>
    <m/>
    <m/>
    <m/>
  </r>
  <r>
    <x v="2"/>
    <x v="1"/>
    <x v="17"/>
    <s v="FCTDT21"/>
    <x v="0"/>
    <d v="2019-10-16T00:00:00"/>
    <d v="1899-12-30T22:33:31"/>
    <n v="-76.726240000000004"/>
    <n v="3.4999699999999998"/>
    <n v="4"/>
    <s v="Izquierdo"/>
    <s v="Guillermo"/>
    <n v="1803"/>
    <b v="1"/>
    <b v="0"/>
    <n v="10"/>
    <n v="0"/>
    <n v="5"/>
    <s v="herbáceas"/>
    <s v="Bosque Ripario"/>
    <m/>
    <x v="3"/>
    <m/>
    <n v="1"/>
    <m/>
    <m/>
    <s v="Ninguna"/>
    <m/>
    <m/>
    <m/>
    <m/>
    <m/>
    <m/>
    <m/>
    <m/>
    <m/>
    <m/>
    <m/>
    <m/>
    <m/>
    <m/>
    <m/>
    <m/>
    <m/>
  </r>
  <r>
    <x v="2"/>
    <x v="1"/>
    <x v="17"/>
    <s v="FCTDT21"/>
    <x v="0"/>
    <d v="2019-10-16T00:00:00"/>
    <d v="1899-12-30T22:33:31"/>
    <n v="-76.726240000000004"/>
    <n v="3.4999699999999998"/>
    <n v="4"/>
    <s v="Izquierdo"/>
    <s v="Álvaro Javier"/>
    <n v="1803"/>
    <b v="1"/>
    <b v="0"/>
    <n v="10"/>
    <n v="0"/>
    <n v="5"/>
    <s v="Rama"/>
    <s v="Bosque Ripario"/>
    <m/>
    <x v="5"/>
    <m/>
    <n v="1"/>
    <m/>
    <m/>
    <s v="Ninguna"/>
    <m/>
    <m/>
    <m/>
    <m/>
    <m/>
    <m/>
    <m/>
    <m/>
    <m/>
    <m/>
    <m/>
    <m/>
    <m/>
    <m/>
    <m/>
    <m/>
    <m/>
  </r>
  <r>
    <x v="2"/>
    <x v="1"/>
    <x v="17"/>
    <s v="FCTDT21"/>
    <x v="0"/>
    <d v="2019-10-16T00:00:00"/>
    <d v="1899-12-30T23:12:40"/>
    <n v="-76.726903333333297"/>
    <n v="3.5003549999999999"/>
    <n v="4"/>
    <m/>
    <m/>
    <n v="1808"/>
    <b v="1"/>
    <b v="0"/>
    <n v="5"/>
    <n v="0"/>
    <n v="5"/>
    <m/>
    <s v="Potrero"/>
    <s v="punto final"/>
    <x v="0"/>
    <m/>
    <n v="0"/>
    <m/>
    <m/>
    <s v="Ninguna"/>
    <m/>
    <m/>
    <m/>
    <m/>
    <m/>
    <m/>
    <m/>
    <m/>
    <m/>
    <m/>
    <m/>
    <m/>
    <m/>
    <m/>
    <m/>
    <m/>
    <m/>
  </r>
  <r>
    <x v="2"/>
    <x v="1"/>
    <x v="17"/>
    <s v="FCTDT21"/>
    <x v="0"/>
    <d v="2019-10-16T00:00:00"/>
    <d v="1899-12-30T22:42:44"/>
    <n v="-76.726150000000004"/>
    <n v="3.5001000000000002"/>
    <n v="4"/>
    <s v="Izquierdo"/>
    <m/>
    <n v="1799"/>
    <b v="1"/>
    <b v="1"/>
    <n v="18"/>
    <n v="2"/>
    <n v="10"/>
    <m/>
    <s v="Bosque Ripario"/>
    <s v="punto final"/>
    <x v="0"/>
    <m/>
    <n v="0"/>
    <m/>
    <m/>
    <s v="Otra"/>
    <m/>
    <s v="pastos"/>
    <m/>
    <m/>
    <m/>
    <m/>
    <m/>
    <m/>
    <m/>
    <m/>
    <m/>
    <m/>
    <m/>
    <m/>
    <m/>
    <m/>
    <m/>
  </r>
  <r>
    <x v="2"/>
    <x v="1"/>
    <x v="17"/>
    <s v="FCTDT22"/>
    <x v="1"/>
    <d v="2019-10-16T00:00:00"/>
    <d v="1899-12-30T21:53:22"/>
    <n v="-76.726091666666704"/>
    <n v="3.4994566666666702"/>
    <n v="4"/>
    <s v="Derecho"/>
    <s v="Gustavo Gonzales"/>
    <n v="1805"/>
    <b v="1"/>
    <b v="1"/>
    <n v="20"/>
    <n v="2"/>
    <n v="5"/>
    <s v="arbusto"/>
    <s v="Bosque Ripario"/>
    <m/>
    <x v="7"/>
    <m/>
    <n v="1"/>
    <m/>
    <m/>
    <s v="Ninguna"/>
    <m/>
    <m/>
    <m/>
    <m/>
    <m/>
    <m/>
    <m/>
    <m/>
    <m/>
    <m/>
    <m/>
    <m/>
    <m/>
    <m/>
    <m/>
    <m/>
    <m/>
  </r>
  <r>
    <x v="2"/>
    <x v="1"/>
    <x v="17"/>
    <s v="FCTDT22"/>
    <x v="1"/>
    <d v="2019-10-16T00:00:00"/>
    <d v="1899-12-30T22:13:37"/>
    <n v="-76.726276666666706"/>
    <n v="3.49969333333333"/>
    <n v="4"/>
    <s v="Izquierdo"/>
    <s v="Gustavo Gonzales"/>
    <n v="1811"/>
    <b v="1"/>
    <b v="1"/>
    <n v="18"/>
    <n v="3"/>
    <n v="5"/>
    <m/>
    <s v="Bosque Ripario"/>
    <m/>
    <x v="0"/>
    <m/>
    <n v="0"/>
    <m/>
    <m/>
    <s v="Otra"/>
    <m/>
    <s v="Palizada en quebrada"/>
    <m/>
    <m/>
    <m/>
    <m/>
    <m/>
    <m/>
    <m/>
    <m/>
    <m/>
    <m/>
    <m/>
    <m/>
    <m/>
    <m/>
    <m/>
  </r>
  <r>
    <x v="2"/>
    <x v="1"/>
    <x v="17"/>
    <s v="FCTDT21"/>
    <x v="0"/>
    <d v="2019-10-16T00:00:00"/>
    <d v="1899-12-30T22:53:45"/>
    <n v="-76.726399999999998"/>
    <n v="3.5000550000000001"/>
    <n v="4"/>
    <s v="Izquierdo"/>
    <s v="Gustavo Gonzales"/>
    <n v="1800"/>
    <b v="1"/>
    <b v="0"/>
    <n v="7"/>
    <n v="0"/>
    <n v="3"/>
    <m/>
    <s v="Bosque Secundario"/>
    <m/>
    <x v="0"/>
    <m/>
    <n v="0"/>
    <m/>
    <m/>
    <s v="Ganadería"/>
    <m/>
    <s v="pisoteo y estiércol de ganado"/>
    <m/>
    <m/>
    <m/>
    <m/>
    <m/>
    <m/>
    <m/>
    <m/>
    <m/>
    <m/>
    <m/>
    <m/>
    <m/>
    <m/>
    <m/>
  </r>
  <r>
    <x v="2"/>
    <x v="1"/>
    <x v="17"/>
    <s v="FCTDT23"/>
    <x v="2"/>
    <d v="2019-10-16T00:00:00"/>
    <d v="1899-12-30T20:09:13"/>
    <n v="-76.725263333333302"/>
    <n v="3.4995750000000001"/>
    <n v="4"/>
    <s v="Izquierdo"/>
    <m/>
    <n v="1809"/>
    <b v="1"/>
    <b v="0"/>
    <n v="6"/>
    <n v="0"/>
    <n v="10"/>
    <m/>
    <s v="Bosque Secundario"/>
    <m/>
    <x v="0"/>
    <m/>
    <n v="0"/>
    <m/>
    <m/>
    <s v="Erosión"/>
    <m/>
    <s v="erosión por pisoteo en senderos"/>
    <m/>
    <m/>
    <m/>
    <m/>
    <m/>
    <m/>
    <m/>
    <m/>
    <m/>
    <m/>
    <m/>
    <m/>
    <m/>
    <m/>
    <m/>
  </r>
  <r>
    <x v="2"/>
    <x v="1"/>
    <x v="17"/>
    <s v="FCTDT23"/>
    <x v="2"/>
    <d v="2019-10-16T00:00:00"/>
    <d v="1899-12-30T20:49:26"/>
    <n v="-76.725828333333297"/>
    <n v="3.4995500000000002"/>
    <n v="4"/>
    <s v="Izquierdo"/>
    <s v="Gustavo Gonzales"/>
    <n v="1798"/>
    <b v="1"/>
    <b v="0"/>
    <n v="12"/>
    <n v="0"/>
    <n v="5"/>
    <s v="Hoja"/>
    <s v="Bosque Secundario"/>
    <m/>
    <x v="32"/>
    <m/>
    <n v="1"/>
    <m/>
    <m/>
    <s v="Ninguna"/>
    <m/>
    <m/>
    <m/>
    <m/>
    <m/>
    <m/>
    <m/>
    <m/>
    <m/>
    <m/>
    <m/>
    <m/>
    <m/>
    <m/>
    <m/>
    <m/>
    <m/>
  </r>
  <r>
    <x v="2"/>
    <x v="1"/>
    <x v="17"/>
    <s v="FCTDT23"/>
    <x v="2"/>
    <d v="2019-10-16T00:00:00"/>
    <d v="1899-12-30T20:49:26"/>
    <n v="-76.725828333333297"/>
    <n v="3.4995500000000002"/>
    <n v="4"/>
    <s v="Izquierdo"/>
    <s v="Gustavo Gonzales"/>
    <n v="1708"/>
    <b v="1"/>
    <b v="0"/>
    <n v="12"/>
    <n v="0"/>
    <n v="5"/>
    <s v="Hoja"/>
    <s v="Bosque Secundario"/>
    <m/>
    <x v="5"/>
    <m/>
    <n v="1"/>
    <m/>
    <m/>
    <s v="Ninguna"/>
    <m/>
    <m/>
    <m/>
    <m/>
    <m/>
    <m/>
    <m/>
    <m/>
    <m/>
    <m/>
    <m/>
    <m/>
    <m/>
    <m/>
    <m/>
    <m/>
    <m/>
  </r>
  <r>
    <x v="2"/>
    <x v="1"/>
    <x v="17"/>
    <s v="FCTDT23"/>
    <x v="2"/>
    <d v="2019-10-16T00:00:00"/>
    <d v="1899-12-30T20:49:26"/>
    <n v="-76.725828333333297"/>
    <n v="3.4995500000000002"/>
    <n v="4"/>
    <s v="Izquierdo"/>
    <s v="Álvaro Fierro"/>
    <n v="1708"/>
    <b v="1"/>
    <b v="0"/>
    <n v="12"/>
    <n v="0"/>
    <n v="5"/>
    <s v="Hoja"/>
    <s v="Bosque Secundario"/>
    <m/>
    <x v="3"/>
    <m/>
    <n v="1"/>
    <m/>
    <m/>
    <s v="Ninguna"/>
    <m/>
    <m/>
    <m/>
    <m/>
    <m/>
    <m/>
    <m/>
    <m/>
    <m/>
    <m/>
    <m/>
    <m/>
    <m/>
    <m/>
    <m/>
    <m/>
    <m/>
  </r>
  <r>
    <x v="2"/>
    <x v="1"/>
    <x v="17"/>
    <s v="FCTDT21"/>
    <x v="0"/>
    <d v="2019-10-16T00:00:00"/>
    <d v="1899-12-30T22:49:00"/>
    <n v="-76.726415000000003"/>
    <n v="3.5000433333333301"/>
    <n v="4"/>
    <s v="Izquierdo"/>
    <m/>
    <n v="1800"/>
    <b v="1"/>
    <b v="0"/>
    <n v="18"/>
    <m/>
    <n v="6"/>
    <m/>
    <s v="Bosque Secundario"/>
    <m/>
    <x v="0"/>
    <m/>
    <n v="0"/>
    <m/>
    <m/>
    <s v="Otra"/>
    <m/>
    <s v="Camino pisoteo"/>
    <m/>
    <m/>
    <m/>
    <m/>
    <m/>
    <m/>
    <m/>
    <m/>
    <m/>
    <m/>
    <m/>
    <m/>
    <m/>
    <m/>
    <m/>
  </r>
  <r>
    <x v="2"/>
    <x v="1"/>
    <x v="18"/>
    <s v="FCTET11"/>
    <x v="1"/>
    <d v="2019-10-17T00:00:00"/>
    <d v="1899-12-30T21:33:08"/>
    <n v="-76.718916666666701"/>
    <n v="3.4848699999999999"/>
    <n v="4"/>
    <s v="Derecho"/>
    <m/>
    <n v="1943"/>
    <b v="1"/>
    <b v="1"/>
    <n v="18"/>
    <n v="1.5"/>
    <n v="15"/>
    <m/>
    <s v="Bosque Secundario"/>
    <s v="punto final"/>
    <x v="0"/>
    <m/>
    <n v="0"/>
    <m/>
    <m/>
    <s v="Ninguna"/>
    <m/>
    <m/>
    <m/>
    <m/>
    <m/>
    <m/>
    <m/>
    <m/>
    <m/>
    <m/>
    <m/>
    <m/>
    <m/>
    <m/>
    <m/>
    <m/>
    <m/>
  </r>
  <r>
    <x v="2"/>
    <x v="1"/>
    <x v="18"/>
    <s v="FCTET12"/>
    <x v="2"/>
    <d v="2019-10-17T00:00:00"/>
    <d v="1899-12-30T20:04:06"/>
    <n v="-76.718339999999998"/>
    <n v="3.4851433333333302"/>
    <n v="4"/>
    <m/>
    <m/>
    <n v="1924"/>
    <b v="1"/>
    <b v="0"/>
    <n v="15"/>
    <n v="0"/>
    <n v="9"/>
    <m/>
    <s v="Bosque Secundario"/>
    <m/>
    <x v="0"/>
    <m/>
    <n v="0"/>
    <m/>
    <m/>
    <s v="Ninguna"/>
    <m/>
    <m/>
    <m/>
    <m/>
    <m/>
    <m/>
    <m/>
    <m/>
    <m/>
    <m/>
    <m/>
    <m/>
    <m/>
    <m/>
    <m/>
    <m/>
    <m/>
  </r>
  <r>
    <x v="2"/>
    <x v="1"/>
    <x v="18"/>
    <s v="FCTET12"/>
    <x v="2"/>
    <d v="2019-10-17T00:00:00"/>
    <d v="1899-12-30T20:04:06"/>
    <n v="-76.718339999999998"/>
    <n v="3.4851433333333302"/>
    <n v="4"/>
    <s v="Derecho"/>
    <m/>
    <n v="1924"/>
    <b v="1"/>
    <b v="0"/>
    <n v="15"/>
    <n v="0"/>
    <n v="9"/>
    <m/>
    <s v="Bosque Secundario"/>
    <s v="punto final"/>
    <x v="0"/>
    <m/>
    <n v="0"/>
    <m/>
    <m/>
    <s v="Ninguna"/>
    <m/>
    <m/>
    <m/>
    <m/>
    <m/>
    <m/>
    <m/>
    <m/>
    <m/>
    <m/>
    <m/>
    <m/>
    <m/>
    <m/>
    <m/>
    <m/>
    <m/>
  </r>
  <r>
    <x v="2"/>
    <x v="1"/>
    <x v="18"/>
    <s v="FCTET12"/>
    <x v="2"/>
    <d v="2019-10-17T00:00:00"/>
    <d v="1899-12-30T19:57:43"/>
    <n v="-76.718209999999999"/>
    <n v="3.4851399999999999"/>
    <n v="4"/>
    <s v="Derecho"/>
    <m/>
    <n v="1924"/>
    <b v="1"/>
    <b v="0"/>
    <n v="15"/>
    <n v="0"/>
    <n v="9"/>
    <s v="Helecho"/>
    <s v="Bosque Secundario"/>
    <m/>
    <x v="5"/>
    <m/>
    <n v="1"/>
    <m/>
    <m/>
    <s v="Ninguna"/>
    <m/>
    <m/>
    <m/>
    <m/>
    <m/>
    <m/>
    <m/>
    <m/>
    <m/>
    <m/>
    <m/>
    <m/>
    <m/>
    <m/>
    <m/>
    <m/>
    <m/>
  </r>
  <r>
    <x v="2"/>
    <x v="1"/>
    <x v="18"/>
    <s v="FCTET12"/>
    <x v="2"/>
    <d v="2019-10-17T00:00:00"/>
    <d v="1899-12-30T19:57:43"/>
    <n v="-76.718209999999999"/>
    <n v="3.4851399999999999"/>
    <n v="4"/>
    <s v="Derecho"/>
    <s v="Gustavo Gonzales"/>
    <n v="1924"/>
    <b v="1"/>
    <b v="0"/>
    <n v="18"/>
    <n v="0"/>
    <n v="9"/>
    <s v="arbusto"/>
    <s v="Bosque Secundario"/>
    <m/>
    <x v="18"/>
    <m/>
    <n v="1"/>
    <m/>
    <m/>
    <s v="Ninguna"/>
    <m/>
    <m/>
    <m/>
    <m/>
    <m/>
    <m/>
    <m/>
    <m/>
    <m/>
    <m/>
    <m/>
    <m/>
    <m/>
    <m/>
    <m/>
    <m/>
    <m/>
  </r>
  <r>
    <x v="2"/>
    <x v="1"/>
    <x v="18"/>
    <s v="FCTET11"/>
    <x v="1"/>
    <d v="2019-10-17T00:00:00"/>
    <d v="1899-12-30T21:31:49"/>
    <n v="-76.718909999999994"/>
    <n v="3.48484666666667"/>
    <n v="4"/>
    <s v="Derecho"/>
    <s v="Gustavo Rodriguez"/>
    <n v="1943"/>
    <b v="1"/>
    <b v="1"/>
    <n v="18"/>
    <n v="1.5"/>
    <n v="15"/>
    <s v="hierbas"/>
    <s v="Bosque Secundario"/>
    <m/>
    <x v="3"/>
    <m/>
    <n v="1"/>
    <m/>
    <m/>
    <s v="Ninguna"/>
    <m/>
    <m/>
    <m/>
    <m/>
    <m/>
    <m/>
    <m/>
    <m/>
    <m/>
    <m/>
    <m/>
    <m/>
    <m/>
    <m/>
    <m/>
    <m/>
    <m/>
  </r>
  <r>
    <x v="2"/>
    <x v="1"/>
    <x v="18"/>
    <s v="FCTET11"/>
    <x v="1"/>
    <d v="2019-10-17T00:00:00"/>
    <d v="1899-12-30T21:13:12"/>
    <n v="-76.7188533333333"/>
    <n v="3.48494833333333"/>
    <n v="4"/>
    <s v="Derecho"/>
    <s v="Gustavo Gonzales"/>
    <n v="1946"/>
    <b v="1"/>
    <b v="1"/>
    <n v="18"/>
    <n v="2"/>
    <n v="15"/>
    <s v="arbusto"/>
    <s v="Bosque Secundario"/>
    <m/>
    <x v="5"/>
    <m/>
    <n v="1"/>
    <m/>
    <m/>
    <s v="Ninguna"/>
    <m/>
    <m/>
    <m/>
    <m/>
    <m/>
    <m/>
    <m/>
    <m/>
    <m/>
    <m/>
    <m/>
    <m/>
    <m/>
    <m/>
    <m/>
    <m/>
    <m/>
  </r>
  <r>
    <x v="2"/>
    <x v="1"/>
    <x v="18"/>
    <s v="FCTET11"/>
    <x v="1"/>
    <d v="2019-10-17T00:00:00"/>
    <d v="1899-12-30T21:23:15"/>
    <n v="-76.718890000000002"/>
    <n v="3.4849649999999999"/>
    <n v="4"/>
    <s v="Izquierdo"/>
    <s v="Álvaro Javier Fierro"/>
    <n v="1943"/>
    <b v="1"/>
    <b v="1"/>
    <n v="18"/>
    <n v="2"/>
    <n v="10"/>
    <s v="hojarasca"/>
    <s v="Bosque Secundario"/>
    <m/>
    <x v="3"/>
    <m/>
    <n v="2"/>
    <m/>
    <m/>
    <s v="Ninguna"/>
    <m/>
    <m/>
    <m/>
    <m/>
    <m/>
    <m/>
    <m/>
    <m/>
    <m/>
    <m/>
    <m/>
    <m/>
    <m/>
    <m/>
    <m/>
    <m/>
    <m/>
  </r>
  <r>
    <x v="2"/>
    <x v="1"/>
    <x v="18"/>
    <s v="FCTET12"/>
    <x v="2"/>
    <d v="2019-10-17T00:00:00"/>
    <d v="1899-12-30T19:45:13"/>
    <n v="-76.718145000000007"/>
    <n v="3.4851816666666702"/>
    <n v="4"/>
    <s v="Izquierdo"/>
    <s v="Álvaro Javier Fierro"/>
    <n v="1926"/>
    <b v="1"/>
    <b v="0"/>
    <n v="15"/>
    <n v="0"/>
    <n v="12"/>
    <s v="Sobre hoja de Ericaceae"/>
    <s v="Bosque Secundario"/>
    <m/>
    <x v="32"/>
    <m/>
    <n v="1"/>
    <m/>
    <m/>
    <s v="Ninguna"/>
    <m/>
    <m/>
    <m/>
    <m/>
    <m/>
    <m/>
    <m/>
    <m/>
    <m/>
    <m/>
    <m/>
    <m/>
    <m/>
    <m/>
    <m/>
    <m/>
    <m/>
  </r>
  <r>
    <x v="2"/>
    <x v="1"/>
    <x v="18"/>
    <s v="FCTET12"/>
    <x v="2"/>
    <d v="2019-10-17T00:00:00"/>
    <d v="1899-12-30T19:47:27"/>
    <n v="-76.718114999999997"/>
    <n v="3.4851800000000002"/>
    <n v="4"/>
    <s v="Derecho"/>
    <s v="Gustavo Gonzales"/>
    <n v="1928"/>
    <b v="1"/>
    <b v="0"/>
    <n v="15"/>
    <n v="0"/>
    <n v="12"/>
    <s v="Sobre hierba"/>
    <s v="Bosque Secundario"/>
    <m/>
    <x v="19"/>
    <m/>
    <n v="1"/>
    <m/>
    <m/>
    <s v="Ninguna"/>
    <m/>
    <m/>
    <m/>
    <m/>
    <m/>
    <m/>
    <m/>
    <m/>
    <m/>
    <m/>
    <m/>
    <m/>
    <m/>
    <m/>
    <m/>
    <m/>
    <m/>
  </r>
  <r>
    <x v="2"/>
    <x v="1"/>
    <x v="18"/>
    <s v="FCTET14"/>
    <x v="4"/>
    <d v="2019-10-17T00:00:00"/>
    <d v="1899-12-30T22:21:45"/>
    <n v="-76.718551666666599"/>
    <n v="3.4868549999999998"/>
    <n v="4"/>
    <s v="Derecho"/>
    <m/>
    <n v="1813"/>
    <b v="1"/>
    <b v="0"/>
    <n v="8"/>
    <n v="0"/>
    <n v="6"/>
    <m/>
    <s v="Arbustal"/>
    <s v="Punto inicial"/>
    <x v="0"/>
    <m/>
    <n v="0"/>
    <m/>
    <m/>
    <s v="Ganadería"/>
    <m/>
    <s v="pastizal. pisoteo."/>
    <m/>
    <m/>
    <m/>
    <m/>
    <m/>
    <m/>
    <m/>
    <m/>
    <m/>
    <m/>
    <m/>
    <m/>
    <m/>
    <m/>
    <m/>
  </r>
  <r>
    <x v="2"/>
    <x v="1"/>
    <x v="18"/>
    <s v="FCTET12"/>
    <x v="2"/>
    <d v="2019-10-17T00:00:00"/>
    <d v="1899-12-30T20:24:31"/>
    <n v="-76.7183316666667"/>
    <n v="3.4851083333333301"/>
    <n v="4"/>
    <s v="Derecho"/>
    <m/>
    <n v="1936"/>
    <b v="1"/>
    <b v="1"/>
    <n v="25"/>
    <n v="1.5"/>
    <n v="10"/>
    <m/>
    <s v="Bosque Secundario"/>
    <s v="Punto inicial"/>
    <x v="0"/>
    <m/>
    <n v="0"/>
    <m/>
    <m/>
    <s v="Ganadería"/>
    <m/>
    <m/>
    <m/>
    <m/>
    <m/>
    <m/>
    <m/>
    <m/>
    <m/>
    <m/>
    <m/>
    <m/>
    <m/>
    <m/>
    <m/>
    <m/>
    <m/>
  </r>
  <r>
    <x v="2"/>
    <x v="1"/>
    <x v="18"/>
    <s v="FCTET11"/>
    <x v="1"/>
    <d v="2019-10-17T00:00:00"/>
    <d v="1899-12-30T21:21:18"/>
    <n v="-76.718874999999997"/>
    <n v="3.484915"/>
    <n v="4"/>
    <s v="Derecho"/>
    <s v="Gustavo Gonzales"/>
    <n v="1943"/>
    <b v="1"/>
    <b v="1"/>
    <n v="18"/>
    <n v="2"/>
    <n v="10"/>
    <s v="hierbas"/>
    <s v="Bosque Secundario"/>
    <m/>
    <x v="3"/>
    <m/>
    <n v="2"/>
    <m/>
    <m/>
    <s v="Ninguna"/>
    <m/>
    <m/>
    <m/>
    <m/>
    <m/>
    <m/>
    <m/>
    <m/>
    <m/>
    <m/>
    <m/>
    <m/>
    <m/>
    <m/>
    <m/>
    <m/>
    <m/>
  </r>
  <r>
    <x v="2"/>
    <x v="1"/>
    <x v="18"/>
    <s v="FCTET14"/>
    <x v="4"/>
    <d v="2019-10-17T00:00:00"/>
    <d v="1899-12-30T22:28:13"/>
    <n v="-76.718819999999994"/>
    <n v="3.487215"/>
    <n v="4"/>
    <s v="Derecho"/>
    <m/>
    <n v="1918"/>
    <b v="1"/>
    <b v="0"/>
    <n v="4"/>
    <n v="0"/>
    <n v="15"/>
    <m/>
    <s v="Arbustal"/>
    <s v="llanta"/>
    <x v="0"/>
    <m/>
    <n v="0"/>
    <m/>
    <m/>
    <s v="Resíduos solidos"/>
    <m/>
    <m/>
    <m/>
    <m/>
    <m/>
    <m/>
    <m/>
    <m/>
    <m/>
    <m/>
    <m/>
    <m/>
    <m/>
    <m/>
    <m/>
    <m/>
    <m/>
  </r>
  <r>
    <x v="2"/>
    <x v="1"/>
    <x v="18"/>
    <s v="FCTET13"/>
    <x v="3"/>
    <d v="2019-10-17T00:00:00"/>
    <d v="1899-12-30T22:14:02"/>
    <n v="-76.7182733333333"/>
    <n v="3.4862166666666701"/>
    <n v="4"/>
    <s v="Derecho"/>
    <m/>
    <n v="1920"/>
    <b v="1"/>
    <b v="0"/>
    <n v="4"/>
    <n v="0"/>
    <n v="7"/>
    <m/>
    <s v="Arbustal"/>
    <s v="punto final"/>
    <x v="0"/>
    <m/>
    <n v="0"/>
    <m/>
    <m/>
    <s v="Ganadería"/>
    <m/>
    <s v="pastizal"/>
    <m/>
    <m/>
    <m/>
    <m/>
    <m/>
    <m/>
    <m/>
    <m/>
    <m/>
    <m/>
    <m/>
    <m/>
    <m/>
    <m/>
    <m/>
  </r>
  <r>
    <x v="2"/>
    <x v="1"/>
    <x v="18"/>
    <s v="FCTET11"/>
    <x v="1"/>
    <d v="2019-10-17T00:00:00"/>
    <d v="1899-12-30T20:47:35"/>
    <n v="-76.718638333333303"/>
    <n v="3.48519333333333"/>
    <n v="4"/>
    <s v="Derecho"/>
    <s v="Gustavo Gonzales"/>
    <n v="1940"/>
    <b v="1"/>
    <b v="1"/>
    <n v="12"/>
    <n v="1.5"/>
    <n v="12"/>
    <s v="arbusto"/>
    <s v="Bosque Ripario"/>
    <s v="con postura"/>
    <x v="7"/>
    <m/>
    <n v="1"/>
    <m/>
    <m/>
    <s v="Ninguna"/>
    <m/>
    <m/>
    <m/>
    <m/>
    <m/>
    <m/>
    <m/>
    <m/>
    <m/>
    <m/>
    <m/>
    <m/>
    <m/>
    <m/>
    <m/>
    <m/>
    <m/>
  </r>
  <r>
    <x v="2"/>
    <x v="1"/>
    <x v="18"/>
    <s v="FCTET13"/>
    <x v="3"/>
    <d v="2019-10-17T00:00:00"/>
    <d v="1899-12-30T22:01:05"/>
    <n v="-76.717631666666705"/>
    <n v="3.4859049999999998"/>
    <n v="4"/>
    <s v="Derecho"/>
    <m/>
    <n v="1924"/>
    <b v="1"/>
    <b v="0"/>
    <n v="8"/>
    <n v="0"/>
    <n v="10"/>
    <m/>
    <s v="Arbustal"/>
    <s v="punto inicial"/>
    <x v="0"/>
    <m/>
    <n v="0"/>
    <m/>
    <m/>
    <s v="Ganadería"/>
    <m/>
    <m/>
    <m/>
    <m/>
    <m/>
    <m/>
    <m/>
    <m/>
    <m/>
    <m/>
    <m/>
    <m/>
    <m/>
    <m/>
    <m/>
    <m/>
    <m/>
  </r>
  <r>
    <x v="2"/>
    <x v="1"/>
    <x v="18"/>
    <s v="FCTET13"/>
    <x v="3"/>
    <d v="2019-10-17T00:00:00"/>
    <d v="1899-12-30T19:03:15"/>
    <n v="-76.7176166666667"/>
    <n v="3.4859133333333299"/>
    <n v="4"/>
    <m/>
    <m/>
    <n v="1924"/>
    <b v="1"/>
    <b v="0"/>
    <n v="8"/>
    <n v="0"/>
    <n v="10"/>
    <m/>
    <s v="Arbustal"/>
    <s v="Punto de inicio"/>
    <x v="0"/>
    <m/>
    <n v="0"/>
    <m/>
    <m/>
    <s v="Ninguna"/>
    <m/>
    <m/>
    <m/>
    <m/>
    <m/>
    <m/>
    <m/>
    <m/>
    <m/>
    <m/>
    <m/>
    <m/>
    <m/>
    <m/>
    <m/>
    <m/>
    <m/>
  </r>
  <r>
    <x v="2"/>
    <x v="1"/>
    <x v="18"/>
    <s v="FCTET14"/>
    <x v="4"/>
    <d v="2019-10-17T00:00:00"/>
    <d v="1899-12-30T22:32:47"/>
    <n v="-76.719004999999996"/>
    <n v="3.4875766666666701"/>
    <n v="4"/>
    <s v="Derecho"/>
    <m/>
    <n v="1920"/>
    <b v="1"/>
    <b v="0"/>
    <n v="5"/>
    <n v="0"/>
    <n v="15"/>
    <m/>
    <s v="Arbustal"/>
    <s v="punto final"/>
    <x v="0"/>
    <m/>
    <n v="0"/>
    <m/>
    <m/>
    <s v="Ganadería"/>
    <m/>
    <s v="pastizal"/>
    <m/>
    <m/>
    <m/>
    <m/>
    <m/>
    <m/>
    <m/>
    <m/>
    <m/>
    <m/>
    <m/>
    <m/>
    <m/>
    <m/>
    <m/>
  </r>
  <r>
    <x v="2"/>
    <x v="1"/>
    <x v="7"/>
    <s v="FCTBT17"/>
    <x v="2"/>
    <d v="2019-10-18T00:00:00"/>
    <d v="1899-12-30T12:38:51"/>
    <n v="-76.715226666666695"/>
    <n v="3.487015"/>
    <n v="4"/>
    <s v="Derecho"/>
    <m/>
    <n v="1871"/>
    <b v="1"/>
    <b v="1"/>
    <n v="4"/>
    <n v="1"/>
    <n v="15"/>
    <m/>
    <s v="Bosque Ripario"/>
    <s v="potrero"/>
    <x v="0"/>
    <m/>
    <n v="0"/>
    <m/>
    <m/>
    <s v="Otra"/>
    <m/>
    <s v="Potrero"/>
    <m/>
    <m/>
    <m/>
    <m/>
    <m/>
    <m/>
    <m/>
    <m/>
    <m/>
    <m/>
    <m/>
    <m/>
    <m/>
    <m/>
    <m/>
  </r>
  <r>
    <x v="2"/>
    <x v="1"/>
    <x v="7"/>
    <s v="FCTBT17"/>
    <x v="2"/>
    <d v="2019-10-18T00:00:00"/>
    <d v="1899-12-30T12:25:34"/>
    <n v="-76.714896666666704"/>
    <n v="3.4871699999999999"/>
    <n v="4"/>
    <s v="Izquierdo"/>
    <m/>
    <n v="1857"/>
    <b v="1"/>
    <b v="1"/>
    <n v="12"/>
    <n v="1"/>
    <n v="10"/>
    <m/>
    <s v="Bosque Ripario"/>
    <s v="Plástico"/>
    <x v="0"/>
    <m/>
    <n v="0"/>
    <m/>
    <m/>
    <s v="Resíduos solidos"/>
    <m/>
    <m/>
    <m/>
    <m/>
    <m/>
    <m/>
    <m/>
    <m/>
    <m/>
    <m/>
    <m/>
    <m/>
    <m/>
    <m/>
    <m/>
    <m/>
    <m/>
  </r>
  <r>
    <x v="2"/>
    <x v="1"/>
    <x v="7"/>
    <s v="FCTBT17"/>
    <x v="2"/>
    <d v="2019-10-18T00:00:00"/>
    <d v="1899-12-30T12:25:34"/>
    <n v="-76.714896666666704"/>
    <n v="3.4871699999999999"/>
    <n v="4"/>
    <s v="Derecho"/>
    <m/>
    <n v="1875"/>
    <b v="1"/>
    <b v="1"/>
    <n v="12"/>
    <n v="1"/>
    <n v="10"/>
    <m/>
    <s v="Bosque Ripario"/>
    <s v="Plástico a ambos lados de la quebrada"/>
    <x v="0"/>
    <m/>
    <n v="0"/>
    <m/>
    <m/>
    <s v="Resíduos solidos"/>
    <m/>
    <s v="Plástico"/>
    <m/>
    <m/>
    <m/>
    <m/>
    <m/>
    <m/>
    <m/>
    <m/>
    <m/>
    <m/>
    <m/>
    <m/>
    <m/>
    <m/>
    <m/>
  </r>
  <r>
    <x v="2"/>
    <x v="1"/>
    <x v="7"/>
    <s v="FCTBT16"/>
    <x v="1"/>
    <d v="2019-10-18T00:00:00"/>
    <d v="1899-12-30T12:03:43"/>
    <n v="-76.714598333333299"/>
    <n v="3.48752833333333"/>
    <n v="4"/>
    <s v="Derecho"/>
    <m/>
    <n v="1871"/>
    <b v="1"/>
    <b v="1"/>
    <n v="12"/>
    <n v="1.6"/>
    <n v="10"/>
    <m/>
    <s v="Bosque Ripario"/>
    <s v="fin de transecto 1"/>
    <x v="0"/>
    <m/>
    <n v="0"/>
    <m/>
    <m/>
    <s v="Ninguna"/>
    <m/>
    <m/>
    <m/>
    <m/>
    <m/>
    <m/>
    <m/>
    <m/>
    <m/>
    <m/>
    <m/>
    <m/>
    <m/>
    <m/>
    <m/>
    <m/>
    <m/>
  </r>
  <r>
    <x v="2"/>
    <x v="1"/>
    <x v="7"/>
    <s v="FCTBT15"/>
    <x v="0"/>
    <d v="2019-10-18T00:00:00"/>
    <d v="1899-12-30T11:30:21"/>
    <n v="-76.713941666666699"/>
    <n v="3.4877066666666701"/>
    <n v="4"/>
    <s v="Derecho"/>
    <m/>
    <n v="1857"/>
    <b v="1"/>
    <b v="1"/>
    <m/>
    <m/>
    <m/>
    <m/>
    <s v="Bosque Ripario"/>
    <m/>
    <x v="0"/>
    <m/>
    <n v="0"/>
    <m/>
    <m/>
    <s v="Resíduos solidos"/>
    <m/>
    <m/>
    <m/>
    <m/>
    <m/>
    <m/>
    <m/>
    <m/>
    <m/>
    <m/>
    <m/>
    <m/>
    <m/>
    <m/>
    <m/>
    <m/>
    <m/>
  </r>
  <r>
    <x v="2"/>
    <x v="1"/>
    <x v="7"/>
    <s v="FCTBT16"/>
    <x v="1"/>
    <d v="2019-10-18T00:00:00"/>
    <d v="1899-12-30T21:58:09"/>
    <n v="-76.714813333333296"/>
    <n v="3.4874283333333298"/>
    <n v="4"/>
    <s v="Izquierdo"/>
    <s v="Gustavo Rodriguez"/>
    <n v="1854"/>
    <b v="1"/>
    <b v="1"/>
    <n v="7"/>
    <n v="1.7"/>
    <n v="10"/>
    <s v="hierbas"/>
    <s v="Bosque Ripario"/>
    <m/>
    <x v="3"/>
    <m/>
    <n v="1"/>
    <m/>
    <m/>
    <s v="Ninguna"/>
    <m/>
    <m/>
    <m/>
    <m/>
    <m/>
    <m/>
    <m/>
    <m/>
    <m/>
    <m/>
    <m/>
    <m/>
    <m/>
    <m/>
    <m/>
    <m/>
    <m/>
  </r>
  <r>
    <x v="2"/>
    <x v="1"/>
    <x v="7"/>
    <s v="FCTBT16"/>
    <x v="1"/>
    <d v="2019-10-18T00:00:00"/>
    <d v="1899-12-30T21:58:09"/>
    <n v="-76.714813333333296"/>
    <n v="3.4874283333333298"/>
    <n v="4"/>
    <m/>
    <m/>
    <n v="1854"/>
    <b v="1"/>
    <b v="1"/>
    <n v="7"/>
    <n v="1.7"/>
    <n v="13"/>
    <m/>
    <s v="Bosque Ripario"/>
    <s v="punto inicial"/>
    <x v="0"/>
    <m/>
    <n v="0"/>
    <m/>
    <m/>
    <s v="Ninguna"/>
    <m/>
    <m/>
    <m/>
    <m/>
    <m/>
    <m/>
    <m/>
    <m/>
    <m/>
    <m/>
    <m/>
    <m/>
    <m/>
    <m/>
    <m/>
    <m/>
    <m/>
  </r>
  <r>
    <x v="2"/>
    <x v="1"/>
    <x v="7"/>
    <s v="FCTBT16"/>
    <x v="1"/>
    <d v="2019-10-18T00:00:00"/>
    <d v="1899-12-30T20:57:11"/>
    <n v="-76.714053333333297"/>
    <n v="3.48769666666667"/>
    <n v="4"/>
    <s v="Derecho"/>
    <m/>
    <n v="1861"/>
    <b v="1"/>
    <b v="1"/>
    <n v="5"/>
    <n v="2"/>
    <n v="12"/>
    <m/>
    <s v="Bosque Ripario"/>
    <m/>
    <x v="0"/>
    <m/>
    <n v="0"/>
    <m/>
    <m/>
    <s v="Resíduos solidos"/>
    <m/>
    <m/>
    <m/>
    <m/>
    <m/>
    <m/>
    <m/>
    <m/>
    <m/>
    <m/>
    <m/>
    <m/>
    <m/>
    <m/>
    <m/>
    <m/>
    <m/>
  </r>
  <r>
    <x v="2"/>
    <x v="1"/>
    <x v="7"/>
    <s v="FCTBT17"/>
    <x v="2"/>
    <d v="2019-10-18T00:00:00"/>
    <d v="1899-12-30T12:33:27"/>
    <n v="-76.714873333333301"/>
    <n v="3.4870633333333299"/>
    <n v="4"/>
    <s v="Derecho"/>
    <m/>
    <n v="1865"/>
    <b v="1"/>
    <b v="1"/>
    <n v="12"/>
    <n v="1.2"/>
    <n v="8"/>
    <m/>
    <s v="Bosque Ripario"/>
    <s v="Alambre de púas y calambre dulce"/>
    <x v="0"/>
    <m/>
    <n v="0"/>
    <m/>
    <m/>
    <s v="Resíduos solidos"/>
    <m/>
    <m/>
    <m/>
    <m/>
    <m/>
    <m/>
    <m/>
    <m/>
    <m/>
    <m/>
    <m/>
    <m/>
    <m/>
    <m/>
    <m/>
    <m/>
    <m/>
  </r>
  <r>
    <x v="2"/>
    <x v="1"/>
    <x v="7"/>
    <s v="FCTBT17"/>
    <x v="2"/>
    <d v="2019-10-18T00:00:00"/>
    <d v="1899-12-30T22:38:41"/>
    <n v="-76.715171666666706"/>
    <n v="3.4865699999999999"/>
    <n v="4"/>
    <s v="Izquierdo"/>
    <m/>
    <n v="1866"/>
    <b v="1"/>
    <b v="1"/>
    <n v="12"/>
    <n v="1.5"/>
    <n v="12"/>
    <m/>
    <s v="Bosque Ripario"/>
    <s v="punto final"/>
    <x v="0"/>
    <m/>
    <n v="0"/>
    <m/>
    <m/>
    <s v="Ninguna"/>
    <m/>
    <m/>
    <m/>
    <m/>
    <m/>
    <m/>
    <m/>
    <m/>
    <m/>
    <m/>
    <m/>
    <m/>
    <m/>
    <m/>
    <m/>
    <m/>
    <m/>
  </r>
  <r>
    <x v="2"/>
    <x v="1"/>
    <x v="7"/>
    <s v="FCTBT17"/>
    <x v="2"/>
    <d v="2019-10-18T00:00:00"/>
    <d v="1899-12-30T22:09:09"/>
    <n v="-76.7148866666667"/>
    <n v="3.4872049999999999"/>
    <n v="4"/>
    <s v="Izquierdo"/>
    <s v="Gustavo Gonzales"/>
    <n v="1855"/>
    <b v="1"/>
    <b v="1"/>
    <n v="5"/>
    <n v="1.5"/>
    <n v="15"/>
    <s v="hierbas"/>
    <s v="Bosque Ripario"/>
    <m/>
    <x v="5"/>
    <m/>
    <n v="1"/>
    <m/>
    <m/>
    <s v="Ninguna"/>
    <m/>
    <m/>
    <m/>
    <m/>
    <m/>
    <m/>
    <m/>
    <m/>
    <m/>
    <m/>
    <m/>
    <m/>
    <m/>
    <m/>
    <m/>
    <m/>
    <m/>
  </r>
  <r>
    <x v="2"/>
    <x v="1"/>
    <x v="7"/>
    <s v="FCTBT16"/>
    <x v="1"/>
    <d v="2019-10-18T00:00:00"/>
    <d v="1899-12-30T21:08:57"/>
    <n v="-76.714224999999999"/>
    <n v="3.4877449999999999"/>
    <n v="4"/>
    <s v="Izquierdo"/>
    <m/>
    <n v="1861"/>
    <b v="1"/>
    <b v="1"/>
    <n v="10"/>
    <n v="1.7"/>
    <n v="10"/>
    <m/>
    <s v="Bosque Ripario"/>
    <s v="plástico"/>
    <x v="0"/>
    <m/>
    <n v="0"/>
    <m/>
    <m/>
    <s v="Resíduos solidos"/>
    <m/>
    <m/>
    <m/>
    <m/>
    <m/>
    <m/>
    <m/>
    <m/>
    <m/>
    <m/>
    <m/>
    <m/>
    <m/>
    <m/>
    <m/>
    <m/>
    <m/>
  </r>
  <r>
    <x v="2"/>
    <x v="1"/>
    <x v="7"/>
    <s v="FCTBT16"/>
    <x v="1"/>
    <d v="2019-10-18T00:00:00"/>
    <d v="1899-12-30T21:48:31"/>
    <n v="-76.714685000000003"/>
    <n v="3.4873766666666701"/>
    <n v="4"/>
    <m/>
    <m/>
    <n v="1855"/>
    <b v="1"/>
    <b v="1"/>
    <n v="10"/>
    <n v="1.5"/>
    <n v="15"/>
    <m/>
    <s v="Bosque Ripario"/>
    <s v="punto final"/>
    <x v="0"/>
    <m/>
    <n v="0"/>
    <m/>
    <m/>
    <s v="Ninguna"/>
    <m/>
    <m/>
    <m/>
    <m/>
    <m/>
    <m/>
    <m/>
    <m/>
    <m/>
    <m/>
    <m/>
    <m/>
    <m/>
    <m/>
    <m/>
    <m/>
    <m/>
  </r>
  <r>
    <x v="2"/>
    <x v="1"/>
    <x v="7"/>
    <s v="FCTBT17"/>
    <x v="2"/>
    <d v="2019-10-18T00:00:00"/>
    <d v="1899-12-30T22:16:51"/>
    <n v="-76.714830000000006"/>
    <n v="3.48718833333333"/>
    <n v="4"/>
    <s v="Izquierdo"/>
    <m/>
    <n v="1844"/>
    <b v="1"/>
    <b v="1"/>
    <n v="7"/>
    <n v="1.5"/>
    <n v="12"/>
    <m/>
    <s v="Bosque Ripario"/>
    <m/>
    <x v="0"/>
    <m/>
    <n v="0"/>
    <m/>
    <m/>
    <s v="Resíduos solidos"/>
    <m/>
    <s v="Plástico"/>
    <m/>
    <m/>
    <m/>
    <m/>
    <m/>
    <m/>
    <m/>
    <m/>
    <m/>
    <m/>
    <m/>
    <m/>
    <m/>
    <m/>
    <m/>
  </r>
  <r>
    <x v="2"/>
    <x v="1"/>
    <x v="7"/>
    <s v="FCTBT17"/>
    <x v="2"/>
    <d v="2019-10-18T00:00:00"/>
    <d v="1899-12-30T22:16:51"/>
    <n v="-76.714830000000006"/>
    <n v="3.48718833333333"/>
    <n v="4"/>
    <s v="Derecho"/>
    <m/>
    <n v="1844"/>
    <b v="1"/>
    <b v="1"/>
    <n v="7"/>
    <n v="1.5"/>
    <n v="12"/>
    <m/>
    <s v="Bosque Ripario"/>
    <m/>
    <x v="0"/>
    <m/>
    <n v="0"/>
    <m/>
    <m/>
    <s v="Resíduos solidos"/>
    <m/>
    <m/>
    <m/>
    <m/>
    <m/>
    <m/>
    <m/>
    <m/>
    <m/>
    <m/>
    <m/>
    <m/>
    <m/>
    <m/>
    <m/>
    <m/>
    <m/>
  </r>
  <r>
    <x v="2"/>
    <x v="1"/>
    <x v="7"/>
    <s v="FCTBT15"/>
    <x v="0"/>
    <d v="2019-10-18T00:00:00"/>
    <d v="1899-12-30T11:38:54"/>
    <n v="-76.713933333333301"/>
    <n v="3.48770333333333"/>
    <n v="4"/>
    <s v="Izquierdo"/>
    <m/>
    <n v="1850"/>
    <b v="1"/>
    <b v="1"/>
    <n v="12"/>
    <n v="1.5"/>
    <n v="12"/>
    <m/>
    <s v="Bosque Ripario"/>
    <s v="Alambre de púas"/>
    <x v="0"/>
    <m/>
    <n v="0"/>
    <m/>
    <m/>
    <s v="Resíduos solidos"/>
    <m/>
    <s v="Plástico dentro de la quebrara, lado izquierdo aguas arriba"/>
    <m/>
    <m/>
    <m/>
    <m/>
    <m/>
    <m/>
    <m/>
    <m/>
    <m/>
    <m/>
    <m/>
    <m/>
    <m/>
    <m/>
    <m/>
  </r>
  <r>
    <x v="2"/>
    <x v="1"/>
    <x v="7"/>
    <s v="FCTBT16"/>
    <x v="1"/>
    <d v="2019-10-18T00:00:00"/>
    <d v="1899-12-30T21:45:55"/>
    <n v="-76.714693333333301"/>
    <n v="3.4874016666666701"/>
    <n v="4"/>
    <s v="Izquierdo"/>
    <s v="Gustavo Gonzales"/>
    <n v="1855"/>
    <b v="1"/>
    <b v="1"/>
    <n v="8"/>
    <n v="1.5"/>
    <n v="15"/>
    <m/>
    <s v="Bosque Ripario"/>
    <s v="Auditivo"/>
    <x v="7"/>
    <m/>
    <n v="8"/>
    <m/>
    <m/>
    <s v="Ninguna"/>
    <m/>
    <m/>
    <m/>
    <m/>
    <m/>
    <m/>
    <m/>
    <m/>
    <m/>
    <m/>
    <m/>
    <m/>
    <m/>
    <m/>
    <m/>
    <m/>
    <m/>
  </r>
  <r>
    <x v="2"/>
    <x v="1"/>
    <x v="7"/>
    <s v="FCTBT17"/>
    <x v="2"/>
    <d v="2019-10-18T00:00:00"/>
    <d v="1899-12-30T22:28:14"/>
    <n v="-76.715121666666704"/>
    <n v="3.4870666666666699"/>
    <n v="4"/>
    <s v="Izquierdo"/>
    <s v="Gustavo Rodriguez"/>
    <n v="1871"/>
    <b v="1"/>
    <b v="0"/>
    <n v="6"/>
    <n v="0"/>
    <n v="15"/>
    <s v="arbusto"/>
    <s v="Bosque Secundario"/>
    <m/>
    <x v="18"/>
    <m/>
    <n v="1"/>
    <m/>
    <m/>
    <s v="Ninguna"/>
    <m/>
    <s v="pastizal"/>
    <m/>
    <m/>
    <m/>
    <m/>
    <m/>
    <m/>
    <m/>
    <m/>
    <m/>
    <m/>
    <m/>
    <m/>
    <m/>
    <m/>
    <m/>
  </r>
  <r>
    <x v="2"/>
    <x v="1"/>
    <x v="7"/>
    <s v="FCTBT17"/>
    <x v="2"/>
    <d v="2019-10-18T00:00:00"/>
    <d v="1899-12-30T12:47:04"/>
    <n v="-76.715035"/>
    <n v="3.4866199999999998"/>
    <n v="4"/>
    <s v="Derecho"/>
    <m/>
    <n v="1875"/>
    <b v="1"/>
    <b v="1"/>
    <n v="10"/>
    <n v="1.1000000000000001"/>
    <n v="8"/>
    <m/>
    <s v="Bosque Ripario"/>
    <s v="Fin del transecto"/>
    <x v="0"/>
    <m/>
    <n v="0"/>
    <m/>
    <m/>
    <s v="Ninguna"/>
    <m/>
    <m/>
    <m/>
    <m/>
    <m/>
    <m/>
    <m/>
    <m/>
    <m/>
    <m/>
    <m/>
    <m/>
    <m/>
    <m/>
    <m/>
    <m/>
    <m/>
  </r>
  <r>
    <x v="2"/>
    <x v="1"/>
    <x v="7"/>
    <s v="FCTBT16"/>
    <x v="1"/>
    <d v="2019-10-18T00:00:00"/>
    <d v="1899-12-30T21:01:08"/>
    <n v="-76.714148333333299"/>
    <n v="3.4876983333333298"/>
    <n v="4"/>
    <s v="Izquierdo"/>
    <m/>
    <n v="1861"/>
    <b v="1"/>
    <b v="1"/>
    <n v="12"/>
    <n v="1.25"/>
    <n v="10"/>
    <m/>
    <s v="Bosque Ripario"/>
    <s v="plástico"/>
    <x v="0"/>
    <m/>
    <n v="0"/>
    <m/>
    <m/>
    <s v="Resíduos solidos"/>
    <m/>
    <m/>
    <m/>
    <m/>
    <m/>
    <m/>
    <m/>
    <m/>
    <m/>
    <m/>
    <m/>
    <m/>
    <m/>
    <m/>
    <m/>
    <m/>
    <m/>
  </r>
  <r>
    <x v="2"/>
    <x v="1"/>
    <x v="7"/>
    <s v="FCTBT15"/>
    <x v="0"/>
    <d v="2019-10-18T00:00:00"/>
    <d v="1899-12-30T21:07:14"/>
    <n v="-76.714011666666707"/>
    <n v="3.4878216666666702"/>
    <n v="4"/>
    <s v="Derecho"/>
    <s v="Álvaro Javier Fierro"/>
    <n v="1861"/>
    <b v="1"/>
    <b v="1"/>
    <n v="10"/>
    <n v="1.7"/>
    <n v="10"/>
    <m/>
    <s v="Bosque Ripario"/>
    <m/>
    <x v="32"/>
    <m/>
    <n v="1"/>
    <m/>
    <m/>
    <s v="Ninguna"/>
    <m/>
    <m/>
    <m/>
    <m/>
    <m/>
    <m/>
    <m/>
    <m/>
    <m/>
    <m/>
    <m/>
    <m/>
    <m/>
    <m/>
    <m/>
    <m/>
    <m/>
  </r>
  <r>
    <x v="2"/>
    <x v="1"/>
    <x v="7"/>
    <s v="FCTBT16"/>
    <x v="1"/>
    <d v="2019-10-18T00:00:00"/>
    <d v="1899-12-30T12:11:26"/>
    <n v="-76.71463"/>
    <n v="3.4873783333333299"/>
    <n v="4"/>
    <s v="Izquierdo"/>
    <m/>
    <n v="1865"/>
    <b v="1"/>
    <b v="1"/>
    <n v="15"/>
    <n v="1"/>
    <n v="12"/>
    <m/>
    <s v="Bosque Ripario"/>
    <m/>
    <x v="0"/>
    <m/>
    <n v="0"/>
    <m/>
    <m/>
    <s v="Ninguna"/>
    <m/>
    <s v="Transecto 2"/>
    <m/>
    <m/>
    <m/>
    <m/>
    <m/>
    <m/>
    <m/>
    <m/>
    <m/>
    <m/>
    <m/>
    <m/>
    <m/>
    <m/>
    <m/>
  </r>
  <r>
    <x v="2"/>
    <x v="1"/>
    <x v="7"/>
    <s v="FCTBT15"/>
    <x v="0"/>
    <d v="2019-10-18T00:00:00"/>
    <d v="1899-12-30T20:47:37"/>
    <n v="-76.713881666666694"/>
    <n v="3.48786166666667"/>
    <n v="4"/>
    <m/>
    <m/>
    <n v="1860"/>
    <b v="1"/>
    <b v="1"/>
    <n v="7"/>
    <n v="1.7"/>
    <n v="10"/>
    <m/>
    <s v="Bosque Ripario"/>
    <s v="punto inicial"/>
    <x v="0"/>
    <m/>
    <n v="0"/>
    <m/>
    <m/>
    <s v="Ninguna"/>
    <m/>
    <m/>
    <m/>
    <m/>
    <m/>
    <m/>
    <m/>
    <m/>
    <m/>
    <m/>
    <m/>
    <m/>
    <m/>
    <m/>
    <m/>
    <m/>
    <m/>
  </r>
  <r>
    <x v="2"/>
    <x v="1"/>
    <x v="6"/>
    <s v="FCTAT4"/>
    <x v="3"/>
    <d v="2019-10-19T00:00:00"/>
    <d v="1899-12-30T22:25:05"/>
    <n v="-76.723174999999998"/>
    <n v="3.47983333333333"/>
    <n v="4"/>
    <s v="Derecho"/>
    <s v="Gustavo Gonzales"/>
    <n v="2100"/>
    <b v="1"/>
    <b v="0"/>
    <n v="25"/>
    <m/>
    <n v="10"/>
    <s v="herbácea"/>
    <s v="Bosque Primario"/>
    <m/>
    <x v="5"/>
    <m/>
    <n v="1"/>
    <m/>
    <m/>
    <s v="Ninguna"/>
    <m/>
    <m/>
    <m/>
    <m/>
    <m/>
    <m/>
    <m/>
    <m/>
    <m/>
    <m/>
    <m/>
    <m/>
    <m/>
    <m/>
    <m/>
    <m/>
    <m/>
  </r>
  <r>
    <x v="2"/>
    <x v="1"/>
    <x v="6"/>
    <s v="FCTAT5"/>
    <x v="4"/>
    <d v="2019-10-19T00:00:00"/>
    <d v="1899-12-30T22:31:57"/>
    <n v="-76.723216666666701"/>
    <n v="3.4802483333333298"/>
    <n v="4"/>
    <s v="Derecho"/>
    <s v="Gustavo Gonzales"/>
    <n v="2091"/>
    <b v="1"/>
    <b v="0"/>
    <n v="20"/>
    <m/>
    <n v="10"/>
    <s v="hierbas"/>
    <s v="Bosque Primario"/>
    <m/>
    <x v="32"/>
    <m/>
    <n v="1"/>
    <m/>
    <m/>
    <s v="Ninguna"/>
    <m/>
    <m/>
    <m/>
    <m/>
    <m/>
    <m/>
    <m/>
    <m/>
    <m/>
    <m/>
    <m/>
    <m/>
    <m/>
    <m/>
    <m/>
    <m/>
    <m/>
  </r>
  <r>
    <x v="2"/>
    <x v="1"/>
    <x v="6"/>
    <s v="FCTAT1"/>
    <x v="0"/>
    <d v="2019-10-19T00:00:00"/>
    <d v="1899-12-30T18:40:14"/>
    <n v="-76.722223333333403"/>
    <n v="3.4767450000000002"/>
    <n v="4"/>
    <m/>
    <m/>
    <n v="1857"/>
    <b v="1"/>
    <b v="0"/>
    <n v="22"/>
    <n v="0"/>
    <n v="15"/>
    <m/>
    <s v="Bosque Primario"/>
    <m/>
    <x v="0"/>
    <m/>
    <n v="0"/>
    <m/>
    <m/>
    <s v="Ninguna"/>
    <m/>
    <m/>
    <m/>
    <m/>
    <m/>
    <m/>
    <m/>
    <m/>
    <m/>
    <m/>
    <m/>
    <m/>
    <m/>
    <m/>
    <m/>
    <m/>
    <m/>
  </r>
  <r>
    <x v="2"/>
    <x v="1"/>
    <x v="6"/>
    <s v="FCTAT1"/>
    <x v="0"/>
    <d v="2019-10-19T00:00:00"/>
    <d v="1899-12-30T18:40:14"/>
    <n v="-76.722223333333403"/>
    <n v="3.4767450000000002"/>
    <n v="4"/>
    <s v="Izquierdo"/>
    <s v="Gustavo Gonzales"/>
    <n v="1957"/>
    <b v="1"/>
    <b v="0"/>
    <n v="22"/>
    <n v="0"/>
    <n v="12"/>
    <s v="arbustos"/>
    <s v="Bosque Primario"/>
    <m/>
    <x v="5"/>
    <m/>
    <n v="2"/>
    <m/>
    <m/>
    <s v="Ninguna"/>
    <m/>
    <m/>
    <m/>
    <m/>
    <m/>
    <m/>
    <m/>
    <m/>
    <m/>
    <m/>
    <m/>
    <m/>
    <m/>
    <m/>
    <m/>
    <m/>
    <m/>
  </r>
  <r>
    <x v="2"/>
    <x v="1"/>
    <x v="6"/>
    <s v="FCTAT2"/>
    <x v="1"/>
    <d v="2019-10-19T00:00:00"/>
    <d v="1899-12-30T20:33:15"/>
    <n v="-76.722624999999994"/>
    <n v="3.4776566666666699"/>
    <n v="4"/>
    <s v="Izquierdo"/>
    <s v="Álvaro Javier Fierro"/>
    <n v="2100"/>
    <b v="1"/>
    <b v="0"/>
    <n v="20"/>
    <n v="0"/>
    <n v="15"/>
    <s v="arbustos"/>
    <s v="Bosque Primario"/>
    <m/>
    <x v="6"/>
    <m/>
    <n v="1"/>
    <m/>
    <m/>
    <s v="Ninguna"/>
    <m/>
    <m/>
    <m/>
    <m/>
    <m/>
    <m/>
    <m/>
    <m/>
    <m/>
    <m/>
    <m/>
    <m/>
    <m/>
    <m/>
    <m/>
    <m/>
    <m/>
  </r>
  <r>
    <x v="2"/>
    <x v="1"/>
    <x v="6"/>
    <s v="FCTAT2"/>
    <x v="1"/>
    <d v="2019-10-19T00:00:00"/>
    <d v="1899-12-30T20:33:15"/>
    <n v="-76.722624999999994"/>
    <n v="3.4776566666666699"/>
    <n v="4"/>
    <s v="Izquierdo"/>
    <s v="Álvaro Javier Fierro"/>
    <n v="2100"/>
    <b v="1"/>
    <b v="0"/>
    <n v="22"/>
    <m/>
    <n v="15"/>
    <s v="arbustos"/>
    <s v="Bosque Primario"/>
    <m/>
    <x v="5"/>
    <m/>
    <n v="1"/>
    <m/>
    <m/>
    <s v="Ninguna"/>
    <m/>
    <m/>
    <m/>
    <m/>
    <m/>
    <m/>
    <m/>
    <m/>
    <m/>
    <m/>
    <m/>
    <m/>
    <m/>
    <m/>
    <m/>
    <m/>
    <m/>
  </r>
  <r>
    <x v="2"/>
    <x v="1"/>
    <x v="6"/>
    <s v="FCTAT4"/>
    <x v="3"/>
    <d v="2019-10-19T00:00:00"/>
    <d v="1899-12-30T22:06:17"/>
    <n v="-76.722989999999996"/>
    <n v="3.479355"/>
    <n v="4"/>
    <s v="Derecho"/>
    <s v="Gustavo Rodriguez"/>
    <n v="2100"/>
    <b v="1"/>
    <b v="0"/>
    <n v="25"/>
    <m/>
    <n v="10"/>
    <s v="hierbas"/>
    <s v="Bosque Primario"/>
    <m/>
    <x v="5"/>
    <m/>
    <n v="1"/>
    <m/>
    <m/>
    <s v="Ninguna"/>
    <m/>
    <m/>
    <m/>
    <m/>
    <m/>
    <m/>
    <m/>
    <m/>
    <m/>
    <m/>
    <m/>
    <m/>
    <m/>
    <m/>
    <m/>
    <m/>
    <m/>
  </r>
  <r>
    <x v="2"/>
    <x v="1"/>
    <x v="6"/>
    <s v="FCTAT2"/>
    <x v="1"/>
    <d v="2019-10-19T00:00:00"/>
    <d v="1899-12-30T19:21:36"/>
    <n v="-76.722413333333293"/>
    <n v="3.47718666666667"/>
    <n v="4"/>
    <s v="Derecho"/>
    <s v="Gustavo Rodriguez"/>
    <n v="2140"/>
    <b v="1"/>
    <b v="0"/>
    <n v="22"/>
    <n v="0"/>
    <n v="10"/>
    <s v="hoja arbusto"/>
    <s v="Bosque Primario"/>
    <m/>
    <x v="5"/>
    <m/>
    <n v="1"/>
    <m/>
    <m/>
    <s v="Ninguna"/>
    <m/>
    <m/>
    <m/>
    <m/>
    <m/>
    <m/>
    <m/>
    <m/>
    <m/>
    <m/>
    <m/>
    <m/>
    <m/>
    <m/>
    <m/>
    <m/>
    <m/>
  </r>
  <r>
    <x v="2"/>
    <x v="1"/>
    <x v="6"/>
    <s v="FCTAT2"/>
    <x v="1"/>
    <d v="2019-10-19T00:00:00"/>
    <d v="1899-12-30T20:25:33"/>
    <n v="-76.722521666666694"/>
    <n v="3.4774733333333301"/>
    <n v="4"/>
    <s v="Derecho"/>
    <s v="Dannythza Mona"/>
    <n v="2130"/>
    <b v="1"/>
    <b v="0"/>
    <n v="22"/>
    <n v="0"/>
    <n v="12"/>
    <s v="arbustos"/>
    <s v="Bosque Primario"/>
    <m/>
    <x v="6"/>
    <m/>
    <n v="1"/>
    <m/>
    <m/>
    <s v="Ninguna"/>
    <m/>
    <m/>
    <m/>
    <m/>
    <m/>
    <m/>
    <m/>
    <m/>
    <m/>
    <m/>
    <m/>
    <m/>
    <m/>
    <m/>
    <m/>
    <m/>
    <m/>
  </r>
  <r>
    <x v="2"/>
    <x v="1"/>
    <x v="6"/>
    <s v="FCTAT1"/>
    <x v="0"/>
    <d v="2019-10-19T00:00:00"/>
    <d v="1899-12-30T18:47:33"/>
    <n v="-76.722264999999993"/>
    <n v="3.4767683333333301"/>
    <n v="4"/>
    <s v="Derecho"/>
    <s v="Gustavo Rodriguez"/>
    <n v="2123"/>
    <b v="1"/>
    <b v="0"/>
    <n v="22"/>
    <n v="0"/>
    <n v="12"/>
    <s v="arbusto"/>
    <s v="Bosque Primario"/>
    <m/>
    <x v="6"/>
    <m/>
    <n v="1"/>
    <m/>
    <m/>
    <s v="Ninguna"/>
    <m/>
    <m/>
    <m/>
    <m/>
    <m/>
    <m/>
    <m/>
    <m/>
    <m/>
    <m/>
    <m/>
    <m/>
    <m/>
    <m/>
    <m/>
    <m/>
    <m/>
  </r>
  <r>
    <x v="2"/>
    <x v="1"/>
    <x v="6"/>
    <s v="FCTAT3"/>
    <x v="2"/>
    <d v="2019-10-19T00:00:00"/>
    <d v="1899-12-30T21:44:37"/>
    <n v="-76.722826666666705"/>
    <n v="3.4788916666666698"/>
    <n v="4"/>
    <s v="Izquierdo"/>
    <s v="Gustavo Rodriguez"/>
    <n v="2100"/>
    <b v="1"/>
    <b v="0"/>
    <n v="20"/>
    <m/>
    <n v="10"/>
    <s v="arbustos"/>
    <s v="Bosque Primario"/>
    <m/>
    <x v="6"/>
    <m/>
    <n v="1"/>
    <m/>
    <m/>
    <s v="Ninguna"/>
    <m/>
    <m/>
    <m/>
    <m/>
    <m/>
    <m/>
    <m/>
    <m/>
    <m/>
    <m/>
    <m/>
    <m/>
    <m/>
    <m/>
    <m/>
    <m/>
    <m/>
  </r>
  <r>
    <x v="2"/>
    <x v="1"/>
    <x v="6"/>
    <s v="FCTAT2"/>
    <x v="1"/>
    <d v="2019-10-19T00:00:00"/>
    <d v="1899-12-30T20:49:09"/>
    <n v="-76.722729999999999"/>
    <n v="3.4777999999999998"/>
    <n v="4"/>
    <s v="Izquierdo"/>
    <s v="Guillermo Guerrero"/>
    <n v="1989"/>
    <b v="1"/>
    <b v="0"/>
    <n v="22"/>
    <m/>
    <n v="15"/>
    <s v="arbustos"/>
    <s v="Bosque Primario"/>
    <m/>
    <x v="19"/>
    <m/>
    <n v="1"/>
    <m/>
    <m/>
    <s v="Ninguna"/>
    <m/>
    <m/>
    <m/>
    <m/>
    <m/>
    <m/>
    <m/>
    <m/>
    <m/>
    <m/>
    <m/>
    <m/>
    <m/>
    <m/>
    <m/>
    <m/>
    <m/>
  </r>
  <r>
    <x v="2"/>
    <x v="1"/>
    <x v="6"/>
    <s v="FCTAT2"/>
    <x v="1"/>
    <d v="2019-10-19T00:00:00"/>
    <d v="1899-12-30T20:49:09"/>
    <n v="-76.722729999999999"/>
    <n v="3.4777999999999998"/>
    <n v="4"/>
    <s v="Izquierdo"/>
    <s v="Guillermo Guerrero"/>
    <n v="1989"/>
    <b v="1"/>
    <b v="0"/>
    <n v="22"/>
    <m/>
    <n v="15"/>
    <s v="arbustos"/>
    <s v="Bosque Primario"/>
    <m/>
    <x v="32"/>
    <m/>
    <n v="1"/>
    <m/>
    <m/>
    <s v="Ninguna"/>
    <m/>
    <m/>
    <m/>
    <m/>
    <m/>
    <m/>
    <m/>
    <m/>
    <m/>
    <m/>
    <m/>
    <m/>
    <m/>
    <m/>
    <m/>
    <m/>
    <m/>
  </r>
  <r>
    <x v="2"/>
    <x v="1"/>
    <x v="6"/>
    <s v="FCTAT2"/>
    <x v="1"/>
    <d v="2019-10-19T00:00:00"/>
    <d v="1899-12-30T20:49:09"/>
    <n v="-76.722729999999999"/>
    <n v="3.4777999999999998"/>
    <n v="4"/>
    <s v="Izquierdo"/>
    <s v="Guillermo Guerrero"/>
    <n v="1989"/>
    <b v="1"/>
    <b v="0"/>
    <n v="20"/>
    <m/>
    <n v="15"/>
    <s v="arbustos"/>
    <s v="Bosque Primario"/>
    <m/>
    <x v="5"/>
    <m/>
    <n v="2"/>
    <m/>
    <m/>
    <s v="Ninguna"/>
    <m/>
    <m/>
    <m/>
    <m/>
    <m/>
    <m/>
    <m/>
    <m/>
    <m/>
    <m/>
    <m/>
    <m/>
    <m/>
    <m/>
    <m/>
    <m/>
    <m/>
  </r>
  <r>
    <x v="2"/>
    <x v="1"/>
    <x v="6"/>
    <s v="FCTAT4"/>
    <x v="3"/>
    <d v="2019-10-19T00:00:00"/>
    <d v="1899-12-30T22:10:47"/>
    <n v="-76.723058333333299"/>
    <n v="3.4794366666666701"/>
    <n v="4"/>
    <s v="Derecho"/>
    <s v="Guillermo Guerrero"/>
    <n v="2100"/>
    <b v="1"/>
    <b v="0"/>
    <n v="25"/>
    <n v="0"/>
    <n v="10"/>
    <s v="herbácea"/>
    <s v="Bosque Primario"/>
    <m/>
    <x v="5"/>
    <m/>
    <n v="1"/>
    <m/>
    <m/>
    <s v="Ninguna"/>
    <m/>
    <m/>
    <m/>
    <m/>
    <m/>
    <m/>
    <m/>
    <m/>
    <m/>
    <m/>
    <m/>
    <m/>
    <m/>
    <m/>
    <m/>
    <m/>
    <m/>
  </r>
  <r>
    <x v="2"/>
    <x v="1"/>
    <x v="6"/>
    <s v="FCTAT1"/>
    <x v="0"/>
    <d v="2019-10-19T00:00:00"/>
    <d v="1899-12-30T19:05:01"/>
    <n v="-76.722438333333301"/>
    <n v="3.4769899999999998"/>
    <n v="4"/>
    <s v="Derecho"/>
    <s v="Dannythza Mona"/>
    <n v="2137"/>
    <b v="1"/>
    <b v="0"/>
    <n v="20"/>
    <n v="0"/>
    <n v="8"/>
    <s v="hoja arbusto"/>
    <s v="Bosque Primario"/>
    <m/>
    <x v="6"/>
    <m/>
    <n v="1"/>
    <m/>
    <m/>
    <s v="Ninguna"/>
    <m/>
    <m/>
    <m/>
    <m/>
    <m/>
    <m/>
    <m/>
    <m/>
    <m/>
    <m/>
    <m/>
    <m/>
    <m/>
    <m/>
    <m/>
    <m/>
    <m/>
  </r>
  <r>
    <x v="2"/>
    <x v="1"/>
    <x v="6"/>
    <s v="FCTAT4"/>
    <x v="3"/>
    <d v="2019-10-19T00:00:00"/>
    <d v="1899-12-30T22:17:58"/>
    <n v="-76.723025000000007"/>
    <n v="3.4795516666666702"/>
    <n v="4"/>
    <s v="Izquierdo"/>
    <s v="Gustavo Gonzales"/>
    <n v="2100"/>
    <b v="1"/>
    <b v="0"/>
    <n v="22"/>
    <m/>
    <n v="10"/>
    <s v="bromelias"/>
    <s v="Bosque Primario"/>
    <m/>
    <x v="19"/>
    <m/>
    <n v="1"/>
    <m/>
    <m/>
    <s v="Ninguna"/>
    <m/>
    <m/>
    <m/>
    <m/>
    <m/>
    <m/>
    <m/>
    <m/>
    <m/>
    <m/>
    <m/>
    <m/>
    <m/>
    <m/>
    <m/>
    <m/>
    <m/>
  </r>
  <r>
    <x v="2"/>
    <x v="1"/>
    <x v="6"/>
    <s v="FCTAT3"/>
    <x v="2"/>
    <d v="2019-10-19T00:00:00"/>
    <d v="1899-12-30T21:04:37"/>
    <n v="-76.722781666666705"/>
    <n v="3.4779900000000001"/>
    <n v="4"/>
    <s v="Derecho"/>
    <s v="Gustavo Rodriguez"/>
    <n v="2120"/>
    <b v="1"/>
    <b v="0"/>
    <n v="25"/>
    <m/>
    <n v="17"/>
    <s v="arbustos"/>
    <s v="Bosque Primario"/>
    <m/>
    <x v="5"/>
    <m/>
    <n v="1"/>
    <m/>
    <m/>
    <s v="Ninguna"/>
    <m/>
    <m/>
    <m/>
    <m/>
    <m/>
    <m/>
    <m/>
    <m/>
    <m/>
    <m/>
    <m/>
    <m/>
    <m/>
    <m/>
    <m/>
    <m/>
    <m/>
  </r>
  <r>
    <x v="2"/>
    <x v="1"/>
    <x v="6"/>
    <s v="FCTAT1"/>
    <x v="0"/>
    <d v="2019-10-19T00:00:00"/>
    <d v="1899-12-30T18:50:58"/>
    <n v="-76.722313333333403"/>
    <n v="3.4768583333333298"/>
    <n v="4"/>
    <s v="Izquierdo"/>
    <s v="Gustavo Gonzales"/>
    <n v="2123"/>
    <b v="1"/>
    <b v="0"/>
    <n v="23"/>
    <n v="0"/>
    <n v="15"/>
    <s v="arbusto"/>
    <s v="Bosque Primario"/>
    <m/>
    <x v="5"/>
    <m/>
    <n v="1"/>
    <m/>
    <m/>
    <s v="Ninguna"/>
    <m/>
    <m/>
    <m/>
    <m/>
    <m/>
    <m/>
    <m/>
    <m/>
    <m/>
    <m/>
    <m/>
    <m/>
    <m/>
    <m/>
    <m/>
    <m/>
    <m/>
  </r>
  <r>
    <x v="2"/>
    <x v="1"/>
    <x v="6"/>
    <s v="FCTAT2"/>
    <x v="1"/>
    <d v="2019-10-19T00:00:00"/>
    <d v="1899-12-30T20:04:32"/>
    <n v="-76.722461666666703"/>
    <n v="3.4773049999999999"/>
    <n v="4"/>
    <s v="Derecho"/>
    <s v="Gustavo Gonzales"/>
    <n v="2140"/>
    <b v="1"/>
    <b v="0"/>
    <n v="25"/>
    <n v="0"/>
    <n v="12"/>
    <s v="arbusto"/>
    <s v="Bosque Primario"/>
    <m/>
    <x v="19"/>
    <m/>
    <n v="1"/>
    <m/>
    <m/>
    <s v="Ninguna"/>
    <m/>
    <m/>
    <m/>
    <m/>
    <m/>
    <m/>
    <m/>
    <m/>
    <m/>
    <m/>
    <m/>
    <m/>
    <m/>
    <m/>
    <m/>
    <m/>
    <m/>
  </r>
  <r>
    <x v="2"/>
    <x v="1"/>
    <x v="6"/>
    <s v="FCTAT2"/>
    <x v="1"/>
    <d v="2019-10-19T00:00:00"/>
    <d v="1899-12-30T20:04:32"/>
    <n v="-76.722461666666703"/>
    <n v="3.4773049999999999"/>
    <n v="4"/>
    <s v="Derecho"/>
    <s v="Gustavo Gonzales"/>
    <n v="2140"/>
    <b v="1"/>
    <b v="0"/>
    <n v="25"/>
    <n v="0"/>
    <n v="12"/>
    <s v="arbusto"/>
    <s v="Bosque Primario"/>
    <m/>
    <x v="6"/>
    <m/>
    <n v="1"/>
    <m/>
    <m/>
    <s v="Ninguna"/>
    <m/>
    <m/>
    <m/>
    <m/>
    <m/>
    <m/>
    <m/>
    <m/>
    <m/>
    <m/>
    <m/>
    <m/>
    <m/>
    <m/>
    <m/>
    <m/>
    <m/>
  </r>
  <r>
    <x v="2"/>
    <x v="1"/>
    <x v="6"/>
    <s v="FCTAT2"/>
    <x v="1"/>
    <d v="2019-10-19T00:00:00"/>
    <d v="1899-12-30T20:53:31"/>
    <n v="-76.722743333333298"/>
    <n v="3.4778099999999998"/>
    <n v="4"/>
    <s v="Izquierdo"/>
    <s v="Gustavo Gonzales"/>
    <n v="1980"/>
    <b v="1"/>
    <b v="0"/>
    <n v="25"/>
    <n v="0"/>
    <n v="12"/>
    <s v="arbustos"/>
    <s v="Bosque Primario"/>
    <m/>
    <x v="32"/>
    <m/>
    <n v="1"/>
    <m/>
    <m/>
    <s v="Ninguna"/>
    <m/>
    <m/>
    <m/>
    <m/>
    <m/>
    <m/>
    <m/>
    <m/>
    <m/>
    <m/>
    <m/>
    <m/>
    <m/>
    <m/>
    <m/>
    <m/>
    <m/>
  </r>
  <r>
    <x v="2"/>
    <x v="1"/>
    <x v="6"/>
    <s v="FCTAT3"/>
    <x v="2"/>
    <d v="2019-10-19T00:00:00"/>
    <d v="1899-12-30T21:25:00"/>
    <n v="-76.722858333333306"/>
    <n v="3.4784449999999998"/>
    <n v="4"/>
    <s v="Izquierdo"/>
    <s v="Álvaro Javier"/>
    <n v="2100"/>
    <b v="1"/>
    <b v="0"/>
    <n v="25"/>
    <m/>
    <n v="16"/>
    <s v="arbustos"/>
    <s v="Bosque Primario"/>
    <m/>
    <x v="6"/>
    <m/>
    <n v="1"/>
    <m/>
    <m/>
    <s v="Ninguna"/>
    <m/>
    <m/>
    <m/>
    <m/>
    <m/>
    <m/>
    <m/>
    <m/>
    <m/>
    <m/>
    <m/>
    <m/>
    <m/>
    <m/>
    <m/>
    <m/>
    <m/>
  </r>
  <r>
    <x v="2"/>
    <x v="1"/>
    <x v="6"/>
    <s v="FCTAT2"/>
    <x v="1"/>
    <d v="2019-10-19T00:00:00"/>
    <d v="1899-12-30T20:41:05"/>
    <n v="-76.722650000000002"/>
    <n v="3.47770166666667"/>
    <n v="4"/>
    <s v="Derecho"/>
    <s v="Gustavo Rodriguez"/>
    <n v="1999"/>
    <b v="1"/>
    <b v="0"/>
    <n v="22"/>
    <m/>
    <n v="15"/>
    <s v="arbustos"/>
    <s v="Bosque Primario"/>
    <m/>
    <x v="5"/>
    <m/>
    <n v="1"/>
    <m/>
    <m/>
    <s v="Ninguna"/>
    <m/>
    <m/>
    <m/>
    <m/>
    <m/>
    <m/>
    <m/>
    <m/>
    <m/>
    <m/>
    <m/>
    <m/>
    <m/>
    <m/>
    <m/>
    <m/>
    <m/>
  </r>
  <r>
    <x v="2"/>
    <x v="1"/>
    <x v="6"/>
    <s v="FCTAT2"/>
    <x v="1"/>
    <d v="2019-10-19T00:00:00"/>
    <d v="1899-12-30T20:55:03"/>
    <n v="-76.722753333333301"/>
    <n v="3.4778483333333301"/>
    <n v="4"/>
    <s v="Izquierdo"/>
    <s v="Gustavo Gonzales"/>
    <n v="1980"/>
    <b v="1"/>
    <b v="0"/>
    <n v="22"/>
    <m/>
    <n v="12"/>
    <s v="arbustos"/>
    <s v="Bosque Primario"/>
    <m/>
    <x v="33"/>
    <m/>
    <n v="1"/>
    <m/>
    <m/>
    <s v="Ninguna"/>
    <m/>
    <m/>
    <m/>
    <m/>
    <m/>
    <m/>
    <m/>
    <m/>
    <m/>
    <m/>
    <m/>
    <m/>
    <m/>
    <m/>
    <m/>
    <m/>
    <m/>
  </r>
  <r>
    <x v="2"/>
    <x v="1"/>
    <x v="6"/>
    <s v="FCTAT3"/>
    <x v="2"/>
    <d v="2019-10-19T00:00:00"/>
    <d v="1899-12-30T21:28:01"/>
    <n v="-76.722774999999999"/>
    <n v="3.4785300000000001"/>
    <n v="4"/>
    <s v="Izquierdo"/>
    <s v="Gustavo Gonzales"/>
    <n v="2100"/>
    <b v="1"/>
    <b v="0"/>
    <n v="25"/>
    <m/>
    <n v="15"/>
    <s v="arbustos"/>
    <s v="Bosque Primario"/>
    <m/>
    <x v="34"/>
    <m/>
    <n v="1"/>
    <m/>
    <m/>
    <s v="Ninguna"/>
    <m/>
    <m/>
    <m/>
    <m/>
    <m/>
    <m/>
    <m/>
    <m/>
    <m/>
    <m/>
    <m/>
    <m/>
    <m/>
    <m/>
    <m/>
    <m/>
    <m/>
  </r>
  <r>
    <x v="2"/>
    <x v="1"/>
    <x v="6"/>
    <s v="FCTAT3"/>
    <x v="2"/>
    <d v="2019-10-19T00:00:00"/>
    <d v="1899-12-30T21:17:53"/>
    <n v="-76.722776666666704"/>
    <n v="3.4783033333333302"/>
    <n v="4"/>
    <s v="Derecho"/>
    <s v="Gustavo Rodriguez"/>
    <n v="2100"/>
    <b v="1"/>
    <b v="0"/>
    <n v="22"/>
    <m/>
    <n v="15"/>
    <s v="hierbas"/>
    <s v="Bosque Primario"/>
    <m/>
    <x v="5"/>
    <m/>
    <n v="1"/>
    <m/>
    <m/>
    <s v="Ninguna"/>
    <m/>
    <m/>
    <m/>
    <m/>
    <m/>
    <m/>
    <m/>
    <m/>
    <m/>
    <m/>
    <m/>
    <m/>
    <m/>
    <m/>
    <m/>
    <m/>
    <m/>
  </r>
  <r>
    <x v="2"/>
    <x v="1"/>
    <x v="6"/>
    <s v="FCTAT2"/>
    <x v="1"/>
    <d v="2019-10-19T00:00:00"/>
    <d v="1899-12-30T20:42:53"/>
    <n v="-76.722716666666699"/>
    <n v="3.4777233333333299"/>
    <n v="4"/>
    <s v="Derecho"/>
    <s v="Álvaro Javier Fierro"/>
    <n v="1997"/>
    <b v="1"/>
    <b v="0"/>
    <n v="20"/>
    <m/>
    <n v="15"/>
    <s v="arbustos"/>
    <s v="Bosque Primario"/>
    <m/>
    <x v="32"/>
    <m/>
    <n v="1"/>
    <m/>
    <m/>
    <s v="Ninguna"/>
    <m/>
    <m/>
    <m/>
    <m/>
    <m/>
    <m/>
    <m/>
    <m/>
    <m/>
    <m/>
    <m/>
    <m/>
    <m/>
    <m/>
    <m/>
    <m/>
    <m/>
  </r>
  <r>
    <x v="2"/>
    <x v="1"/>
    <x v="6"/>
    <s v="FCTAT3"/>
    <x v="2"/>
    <d v="2019-10-19T00:00:00"/>
    <d v="1899-12-30T21:42:18"/>
    <n v="-76.722846666666598"/>
    <n v="3.4788666666666699"/>
    <n v="4"/>
    <s v="Izquierdo"/>
    <s v="Gustavo Gonzales"/>
    <n v="2100"/>
    <b v="1"/>
    <b v="0"/>
    <n v="22"/>
    <m/>
    <n v="12"/>
    <s v="arbustos"/>
    <s v="Bosque Primario"/>
    <m/>
    <x v="5"/>
    <m/>
    <n v="2"/>
    <m/>
    <m/>
    <s v="Ninguna"/>
    <m/>
    <m/>
    <m/>
    <m/>
    <m/>
    <m/>
    <m/>
    <m/>
    <m/>
    <m/>
    <m/>
    <m/>
    <m/>
    <m/>
    <m/>
    <m/>
    <m/>
  </r>
  <r>
    <x v="2"/>
    <x v="1"/>
    <x v="6"/>
    <s v="FCTAT4"/>
    <x v="3"/>
    <d v="2019-10-19T00:00:00"/>
    <d v="1899-12-30T22:14:09"/>
    <n v="-76.7230633333333"/>
    <n v="3.4795766666666701"/>
    <n v="4"/>
    <s v="Izquierdo"/>
    <s v="Álvaro Javier Fierro"/>
    <n v="2100"/>
    <b v="1"/>
    <b v="0"/>
    <n v="20"/>
    <m/>
    <n v="10"/>
    <s v="arbustos"/>
    <s v="Bosque Primario"/>
    <m/>
    <x v="32"/>
    <m/>
    <n v="1"/>
    <m/>
    <m/>
    <s v="Ninguna"/>
    <m/>
    <m/>
    <m/>
    <m/>
    <m/>
    <m/>
    <m/>
    <m/>
    <m/>
    <m/>
    <m/>
    <m/>
    <m/>
    <m/>
    <m/>
    <m/>
    <m/>
  </r>
  <r>
    <x v="2"/>
    <x v="1"/>
    <x v="6"/>
    <s v="FCTAT4"/>
    <x v="3"/>
    <d v="2019-10-19T00:00:00"/>
    <d v="1899-12-30T22:14:09"/>
    <n v="-76.7230633333333"/>
    <n v="3.4795766666666701"/>
    <n v="4"/>
    <s v="Derecho"/>
    <s v="Gustavo Rodriguez"/>
    <n v="2100"/>
    <b v="1"/>
    <b v="0"/>
    <n v="20"/>
    <m/>
    <n v="10"/>
    <s v="arbustos"/>
    <s v="Bosque Primario"/>
    <m/>
    <x v="19"/>
    <m/>
    <n v="1"/>
    <m/>
    <m/>
    <s v="Ninguna"/>
    <m/>
    <m/>
    <m/>
    <m/>
    <m/>
    <m/>
    <m/>
    <m/>
    <m/>
    <m/>
    <m/>
    <m/>
    <m/>
    <m/>
    <m/>
    <m/>
    <m/>
  </r>
  <r>
    <x v="2"/>
    <x v="1"/>
    <x v="6"/>
    <s v="FCTAT2"/>
    <x v="1"/>
    <d v="2019-10-19T00:00:00"/>
    <d v="1899-12-30T20:46:42"/>
    <n v="-76.722668333333303"/>
    <n v="3.4777749999999998"/>
    <n v="4"/>
    <s v="Derecho"/>
    <s v="Álvaro Javier Fierro"/>
    <n v="1989"/>
    <b v="1"/>
    <b v="0"/>
    <n v="25"/>
    <m/>
    <n v="15"/>
    <s v="bromelias"/>
    <s v="Bosque Primario"/>
    <m/>
    <x v="35"/>
    <m/>
    <n v="1"/>
    <m/>
    <m/>
    <s v="Ninguna"/>
    <m/>
    <m/>
    <m/>
    <m/>
    <m/>
    <m/>
    <m/>
    <m/>
    <m/>
    <m/>
    <m/>
    <m/>
    <m/>
    <m/>
    <m/>
    <m/>
    <m/>
  </r>
  <r>
    <x v="2"/>
    <x v="1"/>
    <x v="6"/>
    <s v="FCTAT3"/>
    <x v="2"/>
    <d v="2019-10-19T00:00:00"/>
    <d v="1899-12-30T21:36:01"/>
    <n v="-76.722880000000004"/>
    <n v="3.47874666666667"/>
    <n v="4"/>
    <s v="Derecho"/>
    <s v="Gustavo Rodriguez"/>
    <n v="2100"/>
    <b v="1"/>
    <b v="0"/>
    <n v="25"/>
    <m/>
    <n v="12"/>
    <s v="bromelias"/>
    <s v="Bosque Primario"/>
    <m/>
    <x v="32"/>
    <m/>
    <n v="1"/>
    <m/>
    <m/>
    <s v="Ninguna"/>
    <m/>
    <m/>
    <m/>
    <m/>
    <m/>
    <m/>
    <m/>
    <m/>
    <m/>
    <m/>
    <m/>
    <m/>
    <m/>
    <m/>
    <m/>
    <m/>
    <m/>
  </r>
  <r>
    <x v="2"/>
    <x v="1"/>
    <x v="6"/>
    <s v="FCTAT3"/>
    <x v="2"/>
    <d v="2019-10-19T00:00:00"/>
    <d v="1899-12-30T21:36:01"/>
    <n v="-76.722880000000004"/>
    <n v="3.47874666666667"/>
    <n v="4"/>
    <s v="Derecho"/>
    <s v="Gustavo Rodriguez"/>
    <n v="2100"/>
    <b v="1"/>
    <b v="0"/>
    <n v="22"/>
    <m/>
    <n v="12"/>
    <s v="palma"/>
    <s v="Bosque Primario"/>
    <m/>
    <x v="5"/>
    <m/>
    <n v="1"/>
    <m/>
    <m/>
    <s v="Ninguna"/>
    <m/>
    <m/>
    <m/>
    <m/>
    <m/>
    <m/>
    <m/>
    <m/>
    <m/>
    <m/>
    <m/>
    <m/>
    <m/>
    <m/>
    <m/>
    <m/>
    <m/>
  </r>
  <r>
    <x v="2"/>
    <x v="1"/>
    <x v="6"/>
    <s v="FCTAT3"/>
    <x v="2"/>
    <d v="2019-10-19T00:00:00"/>
    <d v="1899-12-30T21:10:52"/>
    <n v="-76.722750000000005"/>
    <n v="3.4780783333333298"/>
    <n v="4"/>
    <s v="Izquierdo"/>
    <s v="Álvaro Javier Fierro"/>
    <n v="2100"/>
    <b v="1"/>
    <b v="0"/>
    <n v="25"/>
    <m/>
    <n v="15"/>
    <s v="herbácea Ciclantaceae"/>
    <s v="Bosque Primario"/>
    <m/>
    <x v="34"/>
    <m/>
    <n v="1"/>
    <m/>
    <m/>
    <s v="Ninguna"/>
    <m/>
    <m/>
    <m/>
    <m/>
    <m/>
    <m/>
    <m/>
    <m/>
    <m/>
    <m/>
    <m/>
    <m/>
    <m/>
    <m/>
    <m/>
    <m/>
    <m/>
  </r>
  <r>
    <x v="2"/>
    <x v="1"/>
    <x v="6"/>
    <s v="FCTAT2"/>
    <x v="1"/>
    <d v="2019-10-19T00:00:00"/>
    <d v="1899-12-30T20:38:42"/>
    <n v="-76.722691666666705"/>
    <n v="3.4777316666666702"/>
    <n v="4"/>
    <s v="Izquierdo"/>
    <s v="Gustavo Gonzales"/>
    <n v="2005"/>
    <b v="1"/>
    <b v="0"/>
    <n v="20"/>
    <m/>
    <n v="12"/>
    <s v="arbustos"/>
    <s v="Bosque Primario"/>
    <m/>
    <x v="32"/>
    <m/>
    <n v="1"/>
    <m/>
    <m/>
    <s v="Ninguna"/>
    <m/>
    <m/>
    <m/>
    <m/>
    <m/>
    <m/>
    <m/>
    <m/>
    <m/>
    <m/>
    <m/>
    <m/>
    <m/>
    <m/>
    <m/>
    <m/>
    <m/>
  </r>
  <r>
    <x v="2"/>
    <x v="1"/>
    <x v="6"/>
    <s v="FCTAT3"/>
    <x v="2"/>
    <d v="2019-10-19T00:00:00"/>
    <d v="1899-12-30T21:49:49"/>
    <n v="-76.722971666666695"/>
    <n v="3.4790000000000001"/>
    <n v="4"/>
    <s v="Izquierdo"/>
    <s v="Gustavo Gonzales"/>
    <n v="2100"/>
    <b v="1"/>
    <b v="0"/>
    <n v="22"/>
    <m/>
    <n v="12"/>
    <s v="araceae"/>
    <s v="Bosque Primario"/>
    <m/>
    <x v="19"/>
    <m/>
    <n v="1"/>
    <m/>
    <m/>
    <s v="Ninguna"/>
    <m/>
    <m/>
    <m/>
    <m/>
    <m/>
    <m/>
    <m/>
    <m/>
    <m/>
    <m/>
    <m/>
    <m/>
    <m/>
    <m/>
    <m/>
    <m/>
    <m/>
  </r>
  <r>
    <x v="2"/>
    <x v="1"/>
    <x v="6"/>
    <s v="FCTAT3"/>
    <x v="2"/>
    <d v="2019-10-19T00:00:00"/>
    <d v="1899-12-30T21:21:34"/>
    <n v="-76.722858333333306"/>
    <n v="3.47841666666667"/>
    <n v="4"/>
    <s v="Derecho"/>
    <s v="Gustavo Gonzales"/>
    <n v="2100"/>
    <b v="1"/>
    <b v="0"/>
    <n v="25"/>
    <m/>
    <n v="15"/>
    <s v="arbustos"/>
    <s v="Bosque Primario"/>
    <m/>
    <x v="5"/>
    <m/>
    <n v="1"/>
    <m/>
    <m/>
    <s v="Ninguna"/>
    <m/>
    <m/>
    <m/>
    <m/>
    <m/>
    <m/>
    <m/>
    <m/>
    <m/>
    <m/>
    <m/>
    <m/>
    <m/>
    <m/>
    <m/>
    <m/>
    <m/>
  </r>
  <r>
    <x v="2"/>
    <x v="1"/>
    <x v="6"/>
    <s v="FCTAT3"/>
    <x v="2"/>
    <d v="2019-10-19T00:00:00"/>
    <d v="1899-12-30T21:30:21"/>
    <n v="-76.722768333333306"/>
    <n v="3.4785849999999998"/>
    <n v="4"/>
    <s v="Izquierdo"/>
    <s v="Gustavo Gonzales"/>
    <n v="2127"/>
    <b v="1"/>
    <b v="0"/>
    <n v="25"/>
    <m/>
    <n v="12"/>
    <s v="herbácea"/>
    <s v="Bosque Primario"/>
    <m/>
    <x v="5"/>
    <m/>
    <n v="1"/>
    <m/>
    <m/>
    <s v="Ninguna"/>
    <m/>
    <m/>
    <m/>
    <m/>
    <m/>
    <m/>
    <m/>
    <m/>
    <m/>
    <m/>
    <m/>
    <m/>
    <m/>
    <m/>
    <m/>
    <m/>
    <m/>
  </r>
  <r>
    <x v="2"/>
    <x v="1"/>
    <x v="6"/>
    <s v="FCTAT3"/>
    <x v="2"/>
    <d v="2019-10-19T00:00:00"/>
    <d v="1899-12-30T21:30:21"/>
    <n v="-76.722768333333306"/>
    <n v="3.4785849999999998"/>
    <n v="4"/>
    <s v="Derecho"/>
    <s v="Gustavo Gonzales"/>
    <n v="2100"/>
    <b v="1"/>
    <b v="0"/>
    <n v="25"/>
    <m/>
    <n v="12"/>
    <s v="hojarasca"/>
    <s v="Bosque Primario"/>
    <m/>
    <x v="4"/>
    <m/>
    <n v="1"/>
    <m/>
    <m/>
    <s v="Ninguna"/>
    <m/>
    <m/>
    <m/>
    <m/>
    <m/>
    <m/>
    <m/>
    <m/>
    <m/>
    <m/>
    <m/>
    <m/>
    <m/>
    <m/>
    <m/>
    <m/>
    <m/>
  </r>
  <r>
    <x v="2"/>
    <x v="1"/>
    <x v="6"/>
    <s v="FCTAT2"/>
    <x v="1"/>
    <d v="2019-10-19T00:00:00"/>
    <d v="1899-12-30T20:16:05"/>
    <n v="-76.722465"/>
    <n v="3.4774616666666698"/>
    <n v="4"/>
    <s v="Izquierdo"/>
    <s v="Gustavo Gonzales"/>
    <n v="2140"/>
    <b v="1"/>
    <b v="0"/>
    <n v="20"/>
    <n v="0"/>
    <n v="12"/>
    <s v="hojarasca"/>
    <s v="Bosque Primario"/>
    <m/>
    <x v="5"/>
    <m/>
    <n v="1"/>
    <m/>
    <m/>
    <s v="Ninguna"/>
    <m/>
    <m/>
    <m/>
    <m/>
    <m/>
    <m/>
    <m/>
    <m/>
    <m/>
    <m/>
    <m/>
    <m/>
    <m/>
    <m/>
    <m/>
    <m/>
    <m/>
  </r>
  <r>
    <x v="2"/>
    <x v="1"/>
    <x v="6"/>
    <s v="FCTAT2"/>
    <x v="1"/>
    <d v="2019-10-19T00:00:00"/>
    <d v="1899-12-30T20:16:05"/>
    <n v="-76.722465"/>
    <n v="3.4774616666666698"/>
    <n v="4"/>
    <s v="Izquierdo"/>
    <s v="Gustavo Gonzales"/>
    <n v="2140"/>
    <b v="1"/>
    <b v="0"/>
    <m/>
    <n v="0"/>
    <n v="12"/>
    <s v="Arbusto"/>
    <s v="Bosque Primario"/>
    <m/>
    <x v="6"/>
    <m/>
    <n v="1"/>
    <m/>
    <m/>
    <s v="Ninguna"/>
    <m/>
    <m/>
    <m/>
    <m/>
    <m/>
    <m/>
    <m/>
    <m/>
    <m/>
    <m/>
    <m/>
    <m/>
    <m/>
    <m/>
    <m/>
    <m/>
    <m/>
  </r>
  <r>
    <x v="2"/>
    <x v="1"/>
    <x v="6"/>
    <s v="FCTAT2"/>
    <x v="1"/>
    <d v="2019-10-19T00:00:00"/>
    <d v="1899-12-30T20:16:05"/>
    <n v="-76.722465"/>
    <n v="3.4774616666666698"/>
    <n v="4"/>
    <s v="Izquierdo"/>
    <s v="Gustavo Gonzales"/>
    <n v="2140"/>
    <b v="1"/>
    <b v="0"/>
    <n v="22"/>
    <n v="0"/>
    <n v="10"/>
    <s v="hierba"/>
    <s v="Bosque Primario"/>
    <m/>
    <x v="4"/>
    <m/>
    <n v="1"/>
    <m/>
    <m/>
    <s v="Ninguna"/>
    <m/>
    <m/>
    <m/>
    <m/>
    <m/>
    <m/>
    <m/>
    <m/>
    <m/>
    <m/>
    <m/>
    <m/>
    <m/>
    <m/>
    <m/>
    <m/>
    <m/>
  </r>
  <r>
    <x v="2"/>
    <x v="1"/>
    <x v="6"/>
    <s v="FCTAT2"/>
    <x v="1"/>
    <d v="2019-10-19T00:00:00"/>
    <d v="1899-12-30T20:16:05"/>
    <n v="-76.722465"/>
    <n v="3.4774616666666698"/>
    <n v="4"/>
    <s v="Derecho"/>
    <s v="Gustavo Gonzales"/>
    <n v="2140"/>
    <b v="1"/>
    <b v="0"/>
    <n v="22"/>
    <n v="0"/>
    <n v="12"/>
    <s v="hierba"/>
    <s v="Bosque Primario"/>
    <m/>
    <x v="32"/>
    <m/>
    <n v="1"/>
    <m/>
    <m/>
    <s v="Ninguna"/>
    <m/>
    <m/>
    <m/>
    <m/>
    <m/>
    <m/>
    <m/>
    <m/>
    <m/>
    <m/>
    <m/>
    <m/>
    <m/>
    <m/>
    <m/>
    <m/>
    <m/>
  </r>
  <r>
    <x v="2"/>
    <x v="1"/>
    <x v="6"/>
    <s v="FCTAT2"/>
    <x v="1"/>
    <d v="2019-10-19T00:00:00"/>
    <d v="1899-12-30T20:13:58"/>
    <n v="-76.722454999999997"/>
    <n v="3.4773433333333301"/>
    <n v="4"/>
    <s v="Izquierdo"/>
    <s v="Álvaro Fierro"/>
    <n v="2140"/>
    <b v="1"/>
    <b v="0"/>
    <n v="22"/>
    <n v="0"/>
    <n v="12"/>
    <s v="Arbusto"/>
    <s v="Bosque Primario"/>
    <s v="sobre Ciclantsceae"/>
    <x v="5"/>
    <m/>
    <n v="1"/>
    <m/>
    <m/>
    <s v="Ninguna"/>
    <m/>
    <m/>
    <m/>
    <m/>
    <m/>
    <m/>
    <m/>
    <m/>
    <m/>
    <m/>
    <m/>
    <m/>
    <m/>
    <m/>
    <m/>
    <m/>
    <m/>
  </r>
  <r>
    <x v="2"/>
    <x v="1"/>
    <x v="6"/>
    <s v="FCTAT4"/>
    <x v="3"/>
    <d v="2019-10-19T00:00:00"/>
    <d v="1899-12-30T22:22:24"/>
    <n v="-76.723134999999999"/>
    <n v="3.47973"/>
    <n v="4"/>
    <s v="Derecho"/>
    <s v="Gustavo Rodriguez"/>
    <n v="2100"/>
    <b v="1"/>
    <b v="0"/>
    <n v="20"/>
    <m/>
    <n v="10"/>
    <s v="herbácea"/>
    <s v="Bosque Primario"/>
    <m/>
    <x v="32"/>
    <m/>
    <n v="1"/>
    <m/>
    <m/>
    <s v="Ninguna"/>
    <m/>
    <m/>
    <m/>
    <m/>
    <m/>
    <m/>
    <m/>
    <m/>
    <m/>
    <m/>
    <m/>
    <m/>
    <m/>
    <m/>
    <m/>
    <m/>
    <m/>
  </r>
  <r>
    <x v="2"/>
    <x v="1"/>
    <x v="6"/>
    <s v="FCTAT2"/>
    <x v="1"/>
    <d v="2019-10-19T00:00:00"/>
    <d v="1899-12-30T20:30:53"/>
    <n v="-76.722528333333301"/>
    <n v="3.4776099999999999"/>
    <n v="4"/>
    <s v="Izquierdo"/>
    <s v="Gustavo Gonzales"/>
    <n v="2100"/>
    <b v="1"/>
    <b v="0"/>
    <n v="22"/>
    <n v="0"/>
    <n v="17"/>
    <s v="hojarasca"/>
    <s v="Bosque Primario"/>
    <m/>
    <x v="5"/>
    <m/>
    <n v="1"/>
    <m/>
    <m/>
    <s v="Ninguna"/>
    <m/>
    <m/>
    <m/>
    <m/>
    <m/>
    <m/>
    <m/>
    <m/>
    <m/>
    <m/>
    <m/>
    <m/>
    <m/>
    <m/>
    <m/>
    <m/>
    <m/>
  </r>
  <r>
    <x v="2"/>
    <x v="1"/>
    <x v="6"/>
    <s v="FCTAT2"/>
    <x v="1"/>
    <d v="2019-10-19T00:00:00"/>
    <d v="1899-12-30T19:24:38"/>
    <n v="-76.722388333333299"/>
    <n v="3.4772650000000001"/>
    <n v="4"/>
    <s v="Izquierdo"/>
    <s v="Álvaro Fierro"/>
    <n v="2140"/>
    <b v="1"/>
    <b v="0"/>
    <m/>
    <n v="0"/>
    <n v="15"/>
    <s v="Musgo"/>
    <s v="Bosque Primario"/>
    <s v="Amplexo"/>
    <x v="5"/>
    <m/>
    <n v="2"/>
    <m/>
    <m/>
    <s v="Ninguna"/>
    <m/>
    <m/>
    <m/>
    <m/>
    <m/>
    <m/>
    <m/>
    <m/>
    <m/>
    <m/>
    <m/>
    <m/>
    <m/>
    <m/>
    <m/>
    <m/>
    <m/>
  </r>
  <r>
    <x v="2"/>
    <x v="1"/>
    <x v="6"/>
    <s v="FCTAT2"/>
    <x v="1"/>
    <d v="2019-10-19T00:00:00"/>
    <d v="1899-12-30T19:24:38"/>
    <n v="-76.722388333333299"/>
    <n v="3.4772650000000001"/>
    <n v="4"/>
    <s v="Izquierdo"/>
    <s v="Gustavo Gonzales"/>
    <n v="2140"/>
    <b v="1"/>
    <b v="0"/>
    <n v="25"/>
    <n v="0"/>
    <n v="15"/>
    <s v="Bromelia"/>
    <s v="Bosque Primario"/>
    <m/>
    <x v="36"/>
    <m/>
    <n v="1"/>
    <m/>
    <m/>
    <s v="Ninguna"/>
    <m/>
    <m/>
    <m/>
    <m/>
    <m/>
    <m/>
    <m/>
    <m/>
    <m/>
    <m/>
    <m/>
    <m/>
    <m/>
    <m/>
    <m/>
    <m/>
    <m/>
  </r>
  <r>
    <x v="2"/>
    <x v="1"/>
    <x v="6"/>
    <s v="FCTAT2"/>
    <x v="1"/>
    <d v="2019-10-19T00:00:00"/>
    <d v="1899-12-30T19:24:38"/>
    <n v="-76.722388333333299"/>
    <n v="3.4772650000000001"/>
    <n v="4"/>
    <s v="Izquierdo"/>
    <s v="Álvaro Javier Fierro"/>
    <n v="2140"/>
    <b v="1"/>
    <b v="0"/>
    <n v="25"/>
    <n v="0"/>
    <n v="15"/>
    <s v="Hojarasca"/>
    <s v="Bosque Primario"/>
    <m/>
    <x v="4"/>
    <m/>
    <n v="1"/>
    <m/>
    <m/>
    <s v="Ninguna"/>
    <m/>
    <m/>
    <m/>
    <m/>
    <m/>
    <m/>
    <m/>
    <m/>
    <m/>
    <m/>
    <m/>
    <m/>
    <m/>
    <m/>
    <m/>
    <m/>
    <m/>
  </r>
  <r>
    <x v="2"/>
    <x v="1"/>
    <x v="6"/>
    <s v="FCTAT2"/>
    <x v="1"/>
    <d v="2019-10-19T00:00:00"/>
    <d v="1899-12-30T19:30:41"/>
    <n v="-76.722485000000006"/>
    <n v="3.4772966666666698"/>
    <n v="4"/>
    <s v="Izquierdo"/>
    <s v="Gustavo Gonzales"/>
    <n v="2140"/>
    <b v="1"/>
    <b v="0"/>
    <n v="28"/>
    <n v="0"/>
    <n v="15"/>
    <s v="arbusto"/>
    <s v="Bosque Primario"/>
    <m/>
    <x v="32"/>
    <m/>
    <n v="1"/>
    <m/>
    <m/>
    <s v="Ninguna"/>
    <m/>
    <m/>
    <m/>
    <m/>
    <m/>
    <m/>
    <m/>
    <m/>
    <m/>
    <m/>
    <m/>
    <m/>
    <m/>
    <m/>
    <m/>
    <m/>
    <m/>
  </r>
  <r>
    <x v="2"/>
    <x v="1"/>
    <x v="6"/>
    <s v="FCTAT2"/>
    <x v="1"/>
    <d v="2019-10-19T00:00:00"/>
    <d v="1899-12-30T19:30:41"/>
    <n v="-76.722485000000006"/>
    <n v="3.4772966666666698"/>
    <n v="4"/>
    <s v="Izquierdo"/>
    <s v="Gustavo Gonzales"/>
    <n v="2140"/>
    <b v="1"/>
    <b v="0"/>
    <n v="25"/>
    <n v="0"/>
    <n v="15"/>
    <s v="sobre hierba"/>
    <s v="Bosque Primario"/>
    <m/>
    <x v="6"/>
    <m/>
    <n v="1"/>
    <m/>
    <m/>
    <s v="Ninguna"/>
    <m/>
    <m/>
    <m/>
    <m/>
    <m/>
    <m/>
    <m/>
    <m/>
    <m/>
    <m/>
    <m/>
    <m/>
    <m/>
    <m/>
    <m/>
    <m/>
    <m/>
  </r>
  <r>
    <x v="2"/>
    <x v="1"/>
    <x v="6"/>
    <s v="FCTAT2"/>
    <x v="1"/>
    <d v="2019-10-19T00:00:00"/>
    <d v="1899-12-30T19:30:41"/>
    <n v="-76.722485000000006"/>
    <n v="3.4772966666666698"/>
    <n v="4"/>
    <m/>
    <m/>
    <n v="2140"/>
    <b v="1"/>
    <b v="0"/>
    <n v="25"/>
    <n v="0"/>
    <n v="15"/>
    <m/>
    <s v="Bosque Primario"/>
    <s v="punto final transecto"/>
    <x v="0"/>
    <m/>
    <n v="0"/>
    <m/>
    <m/>
    <s v="Ninguna"/>
    <m/>
    <m/>
    <m/>
    <m/>
    <m/>
    <m/>
    <m/>
    <m/>
    <m/>
    <m/>
    <m/>
    <m/>
    <m/>
    <m/>
    <m/>
    <m/>
    <m/>
  </r>
  <r>
    <x v="2"/>
    <x v="1"/>
    <x v="6"/>
    <s v="FCTAT2"/>
    <x v="1"/>
    <d v="2019-10-19T00:00:00"/>
    <d v="1899-12-30T19:30:41"/>
    <n v="-76.722485000000006"/>
    <n v="3.4772966666666698"/>
    <n v="4"/>
    <s v="Izquierdo"/>
    <s v="Gustavo Gonzales"/>
    <n v="2140"/>
    <b v="1"/>
    <b v="0"/>
    <n v="28"/>
    <n v="0"/>
    <n v="15"/>
    <s v="bromelia"/>
    <s v="Bosque Primario"/>
    <m/>
    <x v="5"/>
    <m/>
    <n v="1"/>
    <m/>
    <m/>
    <s v="Ninguna"/>
    <m/>
    <m/>
    <m/>
    <m/>
    <m/>
    <m/>
    <m/>
    <m/>
    <m/>
    <m/>
    <m/>
    <m/>
    <m/>
    <m/>
    <m/>
    <m/>
    <m/>
  </r>
  <r>
    <x v="2"/>
    <x v="1"/>
    <x v="6"/>
    <s v="FCTAT2"/>
    <x v="1"/>
    <d v="2019-10-19T00:00:00"/>
    <d v="1899-12-30T19:30:41"/>
    <n v="-76.722485000000006"/>
    <n v="3.4772966666666698"/>
    <n v="4"/>
    <s v="Izquierdo"/>
    <s v="Gustavo Gonzales"/>
    <n v="2140"/>
    <b v="1"/>
    <b v="0"/>
    <n v="28"/>
    <n v="0"/>
    <n v="15"/>
    <s v="Bromelia"/>
    <s v="Bosque Primario"/>
    <m/>
    <x v="5"/>
    <m/>
    <n v="1"/>
    <m/>
    <m/>
    <s v="Ninguna"/>
    <m/>
    <m/>
    <m/>
    <m/>
    <m/>
    <m/>
    <m/>
    <m/>
    <m/>
    <m/>
    <m/>
    <m/>
    <m/>
    <m/>
    <m/>
    <m/>
    <m/>
  </r>
  <r>
    <x v="2"/>
    <x v="1"/>
    <x v="6"/>
    <s v="FCTAT2"/>
    <x v="1"/>
    <d v="2019-10-19T00:00:00"/>
    <d v="1899-12-30T21:00:37"/>
    <n v="-76.722741666666707"/>
    <n v="3.4779450000000001"/>
    <n v="4"/>
    <s v="Izquierdo"/>
    <s v="Gustavo Gonzales"/>
    <n v="1980"/>
    <b v="1"/>
    <b v="0"/>
    <n v="20"/>
    <m/>
    <n v="12"/>
    <s v="hojarasca"/>
    <s v="Bosque Primario"/>
    <m/>
    <x v="19"/>
    <m/>
    <n v="1"/>
    <m/>
    <m/>
    <s v="Ninguna"/>
    <m/>
    <m/>
    <m/>
    <m/>
    <m/>
    <m/>
    <m/>
    <m/>
    <m/>
    <m/>
    <m/>
    <m/>
    <m/>
    <m/>
    <m/>
    <m/>
    <m/>
  </r>
  <r>
    <x v="2"/>
    <x v="1"/>
    <x v="6"/>
    <s v="FCTAT2"/>
    <x v="1"/>
    <d v="2019-10-19T00:00:00"/>
    <d v="1899-12-30T21:00:37"/>
    <n v="-76.722741666666707"/>
    <n v="3.4779450000000001"/>
    <n v="4"/>
    <s v="Izquierdo"/>
    <s v="Gustavo Gonzales"/>
    <n v="1980"/>
    <b v="1"/>
    <b v="0"/>
    <n v="22"/>
    <m/>
    <n v="15"/>
    <s v="hojarasca"/>
    <s v="Bosque Primario"/>
    <m/>
    <x v="5"/>
    <m/>
    <n v="1"/>
    <m/>
    <m/>
    <s v="Ninguna"/>
    <m/>
    <m/>
    <m/>
    <m/>
    <m/>
    <m/>
    <m/>
    <m/>
    <m/>
    <m/>
    <m/>
    <m/>
    <m/>
    <m/>
    <m/>
    <m/>
    <m/>
  </r>
  <r>
    <x v="2"/>
    <x v="2"/>
    <x v="9"/>
    <s v="FCCAT1"/>
    <x v="0"/>
    <d v="2019-11-09T00:00:00"/>
    <d v="1899-12-30T20:54:25"/>
    <n v="-76.647082668206195"/>
    <n v="3.3488794708523599"/>
    <n v="4"/>
    <s v="Derecho"/>
    <m/>
    <n v="2422"/>
    <b v="1"/>
    <b v="1"/>
    <n v="12"/>
    <n v="0.5"/>
    <n v="5"/>
    <m/>
    <s v="Bosque Secundario"/>
    <s v="punto inicial"/>
    <x v="0"/>
    <m/>
    <n v="0"/>
    <m/>
    <m/>
    <s v="Ninguna"/>
    <m/>
    <m/>
    <m/>
    <m/>
    <m/>
    <m/>
    <m/>
    <m/>
    <m/>
    <m/>
    <m/>
    <m/>
    <m/>
    <m/>
    <m/>
    <m/>
    <m/>
  </r>
  <r>
    <x v="2"/>
    <x v="2"/>
    <x v="9"/>
    <s v="FCCAT1"/>
    <x v="0"/>
    <d v="2019-11-09T00:00:00"/>
    <d v="1899-12-30T21:29:49"/>
    <n v="-76.647207729910406"/>
    <n v="3.3484251608551601"/>
    <n v="4"/>
    <s v="Derecho"/>
    <m/>
    <n v="2396"/>
    <b v="1"/>
    <b v="1"/>
    <n v="8"/>
    <n v="1"/>
    <n v="9"/>
    <m/>
    <s v="Bosque Secundario"/>
    <s v="punto final"/>
    <x v="0"/>
    <m/>
    <n v="0"/>
    <m/>
    <m/>
    <s v="Ninguna"/>
    <m/>
    <m/>
    <m/>
    <m/>
    <m/>
    <m/>
    <m/>
    <m/>
    <m/>
    <m/>
    <m/>
    <m/>
    <m/>
    <m/>
    <m/>
    <m/>
    <m/>
  </r>
  <r>
    <x v="2"/>
    <x v="2"/>
    <x v="9"/>
    <s v="FCCAT1"/>
    <x v="0"/>
    <d v="2019-11-09T00:00:00"/>
    <d v="1899-12-30T20:47:59"/>
    <n v="-76.647080475924895"/>
    <n v="3.3489414414455898"/>
    <n v="4"/>
    <s v="Izquierdo"/>
    <m/>
    <n v="2400"/>
    <b v="1"/>
    <b v="1"/>
    <n v="15"/>
    <n v="0.5"/>
    <n v="8"/>
    <m/>
    <s v="Bosque Secundario"/>
    <s v="punto final"/>
    <x v="0"/>
    <m/>
    <n v="0"/>
    <m/>
    <m/>
    <s v="Ninguna"/>
    <m/>
    <m/>
    <m/>
    <m/>
    <m/>
    <m/>
    <m/>
    <m/>
    <m/>
    <m/>
    <m/>
    <m/>
    <m/>
    <m/>
    <m/>
    <m/>
    <m/>
  </r>
  <r>
    <x v="2"/>
    <x v="2"/>
    <x v="9"/>
    <s v="FCCAT2"/>
    <x v="1"/>
    <d v="2019-11-09T00:00:00"/>
    <d v="1899-12-30T20:08:31"/>
    <n v="-76.647081889128401"/>
    <n v="3.34964571847713"/>
    <n v="4"/>
    <s v="Derecho"/>
    <m/>
    <n v="2425"/>
    <b v="1"/>
    <b v="0"/>
    <n v="10"/>
    <n v="0"/>
    <n v="10"/>
    <m/>
    <s v="Bosque Secundario"/>
    <s v="punto de inicio"/>
    <x v="0"/>
    <m/>
    <n v="0"/>
    <m/>
    <m/>
    <s v="Ninguna"/>
    <m/>
    <m/>
    <m/>
    <m/>
    <m/>
    <m/>
    <m/>
    <m/>
    <m/>
    <m/>
    <m/>
    <m/>
    <m/>
    <m/>
    <m/>
    <m/>
    <m/>
  </r>
  <r>
    <x v="2"/>
    <x v="2"/>
    <x v="9"/>
    <s v="FCCBT4"/>
    <x v="3"/>
    <d v="2019-11-10T00:00:00"/>
    <d v="1899-12-30T21:01:31"/>
    <n v="-76.645267013155703"/>
    <n v="3.3496489541684098"/>
    <n v="4"/>
    <s v="Derecho"/>
    <m/>
    <n v="2441"/>
    <b v="1"/>
    <b v="0"/>
    <n v="5"/>
    <n v="0"/>
    <n v="5"/>
    <m/>
    <s v="Bosque Secundario"/>
    <s v="punto inicial t2"/>
    <x v="0"/>
    <m/>
    <n v="0"/>
    <m/>
    <m/>
    <s v="Ninguna"/>
    <m/>
    <m/>
    <m/>
    <m/>
    <m/>
    <m/>
    <m/>
    <m/>
    <m/>
    <m/>
    <m/>
    <m/>
    <m/>
    <m/>
    <m/>
    <m/>
    <m/>
  </r>
  <r>
    <x v="2"/>
    <x v="2"/>
    <x v="9"/>
    <s v="FCCBT3"/>
    <x v="2"/>
    <d v="2019-11-10T00:00:00"/>
    <d v="1899-12-30T20:08:15"/>
    <n v="-76.646587419012505"/>
    <n v="3.3497931231255098"/>
    <n v="4"/>
    <s v="Izquierdo"/>
    <s v="Álvaro Javier"/>
    <n v="2450"/>
    <b v="1"/>
    <b v="0"/>
    <n v="8"/>
    <m/>
    <n v="12"/>
    <s v="helecho"/>
    <s v="Bosque Secundario"/>
    <m/>
    <x v="18"/>
    <m/>
    <n v="1"/>
    <m/>
    <m/>
    <s v="Ninguna"/>
    <m/>
    <m/>
    <m/>
    <m/>
    <m/>
    <m/>
    <m/>
    <m/>
    <m/>
    <m/>
    <m/>
    <m/>
    <m/>
    <m/>
    <m/>
    <m/>
    <m/>
  </r>
  <r>
    <x v="2"/>
    <x v="2"/>
    <x v="8"/>
    <s v="FCCBT5"/>
    <x v="0"/>
    <d v="2019-11-10T00:00:00"/>
    <d v="1899-12-30T21:59:13"/>
    <n v="-76.644214675993894"/>
    <n v="3.34957670533313"/>
    <n v="4"/>
    <s v="Derecho"/>
    <s v="Eider Montaño"/>
    <n v="2500"/>
    <b v="1"/>
    <b v="0"/>
    <n v="20"/>
    <n v="0"/>
    <n v="5"/>
    <s v="herbáceas"/>
    <s v="Bosque Secundario"/>
    <m/>
    <x v="17"/>
    <m/>
    <n v="1"/>
    <m/>
    <m/>
    <s v="Ninguna"/>
    <m/>
    <m/>
    <m/>
    <m/>
    <m/>
    <m/>
    <m/>
    <m/>
    <m/>
    <m/>
    <m/>
    <m/>
    <m/>
    <m/>
    <m/>
    <m/>
    <m/>
  </r>
  <r>
    <x v="2"/>
    <x v="2"/>
    <x v="9"/>
    <s v="FCCBT3"/>
    <x v="2"/>
    <d v="2019-11-10T00:00:00"/>
    <d v="1899-12-30T19:52:17"/>
    <n v="-76.646859231749403"/>
    <n v="3.3498731844679499"/>
    <n v="4"/>
    <s v="Izquierdo"/>
    <s v="alvaro Javier"/>
    <n v="2439"/>
    <b v="1"/>
    <b v="0"/>
    <n v="6"/>
    <m/>
    <n v="8"/>
    <s v="helecho"/>
    <s v="Bosque Secundario"/>
    <s v="macho juvenil. punto inicial"/>
    <x v="18"/>
    <m/>
    <n v="1"/>
    <m/>
    <m/>
    <s v="Ninguna"/>
    <m/>
    <m/>
    <m/>
    <m/>
    <m/>
    <m/>
    <m/>
    <m/>
    <m/>
    <m/>
    <m/>
    <m/>
    <m/>
    <m/>
    <m/>
    <m/>
    <m/>
  </r>
  <r>
    <x v="2"/>
    <x v="2"/>
    <x v="8"/>
    <s v="FCCBT5"/>
    <x v="0"/>
    <d v="2019-11-10T00:00:00"/>
    <d v="1899-12-30T22:26:34"/>
    <n v="-76.643782609294007"/>
    <n v="3.3495761703825102"/>
    <n v="4"/>
    <s v="Derecho"/>
    <s v="Eider Montaño"/>
    <n v="2430"/>
    <b v="1"/>
    <b v="0"/>
    <n v="18"/>
    <n v="0"/>
    <n v="10"/>
    <s v="herbácea"/>
    <s v="Bosque Secundario"/>
    <m/>
    <x v="12"/>
    <m/>
    <n v="2"/>
    <m/>
    <m/>
    <s v="Ninguna"/>
    <m/>
    <m/>
    <m/>
    <m/>
    <m/>
    <m/>
    <m/>
    <m/>
    <m/>
    <m/>
    <m/>
    <m/>
    <m/>
    <m/>
    <m/>
    <m/>
    <m/>
  </r>
  <r>
    <x v="2"/>
    <x v="2"/>
    <x v="8"/>
    <s v="FCCBT5"/>
    <x v="0"/>
    <d v="2019-11-10T00:00:00"/>
    <d v="1899-12-30T22:26:34"/>
    <n v="-76.643782609294007"/>
    <n v="3.3495761703825102"/>
    <n v="4"/>
    <s v="Derecho"/>
    <m/>
    <n v="2443"/>
    <b v="1"/>
    <b v="0"/>
    <n v="18"/>
    <n v="0"/>
    <n v="10"/>
    <m/>
    <s v="Bosque Secundario"/>
    <s v="punto final"/>
    <x v="0"/>
    <m/>
    <n v="0"/>
    <m/>
    <m/>
    <s v="Ninguna"/>
    <m/>
    <m/>
    <m/>
    <m/>
    <m/>
    <m/>
    <m/>
    <m/>
    <m/>
    <m/>
    <m/>
    <m/>
    <m/>
    <m/>
    <m/>
    <m/>
    <m/>
  </r>
  <r>
    <x v="2"/>
    <x v="2"/>
    <x v="9"/>
    <s v="FCCBT3"/>
    <x v="2"/>
    <d v="2019-11-10T00:00:00"/>
    <d v="1899-12-30T20:19:21"/>
    <n v="-76.646461576758995"/>
    <n v="3.3498395216685699"/>
    <n v="4"/>
    <s v="Derecho"/>
    <s v="Dannythza moná"/>
    <n v="2500"/>
    <b v="1"/>
    <b v="0"/>
    <n v="3"/>
    <m/>
    <n v="15"/>
    <s v="helecho"/>
    <s v="Bosque Secundario"/>
    <s v="macho"/>
    <x v="18"/>
    <m/>
    <n v="1"/>
    <m/>
    <m/>
    <s v="Ninguna"/>
    <m/>
    <m/>
    <m/>
    <m/>
    <m/>
    <m/>
    <m/>
    <m/>
    <m/>
    <m/>
    <m/>
    <m/>
    <m/>
    <m/>
    <m/>
    <m/>
    <m/>
  </r>
  <r>
    <x v="2"/>
    <x v="2"/>
    <x v="8"/>
    <s v="FCCBT5"/>
    <x v="0"/>
    <d v="2019-11-10T00:00:00"/>
    <d v="1899-12-30T21:42:00"/>
    <n v="-76.644415806695406"/>
    <n v="3.3495784893787399"/>
    <n v="4"/>
    <s v="Derecho"/>
    <m/>
    <n v="2449"/>
    <b v="1"/>
    <b v="0"/>
    <n v="12"/>
    <n v="0"/>
    <n v="5"/>
    <m/>
    <s v="Bosque Secundario"/>
    <s v="punto inicial t3 bosque Corea"/>
    <x v="0"/>
    <m/>
    <n v="0"/>
    <m/>
    <m/>
    <s v="Ninguna"/>
    <m/>
    <m/>
    <m/>
    <m/>
    <m/>
    <m/>
    <m/>
    <m/>
    <m/>
    <m/>
    <m/>
    <m/>
    <m/>
    <m/>
    <m/>
    <m/>
    <m/>
  </r>
  <r>
    <x v="2"/>
    <x v="2"/>
    <x v="8"/>
    <s v="FCCBT6"/>
    <x v="1"/>
    <d v="2019-11-10T00:00:00"/>
    <d v="1899-12-30T23:13:35"/>
    <n v="-76.643242808036604"/>
    <n v="3.3494583423089801"/>
    <n v="4"/>
    <s v="Derecho"/>
    <m/>
    <n v="2440"/>
    <b v="1"/>
    <b v="0"/>
    <n v="15"/>
    <n v="0"/>
    <n v="7"/>
    <m/>
    <s v="Bosque Secundario"/>
    <s v="punto final"/>
    <x v="0"/>
    <m/>
    <n v="0"/>
    <m/>
    <m/>
    <s v="Ninguna"/>
    <m/>
    <m/>
    <m/>
    <m/>
    <m/>
    <m/>
    <m/>
    <m/>
    <m/>
    <m/>
    <m/>
    <m/>
    <m/>
    <m/>
    <m/>
    <m/>
    <m/>
  </r>
  <r>
    <x v="2"/>
    <x v="2"/>
    <x v="8"/>
    <s v="FCCBT5"/>
    <x v="0"/>
    <d v="2019-11-10T00:00:00"/>
    <d v="1899-12-30T21:47:16"/>
    <n v="-76.644358196567097"/>
    <n v="3.34954598037252"/>
    <n v="4"/>
    <s v="Izquierdo"/>
    <s v="alvaro Javier"/>
    <n v="2449"/>
    <b v="1"/>
    <b v="0"/>
    <n v="20"/>
    <n v="0"/>
    <n v="5"/>
    <s v="herbaceas"/>
    <s v="Bosque Secundario"/>
    <m/>
    <x v="12"/>
    <m/>
    <n v="1"/>
    <m/>
    <m/>
    <s v="Ninguna"/>
    <m/>
    <s v="tala selectiva en años anteriores"/>
    <m/>
    <m/>
    <m/>
    <m/>
    <m/>
    <m/>
    <m/>
    <m/>
    <m/>
    <m/>
    <m/>
    <m/>
    <m/>
    <m/>
    <m/>
  </r>
  <r>
    <x v="2"/>
    <x v="2"/>
    <x v="9"/>
    <s v="FCCBT4"/>
    <x v="3"/>
    <d v="2019-11-10T00:00:00"/>
    <d v="1899-12-30T21:26:57"/>
    <n v="-76.644634952030103"/>
    <n v="3.3496236358240399"/>
    <n v="4"/>
    <s v="Izquierdo"/>
    <s v="alvaro Javier"/>
    <n v="2450"/>
    <b v="1"/>
    <b v="0"/>
    <n v="6"/>
    <n v="0"/>
    <n v="5"/>
    <s v="arbusto"/>
    <s v="Bosque Secundario"/>
    <s v="punto final"/>
    <x v="17"/>
    <m/>
    <n v="1"/>
    <m/>
    <m/>
    <s v="Ninguna"/>
    <m/>
    <m/>
    <m/>
    <m/>
    <m/>
    <m/>
    <m/>
    <m/>
    <m/>
    <m/>
    <m/>
    <m/>
    <m/>
    <m/>
    <m/>
    <m/>
    <m/>
  </r>
  <r>
    <x v="2"/>
    <x v="2"/>
    <x v="8"/>
    <s v="FCCBT5"/>
    <x v="0"/>
    <d v="2019-11-10T00:00:00"/>
    <d v="1899-12-30T21:40:35"/>
    <n v="-76.644377603282607"/>
    <n v="3.3495202009760701"/>
    <n v="4"/>
    <s v="Derecho"/>
    <m/>
    <n v="2449"/>
    <b v="1"/>
    <b v="0"/>
    <n v="12"/>
    <n v="0"/>
    <n v="5"/>
    <m/>
    <s v="Bosque Secundario"/>
    <s v="punto inicial"/>
    <x v="0"/>
    <m/>
    <n v="0"/>
    <m/>
    <m/>
    <s v="Ninguna"/>
    <m/>
    <m/>
    <m/>
    <m/>
    <m/>
    <m/>
    <m/>
    <m/>
    <m/>
    <m/>
    <m/>
    <m/>
    <m/>
    <m/>
    <m/>
    <m/>
    <m/>
  </r>
  <r>
    <x v="2"/>
    <x v="2"/>
    <x v="8"/>
    <s v="FCCBT5"/>
    <x v="0"/>
    <d v="2019-11-10T00:00:00"/>
    <d v="1899-12-30T22:42:09"/>
    <n v="-76.643754051666207"/>
    <n v="3.34941648004517"/>
    <n v="4"/>
    <s v="Derecho"/>
    <m/>
    <n v="2449"/>
    <b v="1"/>
    <b v="0"/>
    <n v="15"/>
    <n v="0"/>
    <n v="15"/>
    <m/>
    <s v="Bosque Secundario"/>
    <s v="punto inicial t4"/>
    <x v="0"/>
    <m/>
    <n v="0"/>
    <m/>
    <m/>
    <s v="Ninguna"/>
    <m/>
    <m/>
    <m/>
    <m/>
    <m/>
    <m/>
    <m/>
    <m/>
    <m/>
    <m/>
    <m/>
    <m/>
    <m/>
    <m/>
    <m/>
    <m/>
    <m/>
  </r>
  <r>
    <x v="2"/>
    <x v="2"/>
    <x v="9"/>
    <s v="FCCBT3"/>
    <x v="2"/>
    <d v="2019-11-10T00:00:00"/>
    <d v="1899-12-30T20:36:03"/>
    <n v="-76.6463014310566"/>
    <n v="3.3497471836928101"/>
    <n v="4"/>
    <s v="Derecho"/>
    <m/>
    <n v="2480"/>
    <b v="1"/>
    <b v="0"/>
    <n v="4"/>
    <m/>
    <n v="15"/>
    <m/>
    <s v="Bosque Secundario"/>
    <s v="punto final t1"/>
    <x v="0"/>
    <m/>
    <n v="0"/>
    <m/>
    <m/>
    <s v="Ninguna"/>
    <m/>
    <m/>
    <m/>
    <m/>
    <m/>
    <m/>
    <m/>
    <m/>
    <m/>
    <m/>
    <m/>
    <m/>
    <m/>
    <m/>
    <m/>
    <m/>
    <m/>
  </r>
  <r>
    <x v="2"/>
    <x v="2"/>
    <x v="10"/>
    <s v="FCCDT17"/>
    <x v="1"/>
    <d v="2019-11-11T00:00:00"/>
    <d v="1899-12-30T19:24:57"/>
    <n v="-76.656500202685606"/>
    <n v="3.3550414326182101"/>
    <n v="4"/>
    <s v="Derecho"/>
    <m/>
    <n v="2586"/>
    <b v="1"/>
    <b v="0"/>
    <n v="18"/>
    <n v="0"/>
    <n v="5"/>
    <m/>
    <s v="Bosque Secundario"/>
    <s v="PUNTO INICIAL"/>
    <x v="0"/>
    <m/>
    <n v="0"/>
    <m/>
    <m/>
    <s v="Ninguna"/>
    <m/>
    <m/>
    <m/>
    <m/>
    <m/>
    <m/>
    <m/>
    <m/>
    <m/>
    <m/>
    <m/>
    <m/>
    <m/>
    <m/>
    <m/>
    <m/>
    <m/>
  </r>
  <r>
    <x v="2"/>
    <x v="2"/>
    <x v="10"/>
    <s v="FCCDT17"/>
    <x v="1"/>
    <d v="2019-11-11T00:00:00"/>
    <d v="1899-12-30T20:19:14"/>
    <n v="-76.655825037952198"/>
    <n v="3.3546662133532301"/>
    <n v="4"/>
    <s v="Derecho"/>
    <m/>
    <n v="2600"/>
    <b v="1"/>
    <b v="0"/>
    <n v="13"/>
    <n v="0"/>
    <n v="10"/>
    <m/>
    <s v="Bosque Secundario"/>
    <s v="PUNTO FINAL T1"/>
    <x v="0"/>
    <m/>
    <n v="0"/>
    <m/>
    <m/>
    <s v="Ninguna"/>
    <m/>
    <m/>
    <m/>
    <m/>
    <m/>
    <m/>
    <m/>
    <m/>
    <m/>
    <m/>
    <m/>
    <m/>
    <m/>
    <m/>
    <m/>
    <m/>
    <m/>
  </r>
  <r>
    <x v="2"/>
    <x v="2"/>
    <x v="10"/>
    <s v="FCCDT17"/>
    <x v="1"/>
    <d v="2019-11-11T00:00:00"/>
    <d v="1899-12-30T20:19:14"/>
    <n v="-76.655825037952198"/>
    <n v="3.3546662133532301"/>
    <n v="4"/>
    <s v="Derecho"/>
    <s v="Dannythza moná"/>
    <n v="2600"/>
    <b v="1"/>
    <b v="0"/>
    <n v="13"/>
    <n v="0"/>
    <n v="10"/>
    <s v="melastomatacea"/>
    <s v="Bosque Secundario"/>
    <s v="PUNTO FINAL T1"/>
    <x v="8"/>
    <m/>
    <n v="1"/>
    <m/>
    <m/>
    <s v="Ninguna"/>
    <m/>
    <m/>
    <m/>
    <m/>
    <m/>
    <m/>
    <m/>
    <m/>
    <m/>
    <m/>
    <m/>
    <m/>
    <m/>
    <m/>
    <m/>
    <m/>
    <m/>
  </r>
  <r>
    <x v="2"/>
    <x v="2"/>
    <x v="10"/>
    <s v="FCCDT17"/>
    <x v="1"/>
    <d v="2019-11-11T00:00:00"/>
    <d v="1899-12-30T20:19:14"/>
    <n v="-76.655825037952198"/>
    <n v="3.3546662133532301"/>
    <n v="4"/>
    <s v="Izquierdo"/>
    <s v="alvaro Javier"/>
    <n v="2600"/>
    <b v="1"/>
    <b v="0"/>
    <n v="13"/>
    <n v="0"/>
    <n v="10"/>
    <s v="arbusto"/>
    <s v="Bosque Secundario"/>
    <m/>
    <x v="8"/>
    <m/>
    <n v="1"/>
    <m/>
    <m/>
    <s v="Ninguna"/>
    <m/>
    <m/>
    <m/>
    <m/>
    <m/>
    <m/>
    <m/>
    <m/>
    <m/>
    <m/>
    <m/>
    <m/>
    <m/>
    <m/>
    <m/>
    <m/>
    <m/>
  </r>
  <r>
    <x v="2"/>
    <x v="2"/>
    <x v="10"/>
    <s v="FCCDT17"/>
    <x v="1"/>
    <d v="2019-11-11T00:00:00"/>
    <d v="1899-12-30T20:19:14"/>
    <n v="-76.655825037952198"/>
    <n v="3.3546662133532301"/>
    <n v="4"/>
    <s v="Izquierdo"/>
    <s v="Álvaro Javier"/>
    <n v="2480"/>
    <b v="1"/>
    <b v="0"/>
    <n v="15"/>
    <n v="0"/>
    <n v="10"/>
    <s v="arbusto"/>
    <s v="Bosque Secundario"/>
    <m/>
    <x v="9"/>
    <m/>
    <n v="1"/>
    <m/>
    <m/>
    <s v="Ninguna"/>
    <m/>
    <m/>
    <m/>
    <m/>
    <m/>
    <m/>
    <m/>
    <m/>
    <m/>
    <m/>
    <m/>
    <m/>
    <m/>
    <m/>
    <m/>
    <m/>
    <m/>
  </r>
  <r>
    <x v="2"/>
    <x v="2"/>
    <x v="11"/>
    <s v="FCCDT15"/>
    <x v="4"/>
    <d v="2019-11-11T00:00:00"/>
    <d v="1899-12-30T22:12:19"/>
    <n v="-76.653324354943095"/>
    <n v="3.35336458608987"/>
    <n v="4"/>
    <s v="Derecho"/>
    <m/>
    <n v="2503"/>
    <b v="1"/>
    <b v="0"/>
    <n v="12"/>
    <n v="0"/>
    <n v="15"/>
    <m/>
    <s v="Bosque Secundario"/>
    <s v="PUNTO FINAL T3"/>
    <x v="0"/>
    <m/>
    <n v="0"/>
    <m/>
    <m/>
    <s v="Ninguna"/>
    <m/>
    <m/>
    <m/>
    <m/>
    <m/>
    <m/>
    <m/>
    <m/>
    <m/>
    <m/>
    <m/>
    <m/>
    <m/>
    <m/>
    <m/>
    <m/>
    <m/>
  </r>
  <r>
    <x v="2"/>
    <x v="2"/>
    <x v="10"/>
    <s v="FCCDT16"/>
    <x v="0"/>
    <d v="2019-11-11T00:00:00"/>
    <d v="1899-12-30T21:22:22"/>
    <n v="-76.6551908547236"/>
    <n v="3.3539790168830899"/>
    <n v="4"/>
    <s v="Izquierdo"/>
    <s v="alvaro Javier"/>
    <n v="2590"/>
    <b v="1"/>
    <b v="0"/>
    <n v="10"/>
    <n v="0"/>
    <n v="15"/>
    <s v="arbusto"/>
    <s v="Bosque Secundario"/>
    <s v="macho"/>
    <x v="8"/>
    <m/>
    <n v="1"/>
    <m/>
    <m/>
    <s v="Ninguna"/>
    <m/>
    <m/>
    <m/>
    <m/>
    <m/>
    <m/>
    <m/>
    <m/>
    <m/>
    <m/>
    <m/>
    <m/>
    <m/>
    <m/>
    <m/>
    <m/>
    <m/>
  </r>
  <r>
    <x v="2"/>
    <x v="2"/>
    <x v="10"/>
    <s v="FCCDT16"/>
    <x v="0"/>
    <d v="2019-11-11T00:00:00"/>
    <d v="1899-12-30T21:13:53"/>
    <n v="-76.655448981404405"/>
    <n v="3.3541432947293801"/>
    <n v="4"/>
    <s v="Izquierdo"/>
    <s v="alvaro Javier"/>
    <n v="2600"/>
    <b v="1"/>
    <b v="0"/>
    <n v="9"/>
    <n v="0"/>
    <n v="5"/>
    <s v="arbusto"/>
    <s v="Bosque Secundario"/>
    <m/>
    <x v="8"/>
    <m/>
    <n v="1"/>
    <m/>
    <m/>
    <s v="Ninguna"/>
    <m/>
    <m/>
    <m/>
    <m/>
    <m/>
    <m/>
    <m/>
    <m/>
    <m/>
    <m/>
    <m/>
    <m/>
    <m/>
    <m/>
    <m/>
    <m/>
    <m/>
  </r>
  <r>
    <x v="2"/>
    <x v="2"/>
    <x v="10"/>
    <s v="FCCDT16"/>
    <x v="0"/>
    <d v="2019-11-11T00:00:00"/>
    <d v="1899-12-30T20:33:22"/>
    <n v="-76.655694487928898"/>
    <n v="3.3544691135718399"/>
    <n v="4"/>
    <s v="Derecho"/>
    <m/>
    <n v="2500"/>
    <b v="1"/>
    <b v="0"/>
    <n v="5"/>
    <n v="0"/>
    <n v="8"/>
    <m/>
    <s v="Bosque Secundario"/>
    <s v="PUNTO INICIAL T2"/>
    <x v="0"/>
    <m/>
    <n v="0"/>
    <m/>
    <m/>
    <s v="Ninguna"/>
    <m/>
    <m/>
    <m/>
    <m/>
    <m/>
    <m/>
    <m/>
    <m/>
    <m/>
    <m/>
    <m/>
    <m/>
    <m/>
    <m/>
    <m/>
    <m/>
    <m/>
  </r>
  <r>
    <x v="2"/>
    <x v="2"/>
    <x v="11"/>
    <s v="FCCDT14"/>
    <x v="3"/>
    <d v="2019-11-11T00:00:00"/>
    <d v="1899-12-30T22:54:13"/>
    <n v="-76.651871505806895"/>
    <n v="3.3532417483226902"/>
    <n v="4"/>
    <s v="Derecho"/>
    <m/>
    <n v="2526"/>
    <b v="1"/>
    <b v="0"/>
    <n v="18"/>
    <n v="0"/>
    <n v="18"/>
    <m/>
    <s v="Bosque Secundario"/>
    <s v="PUNTO FINAL T4"/>
    <x v="0"/>
    <m/>
    <n v="0"/>
    <m/>
    <m/>
    <s v="Ninguna"/>
    <m/>
    <m/>
    <m/>
    <m/>
    <m/>
    <m/>
    <m/>
    <m/>
    <m/>
    <m/>
    <m/>
    <m/>
    <m/>
    <m/>
    <m/>
    <m/>
    <m/>
  </r>
  <r>
    <x v="2"/>
    <x v="2"/>
    <x v="10"/>
    <s v="FCCDT16"/>
    <x v="0"/>
    <d v="2019-11-11T00:00:00"/>
    <d v="1899-12-30T21:05:55"/>
    <n v="-76.655468560588005"/>
    <n v="3.3542101363388199"/>
    <n v="4"/>
    <s v="Izquierdo"/>
    <s v="alvaro Javier"/>
    <n v="2560"/>
    <b v="1"/>
    <b v="0"/>
    <n v="7"/>
    <n v="0"/>
    <n v="15"/>
    <s v="herbácea"/>
    <s v="Bosque Secundario"/>
    <m/>
    <x v="8"/>
    <m/>
    <n v="1"/>
    <m/>
    <m/>
    <s v="Ninguna"/>
    <m/>
    <m/>
    <m/>
    <m/>
    <m/>
    <m/>
    <m/>
    <m/>
    <m/>
    <m/>
    <m/>
    <m/>
    <m/>
    <m/>
    <m/>
    <m/>
    <m/>
  </r>
  <r>
    <x v="2"/>
    <x v="2"/>
    <x v="10"/>
    <s v="FCCDT16"/>
    <x v="0"/>
    <d v="2019-11-11T00:00:00"/>
    <d v="1899-12-30T20:56:45"/>
    <n v="-76.655670752264001"/>
    <n v="3.3542365177371001"/>
    <n v="4"/>
    <s v="Derecho"/>
    <s v="Eider Montaño"/>
    <n v="2580"/>
    <b v="1"/>
    <b v="0"/>
    <n v="15"/>
    <n v="0"/>
    <n v="5"/>
    <s v="herbácea"/>
    <s v="Bosque Secundario"/>
    <m/>
    <x v="8"/>
    <m/>
    <n v="1"/>
    <m/>
    <m/>
    <s v="Ninguna"/>
    <m/>
    <m/>
    <m/>
    <m/>
    <m/>
    <m/>
    <m/>
    <m/>
    <m/>
    <m/>
    <m/>
    <m/>
    <m/>
    <m/>
    <m/>
    <m/>
    <m/>
  </r>
  <r>
    <x v="2"/>
    <x v="2"/>
    <x v="10"/>
    <s v="FCCDT16"/>
    <x v="0"/>
    <d v="2019-11-11T00:00:00"/>
    <d v="1899-12-30T21:39:43"/>
    <n v="-76.654579684636005"/>
    <n v="3.3537161475125901"/>
    <n v="4"/>
    <s v="Derecho"/>
    <m/>
    <n v="2565"/>
    <b v="1"/>
    <b v="0"/>
    <n v="5"/>
    <n v="0"/>
    <n v="5"/>
    <m/>
    <s v="Bosque Secundario"/>
    <s v="PUNTO INICIAL T3"/>
    <x v="0"/>
    <m/>
    <n v="0"/>
    <m/>
    <m/>
    <s v="Ninguna"/>
    <m/>
    <m/>
    <m/>
    <m/>
    <m/>
    <m/>
    <m/>
    <m/>
    <m/>
    <m/>
    <m/>
    <m/>
    <m/>
    <m/>
    <m/>
    <m/>
    <m/>
  </r>
  <r>
    <x v="2"/>
    <x v="2"/>
    <x v="11"/>
    <s v="FCCDT14"/>
    <x v="3"/>
    <d v="2019-11-11T00:00:00"/>
    <d v="1899-12-30T22:30:09"/>
    <n v="-76.6527996344455"/>
    <n v="3.35359693598999"/>
    <n v="4"/>
    <s v="Derecho"/>
    <s v="Dannythza moná"/>
    <n v="2530"/>
    <b v="1"/>
    <b v="0"/>
    <n v="12"/>
    <n v="0"/>
    <n v="5"/>
    <s v="arbusto"/>
    <s v="Bosque Secundario"/>
    <s v="juvenil"/>
    <x v="8"/>
    <m/>
    <n v="1"/>
    <m/>
    <m/>
    <s v="Ninguna"/>
    <m/>
    <m/>
    <m/>
    <m/>
    <m/>
    <m/>
    <m/>
    <m/>
    <m/>
    <m/>
    <m/>
    <m/>
    <m/>
    <m/>
    <m/>
    <m/>
    <m/>
  </r>
  <r>
    <x v="2"/>
    <x v="2"/>
    <x v="10"/>
    <s v="FCCDT16"/>
    <x v="0"/>
    <d v="2019-11-11T00:00:00"/>
    <d v="1899-12-30T21:31:23"/>
    <n v="-76.655121635713002"/>
    <n v="3.3538548736179101"/>
    <n v="4"/>
    <s v="Derecho"/>
    <m/>
    <n v="2580"/>
    <b v="1"/>
    <b v="0"/>
    <n v="15"/>
    <n v="0"/>
    <n v="18"/>
    <m/>
    <s v="Bosque Secundario"/>
    <s v="PUNTO FINAL T2"/>
    <x v="0"/>
    <m/>
    <n v="0"/>
    <m/>
    <m/>
    <s v="Ninguna"/>
    <m/>
    <m/>
    <m/>
    <m/>
    <m/>
    <m/>
    <m/>
    <m/>
    <m/>
    <m/>
    <m/>
    <m/>
    <m/>
    <m/>
    <m/>
    <m/>
    <m/>
  </r>
  <r>
    <x v="2"/>
    <x v="2"/>
    <x v="11"/>
    <s v="FCCDT13"/>
    <x v="2"/>
    <d v="2019-11-11T00:00:00"/>
    <d v="1899-12-30T23:30:28"/>
    <n v="-76.649814883239699"/>
    <n v="3.3527553062339899"/>
    <n v="4"/>
    <s v="Izquierdo"/>
    <s v="Avaro Javier"/>
    <n v="2498"/>
    <b v="1"/>
    <b v="0"/>
    <n v="15"/>
    <n v="0"/>
    <n v="5"/>
    <s v="herbácea"/>
    <s v="Bosque Secundario"/>
    <s v="PUNTO FINAL T5"/>
    <x v="8"/>
    <m/>
    <n v="1"/>
    <m/>
    <m/>
    <s v="Ninguna"/>
    <m/>
    <m/>
    <m/>
    <m/>
    <m/>
    <m/>
    <m/>
    <m/>
    <m/>
    <m/>
    <m/>
    <m/>
    <m/>
    <m/>
    <m/>
    <m/>
    <m/>
  </r>
  <r>
    <x v="2"/>
    <x v="2"/>
    <x v="10"/>
    <s v="FCCDT17"/>
    <x v="1"/>
    <d v="2019-11-11T00:00:00"/>
    <d v="1899-12-30T20:04:45"/>
    <n v="-76.655855731629501"/>
    <n v="3.3547163411789298"/>
    <n v="4"/>
    <s v="Izquierdo"/>
    <s v="Alvari Javier"/>
    <n v="2500"/>
    <b v="1"/>
    <b v="0"/>
    <n v="13"/>
    <n v="0"/>
    <n v="6"/>
    <s v="Herbacea"/>
    <s v="Bosque Secundario"/>
    <s v="transecto 1"/>
    <x v="9"/>
    <m/>
    <n v="1"/>
    <m/>
    <m/>
    <s v="Ninguna"/>
    <m/>
    <m/>
    <m/>
    <m/>
    <m/>
    <m/>
    <m/>
    <m/>
    <m/>
    <m/>
    <m/>
    <m/>
    <m/>
    <m/>
    <m/>
    <m/>
    <m/>
  </r>
  <r>
    <x v="2"/>
    <x v="2"/>
    <x v="11"/>
    <s v="FCCDT15"/>
    <x v="4"/>
    <d v="2019-11-11T00:00:00"/>
    <d v="1899-12-30T22:20:36"/>
    <n v="-76.652945197237599"/>
    <n v="3.3533195088020098"/>
    <n v="4"/>
    <s v="Derecho"/>
    <m/>
    <n v="2540"/>
    <b v="1"/>
    <b v="0"/>
    <n v="10"/>
    <n v="0"/>
    <n v="15"/>
    <m/>
    <s v="Bosque Secundario"/>
    <s v="PUNTO UNICIAL T4"/>
    <x v="0"/>
    <m/>
    <n v="0"/>
    <m/>
    <m/>
    <s v="Ninguna"/>
    <m/>
    <m/>
    <m/>
    <m/>
    <m/>
    <m/>
    <m/>
    <m/>
    <m/>
    <m/>
    <m/>
    <m/>
    <m/>
    <m/>
    <m/>
    <m/>
    <m/>
  </r>
  <r>
    <x v="2"/>
    <x v="2"/>
    <x v="11"/>
    <s v="FCCDT14"/>
    <x v="3"/>
    <d v="2019-11-11T00:00:00"/>
    <d v="1899-12-30T23:02:25"/>
    <n v="-76.651447817168304"/>
    <n v="3.3532232857936801"/>
    <n v="4"/>
    <s v="Derecho"/>
    <m/>
    <n v="2517"/>
    <b v="1"/>
    <b v="0"/>
    <n v="18"/>
    <n v="0"/>
    <n v="5"/>
    <m/>
    <s v="Bosque Secundario"/>
    <s v="PUNTO INICIAL T5"/>
    <x v="0"/>
    <m/>
    <n v="0"/>
    <m/>
    <m/>
    <s v="Ninguna"/>
    <m/>
    <m/>
    <m/>
    <m/>
    <m/>
    <m/>
    <m/>
    <m/>
    <m/>
    <m/>
    <m/>
    <m/>
    <m/>
    <m/>
    <m/>
    <m/>
    <m/>
  </r>
  <r>
    <x v="2"/>
    <x v="2"/>
    <x v="10"/>
    <s v="FCCDT16"/>
    <x v="0"/>
    <d v="2019-11-11T00:00:00"/>
    <d v="1899-12-30T20:45:08"/>
    <n v="-76.655749567570794"/>
    <n v="3.35434526837021"/>
    <n v="4"/>
    <s v="Derecho"/>
    <s v="Dannythza moná"/>
    <n v="2600"/>
    <b v="1"/>
    <b v="0"/>
    <m/>
    <n v="0"/>
    <n v="10"/>
    <s v="Herbácea y arbusto"/>
    <s v="Bosque Secundario"/>
    <m/>
    <x v="8"/>
    <m/>
    <n v="2"/>
    <m/>
    <m/>
    <s v="Ninguna"/>
    <m/>
    <m/>
    <m/>
    <m/>
    <m/>
    <m/>
    <m/>
    <m/>
    <m/>
    <m/>
    <m/>
    <m/>
    <m/>
    <m/>
    <m/>
    <m/>
    <m/>
  </r>
  <r>
    <x v="2"/>
    <x v="3"/>
    <x v="12"/>
    <s v="FCABT2"/>
    <x v="1"/>
    <d v="2019-11-16T00:00:00"/>
    <d v="1899-12-30T21:08:57"/>
    <n v="-76.892519626766003"/>
    <n v="3.5954920990309698"/>
    <n v="4"/>
    <s v="Derecho"/>
    <s v="Alvaro Fierro"/>
    <n v="599"/>
    <b v="1"/>
    <b v="0"/>
    <n v="18"/>
    <m/>
    <n v="16"/>
    <s v="Anturio"/>
    <s v="Bosque Primario"/>
    <s v="pareja"/>
    <x v="37"/>
    <m/>
    <n v="2"/>
    <m/>
    <m/>
    <s v="Ninguna"/>
    <m/>
    <m/>
    <m/>
    <m/>
    <m/>
    <m/>
    <m/>
    <m/>
    <m/>
    <m/>
    <m/>
    <m/>
    <m/>
    <m/>
    <m/>
    <m/>
    <m/>
  </r>
  <r>
    <x v="2"/>
    <x v="3"/>
    <x v="12"/>
    <s v="FCABT2"/>
    <x v="1"/>
    <d v="2019-11-16T00:00:00"/>
    <d v="1899-12-30T20:32:38"/>
    <n v="-76.892283252003807"/>
    <n v="3.59565897419562"/>
    <n v="4"/>
    <m/>
    <m/>
    <n v="598"/>
    <b v="1"/>
    <b v="0"/>
    <n v="15"/>
    <m/>
    <n v="20"/>
    <m/>
    <s v="Bosque Secundario"/>
    <s v="pf"/>
    <x v="0"/>
    <m/>
    <n v="0"/>
    <m/>
    <m/>
    <s v="Ninguna"/>
    <m/>
    <m/>
    <m/>
    <m/>
    <m/>
    <m/>
    <m/>
    <m/>
    <m/>
    <m/>
    <m/>
    <m/>
    <m/>
    <m/>
    <m/>
    <m/>
    <m/>
  </r>
  <r>
    <x v="2"/>
    <x v="3"/>
    <x v="12"/>
    <s v="FCABT2"/>
    <x v="1"/>
    <d v="2019-11-16T00:00:00"/>
    <d v="1899-12-30T21:16:28"/>
    <n v="-76.892568732481394"/>
    <n v="3.5955185240818799"/>
    <n v="4"/>
    <s v="Derecho"/>
    <s v="Alvaro Fierro"/>
    <n v="600"/>
    <b v="1"/>
    <b v="0"/>
    <n v="25"/>
    <m/>
    <n v="10"/>
    <s v="Herbácea Helecho"/>
    <s v="Bosque Primario"/>
    <m/>
    <x v="15"/>
    <m/>
    <n v="1"/>
    <m/>
    <m/>
    <s v="Ninguna"/>
    <m/>
    <m/>
    <m/>
    <m/>
    <m/>
    <m/>
    <m/>
    <m/>
    <m/>
    <m/>
    <m/>
    <m/>
    <m/>
    <m/>
    <m/>
    <m/>
    <m/>
  </r>
  <r>
    <x v="2"/>
    <x v="3"/>
    <x v="12"/>
    <s v="FCABT2"/>
    <x v="1"/>
    <d v="2019-11-16T00:00:00"/>
    <d v="1899-12-30T21:16:28"/>
    <n v="-76.892568732481394"/>
    <n v="3.5955185240818799"/>
    <n v="4"/>
    <s v="Derecho"/>
    <s v="Alvaro Fierro"/>
    <n v="600"/>
    <b v="1"/>
    <b v="0"/>
    <n v="25"/>
    <m/>
    <n v="10"/>
    <s v="suelo"/>
    <s v="Bosque Primario"/>
    <m/>
    <x v="15"/>
    <m/>
    <n v="1"/>
    <m/>
    <m/>
    <s v="Ninguna"/>
    <m/>
    <m/>
    <m/>
    <m/>
    <m/>
    <m/>
    <m/>
    <m/>
    <m/>
    <m/>
    <m/>
    <m/>
    <m/>
    <m/>
    <m/>
    <m/>
    <m/>
  </r>
  <r>
    <x v="2"/>
    <x v="3"/>
    <x v="12"/>
    <s v="FCABT2"/>
    <x v="1"/>
    <d v="2019-11-16T00:00:00"/>
    <d v="1899-12-30T20:52:38"/>
    <n v="-76.892493382465702"/>
    <n v="3.59552470491096"/>
    <n v="4"/>
    <s v="Izquierdo"/>
    <s v="Gustavo Rodriguez"/>
    <n v="572"/>
    <b v="1"/>
    <b v="0"/>
    <n v="20"/>
    <m/>
    <m/>
    <s v="hierba"/>
    <s v="Bosque Secundario"/>
    <m/>
    <x v="15"/>
    <m/>
    <n v="1"/>
    <m/>
    <m/>
    <s v="Ninguna"/>
    <m/>
    <m/>
    <m/>
    <m/>
    <m/>
    <m/>
    <m/>
    <m/>
    <m/>
    <m/>
    <m/>
    <m/>
    <m/>
    <m/>
    <m/>
    <m/>
    <m/>
  </r>
  <r>
    <x v="2"/>
    <x v="3"/>
    <x v="12"/>
    <s v="FCABT1"/>
    <x v="0"/>
    <d v="2019-11-16T00:00:00"/>
    <d v="1899-12-30T20:01:30"/>
    <n v="-76.892138089579603"/>
    <n v="3.5950463339044001"/>
    <n v="4"/>
    <s v="Derecho"/>
    <s v="Guillermo Guerrero"/>
    <n v="597"/>
    <b v="1"/>
    <b v="0"/>
    <n v="25"/>
    <m/>
    <n v="15"/>
    <s v="Hierba"/>
    <s v="Bosque Secundario"/>
    <m/>
    <x v="15"/>
    <m/>
    <n v="1"/>
    <m/>
    <m/>
    <s v="Ninguna"/>
    <m/>
    <m/>
    <m/>
    <m/>
    <m/>
    <m/>
    <m/>
    <m/>
    <m/>
    <m/>
    <m/>
    <m/>
    <m/>
    <m/>
    <m/>
    <m/>
    <m/>
  </r>
  <r>
    <x v="2"/>
    <x v="3"/>
    <x v="12"/>
    <s v="FCABT1"/>
    <x v="0"/>
    <d v="2019-11-16T00:00:00"/>
    <d v="1899-12-30T20:01:30"/>
    <n v="-76.892138089579603"/>
    <n v="3.5950463339044001"/>
    <n v="4"/>
    <s v="Izquierdo"/>
    <s v="Gustavo Rodriguez"/>
    <n v="596"/>
    <b v="1"/>
    <b v="0"/>
    <n v="20"/>
    <m/>
    <n v="15"/>
    <s v="Hierba"/>
    <s v="Bosque Secundario"/>
    <m/>
    <x v="15"/>
    <m/>
    <n v="1"/>
    <m/>
    <m/>
    <s v="Ninguna"/>
    <m/>
    <m/>
    <m/>
    <m/>
    <m/>
    <m/>
    <m/>
    <m/>
    <m/>
    <m/>
    <m/>
    <m/>
    <m/>
    <m/>
    <m/>
    <m/>
    <m/>
  </r>
  <r>
    <x v="2"/>
    <x v="3"/>
    <x v="12"/>
    <s v="FCABT1"/>
    <x v="0"/>
    <d v="2019-11-16T00:00:00"/>
    <d v="1899-12-30T20:01:30"/>
    <n v="-76.892138089579603"/>
    <n v="3.5950463339044001"/>
    <n v="4"/>
    <s v="Izquierdo"/>
    <s v="Dannythza Mona"/>
    <n v="594"/>
    <b v="1"/>
    <b v="0"/>
    <n v="25"/>
    <m/>
    <n v="15"/>
    <s v="arbusto"/>
    <s v="Bosque Secundario"/>
    <m/>
    <x v="15"/>
    <m/>
    <n v="1"/>
    <m/>
    <m/>
    <s v="Ninguna"/>
    <m/>
    <m/>
    <m/>
    <m/>
    <m/>
    <m/>
    <m/>
    <m/>
    <m/>
    <m/>
    <m/>
    <m/>
    <m/>
    <m/>
    <m/>
    <m/>
    <m/>
  </r>
  <r>
    <x v="2"/>
    <x v="3"/>
    <x v="12"/>
    <s v="FCABT4"/>
    <x v="3"/>
    <d v="2019-11-16T00:00:00"/>
    <d v="1899-12-30T22:35:57"/>
    <n v="-76.888735343661807"/>
    <n v="3.5971203910936098"/>
    <n v="4"/>
    <s v="Derecho"/>
    <s v="Gustavo Rodriguez"/>
    <n v="590"/>
    <b v="1"/>
    <b v="0"/>
    <n v="30"/>
    <m/>
    <n v="11"/>
    <s v="Roca"/>
    <s v="Bosque Secundario"/>
    <s v="pi t4 Riqueza"/>
    <x v="15"/>
    <m/>
    <n v="1"/>
    <m/>
    <m/>
    <s v="Vías"/>
    <m/>
    <m/>
    <m/>
    <m/>
    <m/>
    <m/>
    <m/>
    <m/>
    <m/>
    <m/>
    <m/>
    <m/>
    <m/>
    <m/>
    <m/>
    <m/>
    <m/>
  </r>
  <r>
    <x v="2"/>
    <x v="3"/>
    <x v="12"/>
    <s v="FCABT4"/>
    <x v="3"/>
    <d v="2019-11-16T00:00:00"/>
    <d v="1899-12-30T23:15:00"/>
    <n v="-76.888382369596002"/>
    <n v="3.59808251073534"/>
    <n v="4"/>
    <m/>
    <m/>
    <n v="533"/>
    <b v="1"/>
    <b v="0"/>
    <n v="25"/>
    <m/>
    <n v="15"/>
    <m/>
    <s v="Bosque Secundario"/>
    <s v="pf T4 Riqueza"/>
    <x v="0"/>
    <m/>
    <n v="0"/>
    <m/>
    <m/>
    <s v="Vías"/>
    <m/>
    <m/>
    <m/>
    <m/>
    <m/>
    <m/>
    <m/>
    <m/>
    <m/>
    <m/>
    <m/>
    <m/>
    <m/>
    <m/>
    <m/>
    <m/>
    <m/>
  </r>
  <r>
    <x v="2"/>
    <x v="3"/>
    <x v="12"/>
    <s v="FCABT4"/>
    <x v="3"/>
    <d v="2019-11-16T00:00:00"/>
    <d v="1899-12-30T22:57:33"/>
    <n v="-76.8885821203924"/>
    <n v="3.5977703592358101"/>
    <n v="4"/>
    <s v="Izquierdo"/>
    <s v="Gustavo Rodriguez"/>
    <n v="590"/>
    <b v="1"/>
    <b v="0"/>
    <n v="15"/>
    <m/>
    <n v="20"/>
    <s v="hierba"/>
    <s v="Bosque Secundario"/>
    <m/>
    <x v="15"/>
    <m/>
    <n v="1"/>
    <m/>
    <m/>
    <s v="Vías"/>
    <m/>
    <m/>
    <m/>
    <m/>
    <m/>
    <m/>
    <m/>
    <m/>
    <m/>
    <m/>
    <m/>
    <m/>
    <m/>
    <m/>
    <m/>
    <m/>
    <m/>
  </r>
  <r>
    <x v="2"/>
    <x v="3"/>
    <x v="12"/>
    <s v="FCABT4"/>
    <x v="3"/>
    <d v="2019-11-16T00:00:00"/>
    <d v="1899-12-30T22:57:33"/>
    <n v="-76.8885821203924"/>
    <n v="3.5977703592358101"/>
    <n v="4"/>
    <s v="Derecho"/>
    <s v="Guillermo Guerrero"/>
    <n v="590"/>
    <b v="1"/>
    <b v="0"/>
    <n v="30"/>
    <m/>
    <n v="10"/>
    <s v="suelo"/>
    <s v="Bosque Secundario"/>
    <m/>
    <x v="15"/>
    <m/>
    <n v="1"/>
    <m/>
    <m/>
    <s v="Vías"/>
    <m/>
    <m/>
    <m/>
    <m/>
    <m/>
    <m/>
    <m/>
    <m/>
    <m/>
    <m/>
    <m/>
    <m/>
    <m/>
    <m/>
    <m/>
    <m/>
    <m/>
  </r>
  <r>
    <x v="2"/>
    <x v="3"/>
    <x v="12"/>
    <s v="FCABT3"/>
    <x v="2"/>
    <d v="2019-11-16T00:00:00"/>
    <d v="1899-12-30T21:48:00"/>
    <n v="-76.893038965661205"/>
    <n v="3.5962833075515199"/>
    <n v="4"/>
    <s v="Derecho"/>
    <m/>
    <n v="588"/>
    <b v="1"/>
    <b v="0"/>
    <n v="18"/>
    <n v="0"/>
    <n v="20"/>
    <m/>
    <s v="Bosque Secundario"/>
    <s v="punto inicial t3"/>
    <x v="0"/>
    <m/>
    <n v="0"/>
    <m/>
    <m/>
    <s v="Ninguna"/>
    <m/>
    <m/>
    <m/>
    <m/>
    <m/>
    <m/>
    <m/>
    <m/>
    <m/>
    <m/>
    <m/>
    <m/>
    <m/>
    <m/>
    <m/>
    <m/>
    <m/>
  </r>
  <r>
    <x v="2"/>
    <x v="3"/>
    <x v="12"/>
    <s v="FCABT2"/>
    <x v="1"/>
    <d v="2019-11-16T00:00:00"/>
    <d v="1899-12-30T20:20:26"/>
    <n v="-76.892203717650304"/>
    <n v="3.59550555396482"/>
    <n v="4"/>
    <s v="Derecho"/>
    <s v="Guillermo Guerrero"/>
    <n v="595"/>
    <b v="1"/>
    <b v="0"/>
    <n v="20"/>
    <m/>
    <n v="12"/>
    <s v="hierba"/>
    <s v="Bosque Secundario"/>
    <m/>
    <x v="15"/>
    <m/>
    <n v="1"/>
    <m/>
    <m/>
    <s v="Otra"/>
    <m/>
    <s v="infraestructura"/>
    <m/>
    <m/>
    <m/>
    <m/>
    <m/>
    <m/>
    <m/>
    <m/>
    <m/>
    <m/>
    <m/>
    <m/>
    <m/>
    <m/>
    <m/>
  </r>
  <r>
    <x v="2"/>
    <x v="3"/>
    <x v="12"/>
    <s v="FCABT2"/>
    <x v="1"/>
    <d v="2019-11-16T00:00:00"/>
    <d v="1899-12-30T20:20:26"/>
    <n v="-76.892203717650304"/>
    <n v="3.59550555396482"/>
    <n v="4"/>
    <s v="Derecho"/>
    <s v="Alvaro Fierro"/>
    <n v="595"/>
    <b v="1"/>
    <b v="0"/>
    <n v="25"/>
    <m/>
    <n v="12"/>
    <s v="hierba"/>
    <s v="Bosque Secundario"/>
    <m/>
    <x v="15"/>
    <m/>
    <n v="1"/>
    <m/>
    <m/>
    <s v="Otra"/>
    <m/>
    <s v="infraestructura"/>
    <m/>
    <m/>
    <m/>
    <m/>
    <m/>
    <m/>
    <m/>
    <m/>
    <m/>
    <m/>
    <m/>
    <m/>
    <m/>
    <m/>
    <m/>
  </r>
  <r>
    <x v="2"/>
    <x v="3"/>
    <x v="12"/>
    <s v="FCABT1"/>
    <x v="0"/>
    <d v="2019-11-16T00:00:00"/>
    <d v="1899-12-30T19:35:03"/>
    <n v="-76.892006535818496"/>
    <n v="3.5946518722407599"/>
    <n v="4"/>
    <s v="Derecho"/>
    <s v="Álvaro Fierro"/>
    <n v="566"/>
    <b v="1"/>
    <b v="0"/>
    <n v="20"/>
    <n v="0"/>
    <n v="15"/>
    <s v="roca"/>
    <s v="Bosque Secundario"/>
    <m/>
    <x v="15"/>
    <m/>
    <n v="1"/>
    <m/>
    <m/>
    <s v="Ninguna"/>
    <m/>
    <m/>
    <m/>
    <m/>
    <m/>
    <m/>
    <m/>
    <m/>
    <m/>
    <m/>
    <m/>
    <m/>
    <m/>
    <m/>
    <m/>
    <m/>
    <m/>
  </r>
  <r>
    <x v="2"/>
    <x v="3"/>
    <x v="12"/>
    <s v="FCABT1"/>
    <x v="0"/>
    <d v="2019-11-16T00:00:00"/>
    <d v="1899-12-30T19:35:03"/>
    <n v="-76.892006535818496"/>
    <n v="3.5946518722407599"/>
    <n v="4"/>
    <s v="Derecho"/>
    <s v="Álvaro Fierro"/>
    <n v="688"/>
    <b v="1"/>
    <b v="0"/>
    <n v="20"/>
    <m/>
    <n v="15"/>
    <s v="Roca"/>
    <s v="Bosque Secundario"/>
    <m/>
    <x v="15"/>
    <m/>
    <n v="1"/>
    <m/>
    <m/>
    <s v="Otra"/>
    <m/>
    <s v="deslizamientos"/>
    <m/>
    <m/>
    <m/>
    <m/>
    <m/>
    <m/>
    <m/>
    <m/>
    <m/>
    <m/>
    <m/>
    <m/>
    <m/>
    <m/>
    <m/>
  </r>
  <r>
    <x v="2"/>
    <x v="3"/>
    <x v="12"/>
    <s v="FCABT1"/>
    <x v="0"/>
    <d v="2019-11-16T00:00:00"/>
    <d v="1899-12-30T19:26:59"/>
    <n v="-76.891661176818502"/>
    <n v="3.5946991755356601"/>
    <n v="4"/>
    <s v="Izquierdo"/>
    <s v="Gustavo Rodriguez"/>
    <n v="679"/>
    <b v="1"/>
    <b v="0"/>
    <n v="30"/>
    <m/>
    <n v="20"/>
    <m/>
    <s v="Bosque Secundario"/>
    <s v="tronco caído"/>
    <x v="0"/>
    <m/>
    <n v="0"/>
    <m/>
    <m/>
    <s v="Otra"/>
    <m/>
    <s v="Deslizamiento"/>
    <m/>
    <m/>
    <m/>
    <m/>
    <m/>
    <m/>
    <m/>
    <m/>
    <m/>
    <m/>
    <m/>
    <m/>
    <m/>
    <m/>
    <m/>
  </r>
  <r>
    <x v="2"/>
    <x v="3"/>
    <x v="12"/>
    <s v="FCABT4"/>
    <x v="3"/>
    <d v="2019-11-16T00:00:00"/>
    <d v="1899-12-30T23:09:01"/>
    <n v="-76.888472022805402"/>
    <n v="3.5978976312301798"/>
    <n v="4"/>
    <s v="Izquierdo"/>
    <s v="Dannythza Mona"/>
    <n v="533"/>
    <b v="1"/>
    <b v="0"/>
    <n v="18"/>
    <m/>
    <n v="20"/>
    <s v="suelo"/>
    <s v="Bosque Secundario"/>
    <m/>
    <x v="15"/>
    <m/>
    <n v="1"/>
    <m/>
    <m/>
    <s v="Vías"/>
    <m/>
    <m/>
    <m/>
    <m/>
    <m/>
    <m/>
    <m/>
    <m/>
    <m/>
    <m/>
    <m/>
    <m/>
    <m/>
    <m/>
    <m/>
    <m/>
    <m/>
  </r>
  <r>
    <x v="2"/>
    <x v="3"/>
    <x v="12"/>
    <s v="FCABT2"/>
    <x v="1"/>
    <d v="2019-11-16T00:00:00"/>
    <d v="1899-12-30T20:38:35"/>
    <n v="-76.892348951025397"/>
    <n v="3.59558408249623"/>
    <n v="4"/>
    <m/>
    <m/>
    <n v="572"/>
    <b v="1"/>
    <b v="0"/>
    <n v="20"/>
    <m/>
    <n v="25"/>
    <m/>
    <s v="Bosque Secundario"/>
    <s v="T2 pi Riqueza"/>
    <x v="0"/>
    <m/>
    <n v="0"/>
    <m/>
    <m/>
    <s v="Ninguna"/>
    <m/>
    <m/>
    <m/>
    <m/>
    <m/>
    <m/>
    <m/>
    <m/>
    <m/>
    <m/>
    <m/>
    <m/>
    <m/>
    <m/>
    <m/>
    <m/>
    <m/>
  </r>
  <r>
    <x v="2"/>
    <x v="3"/>
    <x v="12"/>
    <s v="FCABT2"/>
    <x v="1"/>
    <d v="2019-11-16T00:00:00"/>
    <d v="1899-12-30T21:29:02"/>
    <n v="-76.892689087803603"/>
    <n v="3.59568679529667"/>
    <n v="4"/>
    <s v="Izquierdo"/>
    <s v="Gustavo Rodriguez"/>
    <n v="600"/>
    <b v="1"/>
    <b v="0"/>
    <n v="15"/>
    <m/>
    <n v="10"/>
    <s v="hierba"/>
    <s v="Bosque Primario"/>
    <m/>
    <x v="15"/>
    <m/>
    <n v="1"/>
    <m/>
    <m/>
    <s v="Ninguna"/>
    <m/>
    <m/>
    <m/>
    <m/>
    <m/>
    <m/>
    <m/>
    <m/>
    <m/>
    <m/>
    <m/>
    <m/>
    <m/>
    <m/>
    <m/>
    <m/>
    <m/>
  </r>
  <r>
    <x v="2"/>
    <x v="3"/>
    <x v="12"/>
    <s v="FCABT2"/>
    <x v="1"/>
    <d v="2019-11-16T00:00:00"/>
    <d v="1899-12-30T21:29:02"/>
    <n v="-76.892689087803603"/>
    <n v="3.59568679529667"/>
    <n v="4"/>
    <m/>
    <m/>
    <n v="600"/>
    <b v="1"/>
    <b v="0"/>
    <n v="15"/>
    <m/>
    <n v="15"/>
    <m/>
    <s v="Bosque Primario"/>
    <s v="punto final t2"/>
    <x v="0"/>
    <m/>
    <n v="0"/>
    <m/>
    <m/>
    <s v="Ninguna"/>
    <m/>
    <m/>
    <m/>
    <m/>
    <m/>
    <m/>
    <m/>
    <m/>
    <m/>
    <m/>
    <m/>
    <m/>
    <m/>
    <m/>
    <m/>
    <m/>
    <m/>
  </r>
  <r>
    <x v="2"/>
    <x v="3"/>
    <x v="12"/>
    <s v="FCABT1"/>
    <x v="0"/>
    <d v="2019-11-16T00:00:00"/>
    <d v="1899-12-30T19:47:48"/>
    <n v="-76.892167443128798"/>
    <n v="3.5946840833989402"/>
    <n v="4"/>
    <s v="Izquierdo"/>
    <s v="Gustavo Rodriguez"/>
    <n v="592"/>
    <b v="1"/>
    <b v="0"/>
    <n v="20"/>
    <m/>
    <n v="10"/>
    <s v="Hierba"/>
    <s v="Bosque Secundario"/>
    <m/>
    <x v="15"/>
    <m/>
    <n v="1"/>
    <m/>
    <m/>
    <s v="Ninguna"/>
    <m/>
    <m/>
    <m/>
    <m/>
    <m/>
    <m/>
    <m/>
    <m/>
    <m/>
    <m/>
    <m/>
    <m/>
    <m/>
    <m/>
    <m/>
    <m/>
    <m/>
  </r>
  <r>
    <x v="2"/>
    <x v="3"/>
    <x v="12"/>
    <s v="FCABT3"/>
    <x v="2"/>
    <d v="2019-11-16T00:00:00"/>
    <d v="1899-12-30T22:14:20"/>
    <n v="-76.892710465440402"/>
    <n v="3.5967803381899301"/>
    <n v="4"/>
    <m/>
    <m/>
    <n v="608"/>
    <b v="1"/>
    <b v="0"/>
    <n v="20"/>
    <m/>
    <n v="18"/>
    <m/>
    <s v="Bosque Secundario"/>
    <s v="Pf T3 Riqueza"/>
    <x v="0"/>
    <m/>
    <n v="0"/>
    <m/>
    <m/>
    <s v="Ninguna"/>
    <m/>
    <m/>
    <m/>
    <m/>
    <m/>
    <m/>
    <m/>
    <m/>
    <m/>
    <m/>
    <m/>
    <m/>
    <m/>
    <m/>
    <m/>
    <m/>
    <m/>
  </r>
  <r>
    <x v="2"/>
    <x v="3"/>
    <x v="14"/>
    <s v="FCAAT11"/>
    <x v="0"/>
    <d v="2019-11-17T00:00:00"/>
    <d v="1899-12-30T20:36:57"/>
    <n v="-76.881645768929403"/>
    <n v="3.5526508881710002"/>
    <n v="4"/>
    <s v="Derecho"/>
    <s v="Alvaro Fierro"/>
    <n v="585"/>
    <b v="1"/>
    <b v="0"/>
    <n v="8"/>
    <m/>
    <n v="5"/>
    <m/>
    <s v="Bosque Secundario"/>
    <m/>
    <x v="20"/>
    <m/>
    <n v="1"/>
    <m/>
    <m/>
    <s v="Vías"/>
    <m/>
    <m/>
    <m/>
    <m/>
    <m/>
    <m/>
    <m/>
    <m/>
    <m/>
    <m/>
    <m/>
    <m/>
    <m/>
    <m/>
    <m/>
    <m/>
    <m/>
  </r>
  <r>
    <x v="2"/>
    <x v="3"/>
    <x v="14"/>
    <s v="FCAAT11"/>
    <x v="0"/>
    <d v="2019-11-17T00:00:00"/>
    <d v="1899-12-30T20:36:57"/>
    <n v="-76.881645768929403"/>
    <n v="3.5526508881710002"/>
    <n v="4"/>
    <s v="Izquierdo"/>
    <s v="Alvaro Fierro"/>
    <n v="580"/>
    <b v="1"/>
    <b v="0"/>
    <n v="8"/>
    <m/>
    <n v="2"/>
    <s v="hierba"/>
    <s v="Arbustal"/>
    <m/>
    <x v="15"/>
    <m/>
    <n v="1"/>
    <m/>
    <m/>
    <s v="Vías"/>
    <m/>
    <m/>
    <m/>
    <m/>
    <m/>
    <m/>
    <m/>
    <m/>
    <m/>
    <m/>
    <m/>
    <m/>
    <m/>
    <m/>
    <m/>
    <m/>
    <m/>
  </r>
  <r>
    <x v="2"/>
    <x v="3"/>
    <x v="14"/>
    <s v="FCAAT12"/>
    <x v="1"/>
    <d v="2019-11-17T00:00:00"/>
    <d v="1899-12-30T20:53:30"/>
    <n v="-76.882256838465807"/>
    <n v="3.5525244507917799"/>
    <n v="4"/>
    <s v="Izquierdo"/>
    <m/>
    <n v="581"/>
    <b v="1"/>
    <b v="0"/>
    <n v="15"/>
    <m/>
    <n v="6"/>
    <m/>
    <s v="Bosque Secundario"/>
    <s v="punto inicial t2"/>
    <x v="0"/>
    <m/>
    <n v="0"/>
    <m/>
    <m/>
    <s v="Vías"/>
    <m/>
    <m/>
    <m/>
    <m/>
    <m/>
    <m/>
    <m/>
    <m/>
    <m/>
    <m/>
    <m/>
    <m/>
    <m/>
    <m/>
    <m/>
    <m/>
    <m/>
  </r>
  <r>
    <x v="2"/>
    <x v="3"/>
    <x v="14"/>
    <s v="FCAAT12"/>
    <x v="1"/>
    <d v="2019-11-17T00:00:00"/>
    <d v="1899-12-30T20:53:30"/>
    <n v="-76.882256838465807"/>
    <n v="3.5525244507917799"/>
    <n v="4"/>
    <s v="Izquierdo"/>
    <s v="Gustavo Rodriguez"/>
    <n v="581"/>
    <b v="1"/>
    <b v="0"/>
    <n v="7"/>
    <m/>
    <n v="6"/>
    <s v="hierba"/>
    <s v="Bosque Secundario"/>
    <m/>
    <x v="28"/>
    <m/>
    <n v="1"/>
    <m/>
    <m/>
    <s v="Ninguna"/>
    <m/>
    <m/>
    <m/>
    <m/>
    <m/>
    <m/>
    <m/>
    <m/>
    <m/>
    <m/>
    <m/>
    <m/>
    <m/>
    <m/>
    <m/>
    <m/>
    <m/>
  </r>
  <r>
    <x v="2"/>
    <x v="3"/>
    <x v="14"/>
    <s v="FCAAT13"/>
    <x v="2"/>
    <d v="2019-11-17T00:00:00"/>
    <d v="1899-12-30T21:56:25"/>
    <n v="-76.883289490816907"/>
    <n v="3.5524213771414699"/>
    <n v="4"/>
    <s v="Izquierdo"/>
    <s v="Gustavo Rodriguez"/>
    <n v="560"/>
    <b v="1"/>
    <b v="0"/>
    <n v="18"/>
    <m/>
    <n v="8"/>
    <s v="H ierba"/>
    <s v="Bosque Secundario"/>
    <m/>
    <x v="15"/>
    <m/>
    <n v="1"/>
    <m/>
    <m/>
    <s v="Vías"/>
    <m/>
    <m/>
    <m/>
    <m/>
    <m/>
    <m/>
    <m/>
    <m/>
    <m/>
    <m/>
    <m/>
    <m/>
    <m/>
    <m/>
    <m/>
    <m/>
    <m/>
  </r>
  <r>
    <x v="2"/>
    <x v="3"/>
    <x v="14"/>
    <s v="FCAAT11"/>
    <x v="0"/>
    <d v="2019-11-17T00:00:00"/>
    <d v="1899-12-30T19:39:50"/>
    <n v="-76.880791189042299"/>
    <n v="3.5526555742686399"/>
    <n v="4"/>
    <s v="Izquierdo"/>
    <m/>
    <n v="552"/>
    <b v="1"/>
    <b v="0"/>
    <m/>
    <m/>
    <n v="15"/>
    <s v="Herbáceas"/>
    <s v="Arbustal"/>
    <m/>
    <x v="21"/>
    <m/>
    <n v="2"/>
    <m/>
    <m/>
    <s v="Vías"/>
    <m/>
    <m/>
    <m/>
    <m/>
    <m/>
    <m/>
    <m/>
    <m/>
    <m/>
    <m/>
    <m/>
    <m/>
    <m/>
    <m/>
    <m/>
    <m/>
    <m/>
  </r>
  <r>
    <x v="2"/>
    <x v="3"/>
    <x v="14"/>
    <s v="FCAAT11"/>
    <x v="0"/>
    <d v="2019-11-17T00:00:00"/>
    <d v="1899-12-30T20:16:33"/>
    <n v="-76.881317640927705"/>
    <n v="3.5526062942963201"/>
    <n v="4"/>
    <s v="Izquierdo"/>
    <s v="Gustavo Rodriguez"/>
    <n v="580"/>
    <b v="1"/>
    <b v="0"/>
    <n v="1"/>
    <m/>
    <n v="18"/>
    <s v="herbácea"/>
    <s v="Arbustal"/>
    <m/>
    <x v="28"/>
    <m/>
    <n v="1"/>
    <m/>
    <m/>
    <s v="Vías"/>
    <m/>
    <m/>
    <m/>
    <m/>
    <m/>
    <m/>
    <m/>
    <m/>
    <m/>
    <m/>
    <m/>
    <m/>
    <m/>
    <m/>
    <m/>
    <m/>
    <m/>
  </r>
  <r>
    <x v="2"/>
    <x v="3"/>
    <x v="14"/>
    <s v="FCAAT14"/>
    <x v="3"/>
    <d v="2019-11-17T00:00:00"/>
    <d v="1899-12-30T22:16:32"/>
    <n v="-76.882610023833294"/>
    <n v="3.55251629278091"/>
    <n v="4"/>
    <s v="Izquierdo"/>
    <s v="Gustavo Rodriguez"/>
    <n v="565"/>
    <b v="1"/>
    <b v="1"/>
    <n v="15"/>
    <n v="2.5"/>
    <n v="5"/>
    <s v="hoja platanilla"/>
    <s v="Bosque Secundario"/>
    <m/>
    <x v="15"/>
    <m/>
    <n v="1"/>
    <m/>
    <m/>
    <s v="Otra"/>
    <m/>
    <s v="Desagüe"/>
    <m/>
    <m/>
    <m/>
    <m/>
    <m/>
    <m/>
    <m/>
    <m/>
    <m/>
    <m/>
    <m/>
    <m/>
    <m/>
    <m/>
    <m/>
  </r>
  <r>
    <x v="2"/>
    <x v="3"/>
    <x v="14"/>
    <s v="FCAAT13"/>
    <x v="2"/>
    <d v="2019-11-17T00:00:00"/>
    <d v="1899-12-30T22:00:41"/>
    <n v="-76.883269666417405"/>
    <n v="3.55243462243264"/>
    <n v="4"/>
    <s v="Derecho"/>
    <s v="Alvaro Fierro"/>
    <n v="560"/>
    <b v="1"/>
    <b v="0"/>
    <n v="12"/>
    <m/>
    <n v="12"/>
    <s v="suelo"/>
    <s v="Bosque Secundario"/>
    <m/>
    <x v="29"/>
    <m/>
    <n v="1"/>
    <m/>
    <m/>
    <s v="Vías"/>
    <m/>
    <m/>
    <m/>
    <m/>
    <m/>
    <m/>
    <m/>
    <m/>
    <m/>
    <m/>
    <m/>
    <m/>
    <m/>
    <m/>
    <m/>
    <m/>
    <m/>
  </r>
  <r>
    <x v="2"/>
    <x v="3"/>
    <x v="14"/>
    <s v="FCAAT13"/>
    <x v="2"/>
    <d v="2019-11-17T00:00:00"/>
    <d v="1899-12-30T22:00:41"/>
    <n v="-76.883269666417405"/>
    <n v="3.55243462243264"/>
    <n v="4"/>
    <s v="Izquierdo"/>
    <m/>
    <n v="500"/>
    <b v="1"/>
    <b v="0"/>
    <n v="15"/>
    <m/>
    <n v="8"/>
    <m/>
    <s v="Bosque Secundario"/>
    <s v="pf T2 murrapal"/>
    <x v="0"/>
    <m/>
    <n v="0"/>
    <m/>
    <m/>
    <s v="Vías"/>
    <m/>
    <m/>
    <m/>
    <m/>
    <m/>
    <m/>
    <m/>
    <m/>
    <m/>
    <m/>
    <m/>
    <m/>
    <m/>
    <m/>
    <m/>
    <m/>
    <m/>
  </r>
  <r>
    <x v="2"/>
    <x v="3"/>
    <x v="14"/>
    <s v="FCAAT11"/>
    <x v="0"/>
    <d v="2019-11-17T00:00:00"/>
    <d v="1899-12-30T19:23:09"/>
    <n v="-76.880703702932394"/>
    <n v="3.55267579988032"/>
    <n v="4"/>
    <m/>
    <m/>
    <n v="565"/>
    <b v="1"/>
    <b v="0"/>
    <m/>
    <m/>
    <n v="15"/>
    <m/>
    <s v="Arbustal"/>
    <s v="pi t1"/>
    <x v="0"/>
    <m/>
    <n v="0"/>
    <m/>
    <m/>
    <s v="Vías"/>
    <m/>
    <m/>
    <m/>
    <m/>
    <m/>
    <m/>
    <m/>
    <m/>
    <m/>
    <m/>
    <m/>
    <m/>
    <m/>
    <m/>
    <m/>
    <m/>
    <m/>
  </r>
  <r>
    <x v="2"/>
    <x v="3"/>
    <x v="14"/>
    <s v="FCAAT13"/>
    <x v="2"/>
    <d v="2019-11-17T00:00:00"/>
    <d v="1899-12-30T21:35:45"/>
    <n v="-76.882779868700595"/>
    <n v="3.5525313824220701"/>
    <n v="4"/>
    <s v="Derecho"/>
    <s v="Guillermo Guerrero"/>
    <n v="581"/>
    <b v="1"/>
    <m/>
    <n v="8"/>
    <m/>
    <n v="10"/>
    <s v="Hoja platanilla"/>
    <s v="Bosque Secundario"/>
    <m/>
    <x v="31"/>
    <m/>
    <n v="2"/>
    <m/>
    <m/>
    <s v="Ninguna"/>
    <m/>
    <m/>
    <m/>
    <m/>
    <m/>
    <m/>
    <m/>
    <m/>
    <m/>
    <m/>
    <m/>
    <m/>
    <m/>
    <m/>
    <m/>
    <m/>
    <m/>
  </r>
  <r>
    <x v="2"/>
    <x v="3"/>
    <x v="14"/>
    <s v="FCAAT14"/>
    <x v="3"/>
    <d v="2019-11-17T00:00:00"/>
    <d v="1899-12-30T22:09:43"/>
    <n v="-76.882621345426898"/>
    <n v="3.5524611044016399"/>
    <n v="4"/>
    <m/>
    <m/>
    <n v="565"/>
    <b v="1"/>
    <b v="1"/>
    <n v="10"/>
    <n v="2.5"/>
    <n v="15"/>
    <m/>
    <s v="Bosque Secundario"/>
    <s v="pi T3 murrapal Desague"/>
    <x v="0"/>
    <m/>
    <n v="0"/>
    <m/>
    <m/>
    <s v="Otra"/>
    <m/>
    <s v="Desahue"/>
    <m/>
    <m/>
    <m/>
    <m/>
    <m/>
    <m/>
    <m/>
    <m/>
    <m/>
    <m/>
    <m/>
    <m/>
    <m/>
    <m/>
    <m/>
  </r>
  <r>
    <x v="2"/>
    <x v="3"/>
    <x v="14"/>
    <s v="FCAAT13"/>
    <x v="2"/>
    <d v="2019-11-17T00:00:00"/>
    <d v="1899-12-30T21:23:41"/>
    <n v="-76.882760590425903"/>
    <n v="3.5524327547828598"/>
    <n v="4"/>
    <s v="Izquierdo"/>
    <s v="Gustavo Rodriguez"/>
    <n v="575"/>
    <b v="1"/>
    <b v="0"/>
    <n v="12"/>
    <m/>
    <n v="10"/>
    <s v="suelo"/>
    <s v="Bosque Secundario"/>
    <m/>
    <x v="29"/>
    <m/>
    <n v="1"/>
    <m/>
    <m/>
    <s v="Ninguna"/>
    <m/>
    <m/>
    <m/>
    <m/>
    <m/>
    <m/>
    <m/>
    <m/>
    <m/>
    <m/>
    <m/>
    <m/>
    <m/>
    <m/>
    <m/>
    <m/>
    <m/>
  </r>
  <r>
    <x v="2"/>
    <x v="3"/>
    <x v="14"/>
    <s v="FCAAT13"/>
    <x v="2"/>
    <d v="2019-11-17T00:00:00"/>
    <d v="1899-12-30T21:23:41"/>
    <n v="-76.882760590425903"/>
    <n v="3.5524327547828598"/>
    <n v="4"/>
    <s v="Izquierdo"/>
    <s v="Alvaro Fierro"/>
    <n v="570"/>
    <b v="1"/>
    <b v="0"/>
    <n v="12"/>
    <m/>
    <n v="10"/>
    <m/>
    <s v="Bosque Secundario"/>
    <m/>
    <x v="38"/>
    <m/>
    <n v="1"/>
    <m/>
    <m/>
    <s v="Ninguna"/>
    <m/>
    <m/>
    <m/>
    <m/>
    <m/>
    <m/>
    <m/>
    <m/>
    <m/>
    <m/>
    <m/>
    <m/>
    <m/>
    <m/>
    <m/>
    <m/>
    <m/>
  </r>
  <r>
    <x v="2"/>
    <x v="3"/>
    <x v="14"/>
    <s v="FCAAT11"/>
    <x v="0"/>
    <d v="2019-11-17T00:00:00"/>
    <d v="1899-12-30T19:56:51"/>
    <n v="-76.881091673093493"/>
    <n v="3.5526778474979701"/>
    <n v="4"/>
    <s v="Derecho"/>
    <s v="Alvaro Fierro"/>
    <n v="565"/>
    <b v="1"/>
    <m/>
    <n v="1"/>
    <m/>
    <n v="18"/>
    <s v="Suelo"/>
    <s v="Arbustal"/>
    <m/>
    <x v="15"/>
    <m/>
    <n v="1"/>
    <m/>
    <m/>
    <s v="Vías"/>
    <m/>
    <m/>
    <m/>
    <m/>
    <m/>
    <m/>
    <m/>
    <m/>
    <m/>
    <m/>
    <m/>
    <m/>
    <m/>
    <m/>
    <m/>
    <m/>
    <m/>
  </r>
  <r>
    <x v="2"/>
    <x v="3"/>
    <x v="14"/>
    <s v="FCAAT11"/>
    <x v="0"/>
    <d v="2019-11-17T00:00:00"/>
    <d v="1899-12-30T19:56:51"/>
    <n v="-76.881091673093493"/>
    <n v="3.5526778474979701"/>
    <n v="4"/>
    <s v="Derecho"/>
    <s v="Gustavo Rodriguez"/>
    <n v="565"/>
    <b v="1"/>
    <b v="0"/>
    <n v="1"/>
    <m/>
    <n v="18"/>
    <s v="suelo"/>
    <s v="Arbustal"/>
    <m/>
    <x v="20"/>
    <m/>
    <n v="1"/>
    <m/>
    <m/>
    <s v="Vías"/>
    <m/>
    <m/>
    <m/>
    <m/>
    <m/>
    <m/>
    <m/>
    <m/>
    <m/>
    <m/>
    <m/>
    <m/>
    <m/>
    <m/>
    <m/>
    <m/>
    <m/>
  </r>
  <r>
    <x v="2"/>
    <x v="3"/>
    <x v="14"/>
    <s v="FCAAT13"/>
    <x v="2"/>
    <d v="2019-11-17T00:00:00"/>
    <d v="1899-12-30T21:37:51"/>
    <n v="-76.882915233960105"/>
    <n v="3.5524283124302301"/>
    <n v="4"/>
    <s v="Derecho"/>
    <s v="Guillermo Guerrero"/>
    <n v="581"/>
    <b v="1"/>
    <b v="0"/>
    <n v="12"/>
    <m/>
    <n v="10"/>
    <s v="hoja platanillo"/>
    <s v="Bosque Secundario"/>
    <m/>
    <x v="26"/>
    <m/>
    <n v="1"/>
    <m/>
    <m/>
    <s v="Ninguna"/>
    <m/>
    <m/>
    <m/>
    <m/>
    <m/>
    <m/>
    <m/>
    <m/>
    <m/>
    <m/>
    <m/>
    <m/>
    <m/>
    <m/>
    <m/>
    <m/>
    <m/>
  </r>
  <r>
    <x v="2"/>
    <x v="3"/>
    <x v="14"/>
    <s v="FCAAT13"/>
    <x v="2"/>
    <d v="2019-11-17T00:00:00"/>
    <d v="1899-12-30T21:37:51"/>
    <n v="-76.882915233960105"/>
    <n v="3.5524283124302301"/>
    <n v="4"/>
    <s v="Izquierdo"/>
    <s v="Gustavo Rodriguez"/>
    <n v="565"/>
    <b v="1"/>
    <b v="0"/>
    <n v="12"/>
    <m/>
    <n v="8"/>
    <s v="herbáceas"/>
    <s v="Bosque Secundario"/>
    <m/>
    <x v="28"/>
    <m/>
    <n v="1"/>
    <m/>
    <m/>
    <s v="Vías"/>
    <m/>
    <m/>
    <m/>
    <m/>
    <m/>
    <m/>
    <m/>
    <m/>
    <m/>
    <m/>
    <m/>
    <m/>
    <m/>
    <m/>
    <m/>
    <m/>
    <m/>
  </r>
  <r>
    <x v="2"/>
    <x v="3"/>
    <x v="14"/>
    <s v="FCAAT11"/>
    <x v="0"/>
    <d v="2019-11-17T00:00:00"/>
    <d v="1899-12-30T20:27:09"/>
    <n v="-76.881507416679696"/>
    <n v="3.5526311348055999"/>
    <n v="4"/>
    <s v="Izquierdo"/>
    <s v="Dannythza Mona"/>
    <n v="585"/>
    <b v="1"/>
    <b v="0"/>
    <n v="1"/>
    <m/>
    <n v="18"/>
    <s v="hierba"/>
    <s v="Arbustal"/>
    <m/>
    <x v="15"/>
    <m/>
    <n v="1"/>
    <m/>
    <m/>
    <s v="Vías"/>
    <m/>
    <m/>
    <m/>
    <m/>
    <m/>
    <m/>
    <m/>
    <m/>
    <m/>
    <m/>
    <m/>
    <m/>
    <m/>
    <m/>
    <m/>
    <m/>
    <m/>
  </r>
  <r>
    <x v="2"/>
    <x v="3"/>
    <x v="14"/>
    <s v="FCAAT11"/>
    <x v="0"/>
    <d v="2019-11-17T00:00:00"/>
    <d v="1899-12-30T20:27:09"/>
    <n v="-76.881507416679696"/>
    <n v="3.5526311348055999"/>
    <n v="4"/>
    <s v="Derecho"/>
    <s v="Alvaro Fierro"/>
    <n v="580"/>
    <b v="1"/>
    <b v="0"/>
    <n v="1"/>
    <m/>
    <n v="12"/>
    <s v="suelo"/>
    <s v="Arbustal"/>
    <m/>
    <x v="15"/>
    <m/>
    <n v="1"/>
    <m/>
    <m/>
    <s v="Vías"/>
    <m/>
    <m/>
    <m/>
    <m/>
    <m/>
    <m/>
    <m/>
    <m/>
    <m/>
    <m/>
    <m/>
    <m/>
    <m/>
    <m/>
    <m/>
    <m/>
    <m/>
  </r>
  <r>
    <x v="2"/>
    <x v="3"/>
    <x v="14"/>
    <s v="FCAAT14"/>
    <x v="3"/>
    <d v="2019-11-17T00:00:00"/>
    <d v="1899-12-30T22:38:33"/>
    <n v="-76.882261583067603"/>
    <n v="3.5528232640162298"/>
    <n v="4"/>
    <s v="Derecho"/>
    <s v="Alvaro Fierro"/>
    <n v="570"/>
    <b v="1"/>
    <b v="1"/>
    <n v="15"/>
    <n v="3"/>
    <n v="12"/>
    <s v="arbusto"/>
    <s v="Bosque Secundario"/>
    <m/>
    <x v="39"/>
    <m/>
    <n v="1"/>
    <m/>
    <m/>
    <s v="Otra"/>
    <m/>
    <s v="Desagüe"/>
    <m/>
    <m/>
    <m/>
    <m/>
    <m/>
    <m/>
    <m/>
    <m/>
    <m/>
    <m/>
    <m/>
    <m/>
    <m/>
    <m/>
    <m/>
  </r>
  <r>
    <x v="2"/>
    <x v="3"/>
    <x v="14"/>
    <s v="FCAAT11"/>
    <x v="0"/>
    <d v="2019-11-17T00:00:00"/>
    <d v="1899-12-30T19:29:37"/>
    <n v="-76.880874880163304"/>
    <n v="3.5526497028399802"/>
    <n v="4"/>
    <s v="Derecho"/>
    <m/>
    <n v="570"/>
    <b v="1"/>
    <b v="0"/>
    <m/>
    <m/>
    <n v="15"/>
    <s v="suelo"/>
    <s v="Arbustal"/>
    <m/>
    <x v="15"/>
    <m/>
    <n v="1"/>
    <m/>
    <m/>
    <s v="Vías"/>
    <m/>
    <m/>
    <m/>
    <m/>
    <m/>
    <m/>
    <m/>
    <m/>
    <m/>
    <m/>
    <m/>
    <m/>
    <m/>
    <m/>
    <m/>
    <m/>
    <m/>
  </r>
  <r>
    <x v="2"/>
    <x v="3"/>
    <x v="14"/>
    <s v="FCAAT11"/>
    <x v="0"/>
    <d v="2019-11-17T00:00:00"/>
    <d v="1899-12-30T20:42:44"/>
    <n v="-76.881680507141596"/>
    <n v="3.5525017664355101"/>
    <n v="4"/>
    <m/>
    <m/>
    <n v="585"/>
    <b v="1"/>
    <b v="0"/>
    <n v="8"/>
    <m/>
    <n v="5"/>
    <m/>
    <s v="Bosque Secundario"/>
    <m/>
    <x v="0"/>
    <m/>
    <n v="0"/>
    <m/>
    <m/>
    <s v="Vías"/>
    <m/>
    <m/>
    <m/>
    <m/>
    <m/>
    <m/>
    <m/>
    <m/>
    <m/>
    <m/>
    <m/>
    <m/>
    <m/>
    <m/>
    <m/>
    <m/>
    <m/>
  </r>
  <r>
    <x v="2"/>
    <x v="3"/>
    <x v="14"/>
    <s v="FCAAT11"/>
    <x v="0"/>
    <d v="2019-11-17T00:00:00"/>
    <d v="1899-12-30T20:42:44"/>
    <n v="-76.881680507141596"/>
    <n v="3.5525017664355101"/>
    <n v="4"/>
    <s v="Izquierdo"/>
    <s v="alvaro Javier"/>
    <n v="580"/>
    <b v="1"/>
    <b v="0"/>
    <n v="8"/>
    <m/>
    <n v="6"/>
    <s v="suelo"/>
    <s v="Bosque Secundario"/>
    <m/>
    <x v="20"/>
    <m/>
    <n v="1"/>
    <m/>
    <m/>
    <s v="Vías"/>
    <m/>
    <m/>
    <m/>
    <m/>
    <m/>
    <m/>
    <m/>
    <m/>
    <m/>
    <m/>
    <m/>
    <m/>
    <m/>
    <m/>
    <m/>
    <m/>
    <m/>
  </r>
  <r>
    <x v="2"/>
    <x v="3"/>
    <x v="14"/>
    <s v="FCAAT14"/>
    <x v="3"/>
    <d v="2019-11-17T00:00:00"/>
    <d v="1899-12-30T22:44:45"/>
    <n v="-76.882620271102994"/>
    <n v="3.5526790492210001"/>
    <n v="4"/>
    <s v="Derecho"/>
    <s v="Alvaro Fiero"/>
    <n v="556"/>
    <b v="1"/>
    <b v="1"/>
    <n v="12"/>
    <n v="3"/>
    <n v="12"/>
    <s v="Hoja Araceae"/>
    <s v="Bosque Secundario"/>
    <s v="P.f T3 Murrapal"/>
    <x v="29"/>
    <m/>
    <n v="1"/>
    <m/>
    <m/>
    <s v="Otra"/>
    <m/>
    <s v="Desagüe"/>
    <m/>
    <m/>
    <m/>
    <m/>
    <m/>
    <m/>
    <m/>
    <m/>
    <m/>
    <m/>
    <m/>
    <m/>
    <m/>
    <m/>
    <m/>
  </r>
  <r>
    <x v="2"/>
    <x v="3"/>
    <x v="14"/>
    <s v="FCAAT11"/>
    <x v="0"/>
    <d v="2019-11-17T00:00:00"/>
    <d v="1899-12-30T20:03:04"/>
    <n v="-76.881134582841099"/>
    <n v="3.5526278778089502"/>
    <n v="4"/>
    <s v="Derecho"/>
    <s v="Guillermo Guerrero"/>
    <n v="565"/>
    <b v="1"/>
    <b v="0"/>
    <n v="1"/>
    <m/>
    <n v="18"/>
    <s v="Roca"/>
    <s v="Arbustal"/>
    <m/>
    <x v="37"/>
    <m/>
    <n v="1"/>
    <m/>
    <m/>
    <s v="Vías"/>
    <m/>
    <m/>
    <m/>
    <m/>
    <m/>
    <m/>
    <m/>
    <m/>
    <m/>
    <m/>
    <m/>
    <m/>
    <m/>
    <m/>
    <m/>
    <m/>
    <m/>
  </r>
  <r>
    <x v="2"/>
    <x v="3"/>
    <x v="14"/>
    <s v="FCAAT12"/>
    <x v="1"/>
    <d v="2019-11-17T00:00:00"/>
    <d v="1899-12-30T21:04:36"/>
    <n v="-76.882378469108801"/>
    <n v="3.5523996647560701"/>
    <n v="4"/>
    <s v="Izquierdo"/>
    <s v="Gustavo Rodriguez"/>
    <n v="585"/>
    <b v="1"/>
    <b v="0"/>
    <n v="7"/>
    <m/>
    <n v="8"/>
    <s v="hierba"/>
    <s v="Bosque Secundario"/>
    <m/>
    <x v="31"/>
    <m/>
    <n v="1"/>
    <m/>
    <m/>
    <s v="Vías"/>
    <m/>
    <m/>
    <m/>
    <m/>
    <m/>
    <m/>
    <m/>
    <m/>
    <m/>
    <m/>
    <m/>
    <m/>
    <m/>
    <m/>
    <m/>
    <m/>
    <m/>
  </r>
  <r>
    <x v="2"/>
    <x v="3"/>
    <x v="15"/>
    <s v="FCAAT16"/>
    <x v="1"/>
    <d v="2019-11-18T00:00:00"/>
    <d v="1899-12-30T09:51:45"/>
    <n v="-76.889601655294399"/>
    <n v="3.5507361681913499"/>
    <n v="4"/>
    <s v="Derecho"/>
    <s v="Guillermo Guerrero"/>
    <n v="660"/>
    <b v="1"/>
    <b v="0"/>
    <n v="8"/>
    <m/>
    <n v="10"/>
    <s v="helecho"/>
    <s v="Bosque Secundario"/>
    <m/>
    <x v="40"/>
    <m/>
    <n v="1"/>
    <m/>
    <m/>
    <s v="Vías"/>
    <m/>
    <m/>
    <m/>
    <m/>
    <m/>
    <m/>
    <m/>
    <m/>
    <m/>
    <m/>
    <m/>
    <m/>
    <m/>
    <m/>
    <m/>
    <m/>
    <m/>
  </r>
  <r>
    <x v="2"/>
    <x v="3"/>
    <x v="15"/>
    <s v="FCAAT17"/>
    <x v="2"/>
    <d v="2019-11-18T00:00:00"/>
    <d v="1899-12-30T10:39:58"/>
    <n v="-76.887786900640407"/>
    <n v="3.5511047028805001"/>
    <n v="4"/>
    <s v="Izquierdo"/>
    <m/>
    <n v="650"/>
    <b v="1"/>
    <b v="0"/>
    <n v="9"/>
    <m/>
    <n v="12"/>
    <m/>
    <s v="Bosque Secundario"/>
    <s v="punto final t5"/>
    <x v="0"/>
    <m/>
    <n v="0"/>
    <m/>
    <m/>
    <s v="Vías"/>
    <m/>
    <m/>
    <m/>
    <m/>
    <m/>
    <m/>
    <m/>
    <m/>
    <m/>
    <m/>
    <m/>
    <m/>
    <m/>
    <m/>
    <m/>
    <m/>
    <m/>
  </r>
  <r>
    <x v="2"/>
    <x v="3"/>
    <x v="15"/>
    <s v="FCAAT16"/>
    <x v="1"/>
    <d v="2019-11-18T00:00:00"/>
    <d v="1899-12-30T09:57:25"/>
    <n v="-76.889490891773903"/>
    <n v="3.5507419992003602"/>
    <n v="4"/>
    <s v="Izquierdo"/>
    <s v="Gustavo Rodriguez"/>
    <n v="660"/>
    <b v="1"/>
    <b v="0"/>
    <m/>
    <m/>
    <n v="5"/>
    <s v="herbacea"/>
    <s v="Bosque Secundario"/>
    <m/>
    <x v="15"/>
    <m/>
    <n v="1"/>
    <m/>
    <m/>
    <s v="Vías"/>
    <m/>
    <m/>
    <m/>
    <m/>
    <m/>
    <m/>
    <m/>
    <m/>
    <m/>
    <m/>
    <m/>
    <m/>
    <m/>
    <m/>
    <m/>
    <m/>
    <m/>
  </r>
  <r>
    <x v="2"/>
    <x v="3"/>
    <x v="15"/>
    <s v="FCAAT16"/>
    <x v="1"/>
    <d v="2019-11-18T00:00:00"/>
    <d v="1899-12-30T09:57:25"/>
    <n v="-76.889490891773903"/>
    <n v="3.5507419992003602"/>
    <n v="4"/>
    <s v="Izquierdo"/>
    <s v="Dannythza Mona"/>
    <n v="600"/>
    <b v="1"/>
    <b v="0"/>
    <m/>
    <m/>
    <n v="10"/>
    <s v="herbácea"/>
    <s v="Bosque Secundario"/>
    <m/>
    <x v="29"/>
    <m/>
    <n v="1"/>
    <m/>
    <m/>
    <s v="Vías"/>
    <m/>
    <m/>
    <m/>
    <m/>
    <m/>
    <m/>
    <m/>
    <m/>
    <m/>
    <m/>
    <m/>
    <m/>
    <m/>
    <m/>
    <m/>
    <m/>
    <m/>
  </r>
  <r>
    <x v="2"/>
    <x v="3"/>
    <x v="15"/>
    <s v="FCAAT16"/>
    <x v="1"/>
    <d v="2019-11-18T00:00:00"/>
    <d v="1899-12-30T09:38:26"/>
    <n v="-76.8900243905926"/>
    <n v="3.5508641879980698"/>
    <n v="4"/>
    <s v="Derecho"/>
    <s v="Gustavo Rodriguez_x000a_Dannythza Mona_x000a_Guillermo Guerrero_x000a_Alvaro Fierro"/>
    <n v="665"/>
    <b v="1"/>
    <b v="0"/>
    <n v="8"/>
    <m/>
    <n v="10"/>
    <s v="suelo"/>
    <s v="Bosque Secundario"/>
    <s v="punto inicial t4"/>
    <x v="29"/>
    <m/>
    <n v="8"/>
    <m/>
    <m/>
    <s v="Vías"/>
    <m/>
    <m/>
    <m/>
    <m/>
    <m/>
    <m/>
    <m/>
    <m/>
    <m/>
    <m/>
    <m/>
    <m/>
    <m/>
    <m/>
    <m/>
    <m/>
    <m/>
  </r>
  <r>
    <x v="2"/>
    <x v="3"/>
    <x v="15"/>
    <s v="FCAAT16"/>
    <x v="1"/>
    <d v="2019-11-18T00:00:00"/>
    <d v="1899-12-30T09:38:26"/>
    <n v="-76.8900243905926"/>
    <n v="3.5508641879980698"/>
    <n v="4"/>
    <s v="Derecho"/>
    <s v="Guillermo Guerrero"/>
    <n v="665"/>
    <b v="1"/>
    <b v="0"/>
    <n v="8"/>
    <m/>
    <n v="10"/>
    <s v="suelo"/>
    <s v="Bosque Secundario"/>
    <m/>
    <x v="15"/>
    <m/>
    <n v="1"/>
    <m/>
    <m/>
    <s v="Vías"/>
    <m/>
    <m/>
    <m/>
    <m/>
    <m/>
    <m/>
    <m/>
    <m/>
    <m/>
    <m/>
    <m/>
    <m/>
    <m/>
    <m/>
    <m/>
    <m/>
    <m/>
  </r>
  <r>
    <x v="2"/>
    <x v="3"/>
    <x v="15"/>
    <s v="FCAAT17"/>
    <x v="2"/>
    <d v="2019-11-18T00:00:00"/>
    <d v="1899-12-30T10:12:52"/>
    <n v="-76.888748626961004"/>
    <n v="3.5505577125952001"/>
    <n v="4"/>
    <s v="Izquierdo"/>
    <m/>
    <n v="600"/>
    <b v="1"/>
    <b v="0"/>
    <n v="10"/>
    <m/>
    <n v="15"/>
    <m/>
    <s v="Bosque Secundario"/>
    <s v="punto inicial t5"/>
    <x v="0"/>
    <m/>
    <n v="0"/>
    <m/>
    <m/>
    <s v="Vías"/>
    <m/>
    <m/>
    <m/>
    <m/>
    <m/>
    <m/>
    <m/>
    <m/>
    <m/>
    <m/>
    <m/>
    <m/>
    <m/>
    <m/>
    <m/>
    <m/>
    <m/>
  </r>
  <r>
    <x v="2"/>
    <x v="3"/>
    <x v="15"/>
    <s v="FCAAT17"/>
    <x v="2"/>
    <d v="2019-11-18T00:00:00"/>
    <d v="1899-12-30T10:09:04"/>
    <n v="-76.888998909562304"/>
    <n v="3.5506251548199401"/>
    <n v="4"/>
    <s v="Izquierdo"/>
    <m/>
    <n v="600"/>
    <b v="1"/>
    <b v="0"/>
    <n v="6"/>
    <m/>
    <n v="10"/>
    <m/>
    <s v="Bosque Secundario"/>
    <s v="punto final t4"/>
    <x v="0"/>
    <m/>
    <n v="0"/>
    <m/>
    <m/>
    <s v="Vías"/>
    <m/>
    <m/>
    <m/>
    <m/>
    <m/>
    <m/>
    <m/>
    <m/>
    <m/>
    <m/>
    <m/>
    <m/>
    <m/>
    <m/>
    <m/>
    <m/>
    <m/>
  </r>
  <r>
    <x v="2"/>
    <x v="0"/>
    <x v="2"/>
    <s v="FCMDT17"/>
    <x v="0"/>
    <d v="2019-12-09T00:00:00"/>
    <d v="1899-12-30T21:21:34"/>
    <n v="-76.680409953783993"/>
    <n v="3.4011741098395798"/>
    <n v="4"/>
    <s v="Izquierdo"/>
    <s v="Oscar Cuellar"/>
    <n v="3020"/>
    <b v="1"/>
    <b v="0"/>
    <n v="17"/>
    <m/>
    <n v="80"/>
    <m/>
    <s v="Bosque Ripario"/>
    <s v="pf T2 Zacarias y registro auditivo"/>
    <x v="41"/>
    <m/>
    <n v="1"/>
    <m/>
    <m/>
    <s v="Ninguna"/>
    <m/>
    <m/>
    <m/>
    <m/>
    <m/>
    <m/>
    <m/>
    <m/>
    <m/>
    <m/>
    <m/>
    <m/>
    <m/>
    <m/>
    <m/>
    <m/>
    <m/>
  </r>
  <r>
    <x v="2"/>
    <x v="0"/>
    <x v="2"/>
    <s v="FCMDT19"/>
    <x v="2"/>
    <d v="2019-12-09T00:00:00"/>
    <d v="1899-12-30T22:53:01"/>
    <n v="-76.678878619322603"/>
    <n v="3.4007083575184902"/>
    <n v="4"/>
    <s v="Derecho"/>
    <m/>
    <n v="3020"/>
    <b v="1"/>
    <b v="0"/>
    <n v="12"/>
    <m/>
    <n v="50"/>
    <m/>
    <s v="Bosque Primario"/>
    <s v="punto final T4 zacarias"/>
    <x v="10"/>
    <m/>
    <n v="1"/>
    <m/>
    <m/>
    <s v="Ninguna"/>
    <m/>
    <m/>
    <m/>
    <m/>
    <m/>
    <m/>
    <m/>
    <m/>
    <m/>
    <m/>
    <m/>
    <m/>
    <m/>
    <m/>
    <m/>
    <m/>
    <m/>
  </r>
  <r>
    <x v="2"/>
    <x v="0"/>
    <x v="2"/>
    <s v="FCMDT18"/>
    <x v="1"/>
    <d v="2019-12-09T00:00:00"/>
    <d v="1899-12-30T22:22:17"/>
    <n v="-76.679739583170303"/>
    <n v="3.40075414495902"/>
    <n v="4"/>
    <m/>
    <m/>
    <n v="2995"/>
    <b v="1"/>
    <b v="0"/>
    <n v="15"/>
    <m/>
    <n v="40"/>
    <m/>
    <s v="Bosque Primario"/>
    <s v="pi t4"/>
    <x v="0"/>
    <m/>
    <n v="0"/>
    <m/>
    <m/>
    <s v="Ninguna"/>
    <m/>
    <m/>
    <m/>
    <m/>
    <m/>
    <m/>
    <m/>
    <m/>
    <m/>
    <m/>
    <m/>
    <m/>
    <m/>
    <m/>
    <m/>
    <m/>
    <m/>
  </r>
  <r>
    <x v="2"/>
    <x v="0"/>
    <x v="2"/>
    <s v="FCMDT17"/>
    <x v="0"/>
    <d v="2019-12-09T00:00:00"/>
    <d v="1899-12-30T19:41:00"/>
    <n v="-76.681523358386002"/>
    <n v="3.40132420719504"/>
    <n v="4"/>
    <s v="Izquierdo"/>
    <m/>
    <n v="3107"/>
    <b v="1"/>
    <b v="0"/>
    <n v="20"/>
    <m/>
    <n v="60"/>
    <m/>
    <s v="Bosque Secundario"/>
    <s v="punto inicial"/>
    <x v="0"/>
    <m/>
    <n v="0"/>
    <m/>
    <m/>
    <s v="Resíduos solidos"/>
    <m/>
    <m/>
    <m/>
    <m/>
    <m/>
    <m/>
    <m/>
    <m/>
    <m/>
    <m/>
    <m/>
    <m/>
    <m/>
    <m/>
    <m/>
    <m/>
    <m/>
  </r>
  <r>
    <x v="2"/>
    <x v="0"/>
    <x v="2"/>
    <s v="FCMDT17"/>
    <x v="0"/>
    <d v="2019-12-09T00:00:00"/>
    <d v="1899-12-30T20:43:02"/>
    <n v="-76.680964870404495"/>
    <n v="3.4017370707498"/>
    <n v="4"/>
    <m/>
    <m/>
    <n v="3034"/>
    <b v="1"/>
    <b v="0"/>
    <n v="15"/>
    <m/>
    <n v="50"/>
    <m/>
    <s v="Bosque Primario"/>
    <s v="PI T2 Zacarias"/>
    <x v="0"/>
    <m/>
    <n v="0"/>
    <m/>
    <m/>
    <s v="Ninguna"/>
    <m/>
    <m/>
    <m/>
    <m/>
    <m/>
    <m/>
    <m/>
    <m/>
    <m/>
    <m/>
    <m/>
    <m/>
    <m/>
    <m/>
    <m/>
    <m/>
    <m/>
  </r>
  <r>
    <x v="2"/>
    <x v="0"/>
    <x v="2"/>
    <s v="FCMDT17"/>
    <x v="0"/>
    <d v="2019-12-09T00:00:00"/>
    <d v="1899-12-30T20:34:28"/>
    <n v="-76.681296108828903"/>
    <n v="3.4019015036326299"/>
    <n v="4"/>
    <m/>
    <m/>
    <n v="3074"/>
    <b v="1"/>
    <b v="0"/>
    <n v="15"/>
    <m/>
    <n v="65"/>
    <m/>
    <s v="Bosque Primario"/>
    <s v="pf t1 zacarias"/>
    <x v="0"/>
    <m/>
    <n v="0"/>
    <m/>
    <m/>
    <s v="Ninguna"/>
    <m/>
    <m/>
    <m/>
    <m/>
    <m/>
    <m/>
    <m/>
    <m/>
    <m/>
    <m/>
    <m/>
    <m/>
    <m/>
    <m/>
    <m/>
    <m/>
    <m/>
  </r>
  <r>
    <x v="2"/>
    <x v="0"/>
    <x v="2"/>
    <s v="FCMDT18"/>
    <x v="1"/>
    <d v="2019-12-09T00:00:00"/>
    <d v="1899-12-30T22:17:06"/>
    <n v="-76.679977115474202"/>
    <n v="3.4004685460320001"/>
    <n v="4"/>
    <m/>
    <m/>
    <n v="2995"/>
    <b v="1"/>
    <b v="0"/>
    <n v="15"/>
    <m/>
    <n v="40"/>
    <m/>
    <s v="Bosque Primario"/>
    <s v="pf T3 Zacarias"/>
    <x v="0"/>
    <m/>
    <n v="0"/>
    <m/>
    <m/>
    <s v="Ninguna"/>
    <m/>
    <m/>
    <m/>
    <m/>
    <m/>
    <m/>
    <m/>
    <m/>
    <m/>
    <m/>
    <m/>
    <m/>
    <m/>
    <m/>
    <m/>
    <m/>
    <m/>
  </r>
  <r>
    <x v="2"/>
    <x v="0"/>
    <x v="2"/>
    <s v="FCMDT17"/>
    <x v="0"/>
    <d v="2019-12-09T00:00:00"/>
    <d v="1899-12-30T20:13:08"/>
    <n v="-76.681476850349299"/>
    <n v="3.40154297056606"/>
    <n v="4"/>
    <s v="Derecho"/>
    <s v="Oscar Cuellar"/>
    <n v="3084"/>
    <b v="1"/>
    <b v="0"/>
    <n v="6"/>
    <m/>
    <n v="85"/>
    <m/>
    <s v="Bosque Primario"/>
    <m/>
    <x v="0"/>
    <m/>
    <n v="0"/>
    <m/>
    <m/>
    <s v="Resíduos solidos"/>
    <m/>
    <m/>
    <m/>
    <m/>
    <m/>
    <m/>
    <m/>
    <m/>
    <m/>
    <m/>
    <m/>
    <m/>
    <m/>
    <m/>
    <m/>
    <m/>
    <m/>
  </r>
  <r>
    <x v="2"/>
    <x v="0"/>
    <x v="2"/>
    <s v="FCMDT17"/>
    <x v="0"/>
    <d v="2019-12-09T00:00:00"/>
    <d v="1899-12-30T19:57:32"/>
    <n v="-76.681406520893205"/>
    <n v="3.4014138294078502"/>
    <n v="4"/>
    <s v="Izquierdo"/>
    <s v="Oscar Cuellar"/>
    <n v="3084"/>
    <b v="1"/>
    <b v="0"/>
    <n v="18"/>
    <m/>
    <n v="75"/>
    <s v="Sobre Hoja"/>
    <s v="Bosque Secundario"/>
    <m/>
    <x v="12"/>
    <m/>
    <n v="1"/>
    <m/>
    <m/>
    <s v="Ninguna"/>
    <m/>
    <m/>
    <m/>
    <m/>
    <m/>
    <m/>
    <m/>
    <m/>
    <m/>
    <m/>
    <m/>
    <m/>
    <m/>
    <m/>
    <m/>
    <m/>
    <m/>
  </r>
  <r>
    <x v="2"/>
    <x v="0"/>
    <x v="2"/>
    <s v="FCMDT18"/>
    <x v="1"/>
    <d v="2019-12-09T00:00:00"/>
    <d v="1899-12-30T22:29:29"/>
    <n v="-76.679489470877499"/>
    <n v="3.4007295103225799"/>
    <n v="4"/>
    <s v="Izquierdo"/>
    <s v="Oscar Cuellar"/>
    <n v="3020"/>
    <b v="1"/>
    <b v="0"/>
    <n v="15"/>
    <m/>
    <n v="60"/>
    <s v="hierba"/>
    <s v="Bosque Primario"/>
    <m/>
    <x v="10"/>
    <m/>
    <n v="1"/>
    <m/>
    <m/>
    <s v="Ninguna"/>
    <m/>
    <m/>
    <m/>
    <m/>
    <m/>
    <m/>
    <m/>
    <m/>
    <m/>
    <m/>
    <m/>
    <m/>
    <m/>
    <m/>
    <m/>
    <m/>
    <m/>
  </r>
  <r>
    <x v="2"/>
    <x v="0"/>
    <x v="2"/>
    <s v="FCMDT17"/>
    <x v="0"/>
    <d v="2019-12-09T00:00:00"/>
    <d v="1899-12-30T21:49:00"/>
    <n v="-76.680170205083996"/>
    <n v="3.40114768662739"/>
    <n v="4"/>
    <s v="Derecho"/>
    <s v="Oscar Cuellar"/>
    <n v="3034"/>
    <b v="1"/>
    <b v="0"/>
    <n v="15"/>
    <m/>
    <n v="80"/>
    <s v="hierba"/>
    <s v="Bosque Primario"/>
    <m/>
    <x v="10"/>
    <m/>
    <n v="1"/>
    <m/>
    <m/>
    <s v="Ninguna"/>
    <m/>
    <m/>
    <m/>
    <m/>
    <m/>
    <m/>
    <m/>
    <m/>
    <m/>
    <m/>
    <m/>
    <m/>
    <m/>
    <m/>
    <m/>
    <m/>
    <m/>
  </r>
  <r>
    <x v="2"/>
    <x v="0"/>
    <x v="2"/>
    <s v="FCMDT17"/>
    <x v="0"/>
    <d v="2019-12-09T00:00:00"/>
    <d v="1899-12-30T21:37:13"/>
    <n v="-76.680194990839695"/>
    <n v="3.4010744622278"/>
    <n v="4"/>
    <m/>
    <m/>
    <n v="3032"/>
    <b v="1"/>
    <b v="0"/>
    <n v="22"/>
    <m/>
    <n v="40"/>
    <m/>
    <s v="Bosque Primario"/>
    <s v="pi T3"/>
    <x v="0"/>
    <m/>
    <n v="0"/>
    <m/>
    <m/>
    <s v="Ninguna"/>
    <m/>
    <m/>
    <m/>
    <m/>
    <m/>
    <m/>
    <m/>
    <m/>
    <m/>
    <m/>
    <m/>
    <m/>
    <m/>
    <m/>
    <m/>
    <m/>
    <m/>
  </r>
  <r>
    <x v="2"/>
    <x v="0"/>
    <x v="1"/>
    <s v="FCMCT16"/>
    <x v="3"/>
    <d v="2019-12-10T00:00:00"/>
    <d v="1899-12-30T22:57:35"/>
    <n v="-76.690640572651205"/>
    <n v="3.4064862084016299"/>
    <n v="4"/>
    <s v="Izquierdo"/>
    <m/>
    <n v="3398"/>
    <b v="1"/>
    <b v="0"/>
    <n v="4"/>
    <m/>
    <n v="50"/>
    <m/>
    <s v="Arbustal"/>
    <s v="PI T4"/>
    <x v="0"/>
    <m/>
    <n v="0"/>
    <m/>
    <m/>
    <s v="Ninguna"/>
    <m/>
    <m/>
    <m/>
    <m/>
    <m/>
    <m/>
    <m/>
    <m/>
    <m/>
    <m/>
    <m/>
    <m/>
    <m/>
    <m/>
    <m/>
    <m/>
    <m/>
  </r>
  <r>
    <x v="2"/>
    <x v="0"/>
    <x v="1"/>
    <s v="FCMCT15"/>
    <x v="2"/>
    <d v="2019-12-10T00:00:00"/>
    <d v="1899-12-30T22:09:52"/>
    <n v="-76.690179380444903"/>
    <n v="3.4069317671664501"/>
    <n v="4"/>
    <s v="Derecho"/>
    <s v="Oscar Cuellar"/>
    <n v="3395"/>
    <b v="1"/>
    <b v="0"/>
    <n v="5"/>
    <m/>
    <n v="50"/>
    <s v="hierba"/>
    <s v="Arbustal"/>
    <m/>
    <x v="42"/>
    <m/>
    <n v="1"/>
    <m/>
    <m/>
    <s v="Ninguna"/>
    <m/>
    <m/>
    <m/>
    <m/>
    <m/>
    <m/>
    <m/>
    <m/>
    <m/>
    <m/>
    <m/>
    <m/>
    <m/>
    <m/>
    <m/>
    <m/>
    <m/>
  </r>
  <r>
    <x v="2"/>
    <x v="0"/>
    <x v="1"/>
    <s v="FCMCT13"/>
    <x v="0"/>
    <d v="2019-12-10T00:00:00"/>
    <d v="1899-12-30T20:03:49"/>
    <n v="-76.688450004012694"/>
    <n v="3.4082398646293002"/>
    <n v="4"/>
    <s v="Izquierdo"/>
    <s v="Gustavo Rodriguez"/>
    <n v="3390"/>
    <b v="1"/>
    <b v="0"/>
    <n v="5"/>
    <m/>
    <n v="60"/>
    <s v="hierva"/>
    <s v="Arbustal"/>
    <m/>
    <x v="2"/>
    <m/>
    <n v="1"/>
    <m/>
    <m/>
    <s v="Ninguna"/>
    <m/>
    <m/>
    <m/>
    <m/>
    <m/>
    <m/>
    <m/>
    <m/>
    <m/>
    <m/>
    <m/>
    <m/>
    <m/>
    <m/>
    <m/>
    <m/>
    <m/>
  </r>
  <r>
    <x v="2"/>
    <x v="0"/>
    <x v="1"/>
    <s v="FCMCT14"/>
    <x v="1"/>
    <d v="2019-12-10T00:00:00"/>
    <d v="1899-12-30T21:48:41"/>
    <n v="-76.689782447129204"/>
    <n v="3.4073082239731098"/>
    <n v="4"/>
    <s v="Izquierdo"/>
    <s v="Gustavo Rodriguez"/>
    <n v="3393"/>
    <b v="1"/>
    <b v="0"/>
    <n v="4"/>
    <m/>
    <n v="45"/>
    <s v="hierba"/>
    <s v="Arbustal"/>
    <s v="pf T2 cruZ"/>
    <x v="2"/>
    <m/>
    <n v="1"/>
    <m/>
    <m/>
    <s v="Ninguna"/>
    <m/>
    <m/>
    <m/>
    <m/>
    <m/>
    <m/>
    <m/>
    <m/>
    <m/>
    <m/>
    <m/>
    <m/>
    <m/>
    <m/>
    <m/>
    <m/>
    <m/>
  </r>
  <r>
    <x v="2"/>
    <x v="0"/>
    <x v="1"/>
    <s v="FCMCT13"/>
    <x v="0"/>
    <d v="2019-12-10T00:00:00"/>
    <d v="1899-12-30T20:31:19"/>
    <n v="-76.688724741131907"/>
    <n v="3.4078664157324501"/>
    <n v="4"/>
    <s v="Derecho"/>
    <s v="Soldado"/>
    <n v="3385"/>
    <b v="1"/>
    <b v="0"/>
    <n v="4"/>
    <m/>
    <n v="20"/>
    <s v="Hierba"/>
    <s v="Arbustal"/>
    <s v="macho"/>
    <x v="2"/>
    <m/>
    <n v="1"/>
    <m/>
    <m/>
    <s v="Ninguna"/>
    <m/>
    <m/>
    <m/>
    <m/>
    <m/>
    <m/>
    <m/>
    <m/>
    <m/>
    <m/>
    <m/>
    <m/>
    <m/>
    <m/>
    <m/>
    <m/>
    <m/>
  </r>
  <r>
    <x v="2"/>
    <x v="0"/>
    <x v="1"/>
    <s v="FCMCT13"/>
    <x v="0"/>
    <d v="2019-12-10T00:00:00"/>
    <d v="1899-12-30T20:31:19"/>
    <n v="-76.688724741131907"/>
    <n v="3.4078664157324501"/>
    <n v="4"/>
    <s v="Derecho"/>
    <s v="Soldado"/>
    <n v="3385"/>
    <b v="1"/>
    <b v="0"/>
    <n v="4"/>
    <m/>
    <n v="80"/>
    <s v="Hierba"/>
    <s v="Arbustal"/>
    <m/>
    <x v="2"/>
    <m/>
    <n v="1"/>
    <m/>
    <m/>
    <s v="Ninguna"/>
    <m/>
    <m/>
    <m/>
    <m/>
    <m/>
    <m/>
    <m/>
    <m/>
    <m/>
    <m/>
    <m/>
    <m/>
    <m/>
    <m/>
    <m/>
    <m/>
    <m/>
  </r>
  <r>
    <x v="2"/>
    <x v="0"/>
    <x v="1"/>
    <s v="FCMCT13"/>
    <x v="0"/>
    <d v="2019-12-10T00:00:00"/>
    <d v="1899-12-30T19:39:21"/>
    <n v="-76.688344051540895"/>
    <n v="3.40815756893315"/>
    <n v="4"/>
    <s v="Izquierdo"/>
    <s v="Oscar Cuellar"/>
    <n v="3398"/>
    <b v="1"/>
    <b v="0"/>
    <n v="4"/>
    <m/>
    <n v="40"/>
    <s v="hierba"/>
    <s v="Arbustal"/>
    <s v="dsc 0031 a 34"/>
    <x v="2"/>
    <m/>
    <n v="1"/>
    <m/>
    <m/>
    <s v="Ninguna"/>
    <m/>
    <m/>
    <m/>
    <m/>
    <m/>
    <m/>
    <m/>
    <m/>
    <m/>
    <m/>
    <m/>
    <m/>
    <m/>
    <m/>
    <m/>
    <m/>
    <m/>
  </r>
  <r>
    <x v="2"/>
    <x v="0"/>
    <x v="1"/>
    <s v="FCMCT14"/>
    <x v="1"/>
    <d v="2019-12-10T00:00:00"/>
    <d v="1899-12-30T21:11:34"/>
    <n v="-76.689068341938807"/>
    <n v="3.4076396710888202"/>
    <n v="4"/>
    <m/>
    <m/>
    <n v="3395"/>
    <b v="1"/>
    <b v="0"/>
    <n v="4"/>
    <m/>
    <n v="40"/>
    <m/>
    <s v="Arbustal"/>
    <s v="pi t2 cruz"/>
    <x v="0"/>
    <m/>
    <n v="0"/>
    <m/>
    <m/>
    <s v="Ninguna"/>
    <m/>
    <m/>
    <m/>
    <m/>
    <m/>
    <m/>
    <m/>
    <m/>
    <m/>
    <m/>
    <m/>
    <m/>
    <m/>
    <m/>
    <m/>
    <m/>
    <m/>
  </r>
  <r>
    <x v="2"/>
    <x v="0"/>
    <x v="1"/>
    <s v="FCMCT15"/>
    <x v="2"/>
    <d v="2019-12-10T00:00:00"/>
    <d v="1899-12-30T21:55:34"/>
    <n v="-76.689937633591001"/>
    <n v="3.4071911170936802"/>
    <n v="4"/>
    <m/>
    <m/>
    <n v="3388"/>
    <b v="1"/>
    <b v="0"/>
    <n v="3"/>
    <m/>
    <n v="70"/>
    <m/>
    <s v="Arbustal"/>
    <s v="pi T3 Cruz"/>
    <x v="0"/>
    <m/>
    <n v="0"/>
    <m/>
    <m/>
    <s v="Ninguna"/>
    <m/>
    <m/>
    <m/>
    <m/>
    <m/>
    <m/>
    <m/>
    <m/>
    <m/>
    <m/>
    <m/>
    <m/>
    <m/>
    <m/>
    <m/>
    <m/>
    <m/>
  </r>
  <r>
    <x v="2"/>
    <x v="0"/>
    <x v="1"/>
    <s v="FCMCT16"/>
    <x v="3"/>
    <d v="2019-12-10T00:00:00"/>
    <d v="1899-12-30T23:15:42"/>
    <n v="-76.690672534041894"/>
    <n v="3.4062271663760799"/>
    <n v="4"/>
    <s v="Izquierdo"/>
    <s v="Dannythza Mona"/>
    <n v="3400"/>
    <b v="1"/>
    <b v="0"/>
    <n v="2"/>
    <m/>
    <n v="40"/>
    <m/>
    <s v="Arbustal"/>
    <m/>
    <x v="0"/>
    <m/>
    <n v="0"/>
    <m/>
    <m/>
    <s v="Resíduos solidos"/>
    <m/>
    <m/>
    <m/>
    <m/>
    <m/>
    <m/>
    <m/>
    <m/>
    <m/>
    <m/>
    <m/>
    <m/>
    <m/>
    <m/>
    <m/>
    <m/>
    <m/>
  </r>
  <r>
    <x v="2"/>
    <x v="0"/>
    <x v="1"/>
    <s v="FCMCT13"/>
    <x v="0"/>
    <d v="2019-12-10T00:00:00"/>
    <d v="1899-12-30T20:58:57"/>
    <n v="-76.689044482086302"/>
    <n v="3.4076691365822902"/>
    <n v="4"/>
    <s v="Izquierdo"/>
    <s v="Kelly Perez"/>
    <n v="3390"/>
    <b v="1"/>
    <b v="0"/>
    <n v="3"/>
    <m/>
    <n v="80"/>
    <s v="hierba"/>
    <s v="Arbustal"/>
    <s v="PF t1 Cruz"/>
    <x v="2"/>
    <m/>
    <n v="1"/>
    <m/>
    <m/>
    <s v="Ninguna"/>
    <m/>
    <m/>
    <m/>
    <m/>
    <m/>
    <m/>
    <m/>
    <m/>
    <m/>
    <m/>
    <m/>
    <m/>
    <m/>
    <m/>
    <m/>
    <m/>
    <m/>
  </r>
  <r>
    <x v="2"/>
    <x v="0"/>
    <x v="1"/>
    <s v="FCMCT13"/>
    <x v="0"/>
    <d v="2019-12-10T00:00:00"/>
    <d v="1899-12-30T19:33:16"/>
    <n v="-76.688303989638996"/>
    <n v="3.40823777256794"/>
    <n v="4"/>
    <m/>
    <m/>
    <n v="3398"/>
    <b v="1"/>
    <b v="0"/>
    <n v="4"/>
    <m/>
    <n v="40"/>
    <m/>
    <s v="Arbustal"/>
    <s v="pi t1 la cruz"/>
    <x v="0"/>
    <m/>
    <n v="0"/>
    <m/>
    <m/>
    <s v="Ninguna"/>
    <m/>
    <m/>
    <m/>
    <m/>
    <m/>
    <m/>
    <m/>
    <m/>
    <m/>
    <m/>
    <m/>
    <m/>
    <m/>
    <m/>
    <m/>
    <m/>
    <m/>
  </r>
  <r>
    <x v="2"/>
    <x v="0"/>
    <x v="1"/>
    <s v="FCMCT15"/>
    <x v="2"/>
    <d v="2019-12-10T00:00:00"/>
    <d v="1899-12-30T22:31:24"/>
    <n v="-76.690490605493196"/>
    <n v="3.40677618682296"/>
    <n v="4"/>
    <s v="Izquierdo"/>
    <s v="Oscar Cuellar"/>
    <n v="3990"/>
    <b v="1"/>
    <b v="0"/>
    <n v="3"/>
    <m/>
    <n v="30"/>
    <s v="hierba"/>
    <s v="Arbustal"/>
    <m/>
    <x v="42"/>
    <m/>
    <n v="1"/>
    <m/>
    <m/>
    <s v="Ninguna"/>
    <m/>
    <m/>
    <m/>
    <m/>
    <m/>
    <m/>
    <m/>
    <m/>
    <m/>
    <m/>
    <m/>
    <m/>
    <m/>
    <m/>
    <m/>
    <m/>
    <m/>
  </r>
  <r>
    <x v="2"/>
    <x v="0"/>
    <x v="1"/>
    <s v="FCMCT15"/>
    <x v="2"/>
    <d v="2019-12-10T00:00:00"/>
    <d v="1899-12-30T22:31:24"/>
    <n v="-76.690490605493196"/>
    <n v="3.40677618682296"/>
    <n v="4"/>
    <s v="Izquierdo"/>
    <m/>
    <n v="3392"/>
    <b v="1"/>
    <b v="0"/>
    <n v="2"/>
    <m/>
    <n v="50"/>
    <m/>
    <s v="Arbustal"/>
    <s v="pf t3 CruZ"/>
    <x v="0"/>
    <m/>
    <n v="0"/>
    <m/>
    <m/>
    <s v="Ninguna"/>
    <m/>
    <m/>
    <m/>
    <m/>
    <m/>
    <m/>
    <m/>
    <m/>
    <m/>
    <m/>
    <m/>
    <m/>
    <m/>
    <m/>
    <m/>
    <m/>
    <m/>
  </r>
  <r>
    <x v="3"/>
    <x v="1"/>
    <x v="18"/>
    <s v="FCTET10"/>
    <x v="0"/>
    <d v="2020-11-17T00:00:00"/>
    <d v="1899-12-30T23:18:16"/>
    <n v="-76.719014999999999"/>
    <n v="3.48482"/>
    <n v="5"/>
    <m/>
    <m/>
    <m/>
    <m/>
    <m/>
    <n v="15"/>
    <n v="1.75"/>
    <n v="25"/>
    <m/>
    <m/>
    <m/>
    <x v="0"/>
    <s v="Procesos de remoción en masa"/>
    <n v="0"/>
    <m/>
    <m/>
    <m/>
    <m/>
    <m/>
    <s v="Árboles caídos"/>
    <s v="despejado"/>
    <n v="-76.718928329999997"/>
    <n v="3.4849266669999999"/>
    <n v="20"/>
    <n v="1.5"/>
    <n v="15"/>
    <n v="-76.719483330000003"/>
    <n v="3.4847066670000002"/>
    <n v="30"/>
    <n v="2"/>
    <n v="15"/>
    <m/>
    <m/>
    <m/>
  </r>
  <r>
    <x v="3"/>
    <x v="1"/>
    <x v="18"/>
    <s v="FCTET14"/>
    <x v="4"/>
    <d v="2020-11-17T00:00:00"/>
    <d v="1899-12-30T18:46:15"/>
    <n v="-76.71875833"/>
    <n v="3.487151667"/>
    <n v="5"/>
    <m/>
    <m/>
    <m/>
    <m/>
    <m/>
    <n v="4.5"/>
    <n v="0"/>
    <n v="10"/>
    <m/>
    <m/>
    <m/>
    <x v="0"/>
    <s v="Ganadería"/>
    <n v="0"/>
    <m/>
    <m/>
    <m/>
    <m/>
    <m/>
    <s v="pisoteo vacas"/>
    <s v="Nublado"/>
    <n v="-76.718926670000002"/>
    <n v="3.487555"/>
    <n v="10"/>
    <n v="0"/>
    <n v="4"/>
    <n v="-76.718568329999997"/>
    <n v="3.4868700000000001"/>
    <n v="10"/>
    <n v="0"/>
    <n v="5"/>
    <m/>
    <m/>
    <m/>
  </r>
  <r>
    <x v="3"/>
    <x v="1"/>
    <x v="18"/>
    <s v="FCTET12"/>
    <x v="2"/>
    <d v="2020-11-17T00:00:00"/>
    <d v="1899-12-30T21:08:28"/>
    <n v="-76.717706669999998"/>
    <n v="3.4851399999999999"/>
    <n v="5"/>
    <s v="Izquierdo"/>
    <s v="Gustavo Rodriguez"/>
    <n v="1908"/>
    <b v="1"/>
    <m/>
    <n v="12.5"/>
    <n v="0"/>
    <n v="12.5"/>
    <s v="Sotobosque"/>
    <s v="Bosque Secundario"/>
    <m/>
    <x v="18"/>
    <m/>
    <n v="1"/>
    <m/>
    <m/>
    <m/>
    <m/>
    <m/>
    <m/>
    <s v="llovizna"/>
    <n v="-76.717766670000003"/>
    <n v="3.48584"/>
    <n v="15"/>
    <n v="0"/>
    <n v="10"/>
    <n v="-76.718310000000002"/>
    <n v="3.485156667"/>
    <n v="10"/>
    <n v="0"/>
    <n v="15"/>
    <s v="Herbaceo 0.3-1.5 m"/>
    <s v="Observacion"/>
    <m/>
  </r>
  <r>
    <x v="3"/>
    <x v="1"/>
    <x v="18"/>
    <s v="FCTET12"/>
    <x v="2"/>
    <d v="2020-11-17T00:00:00"/>
    <d v="1899-12-30T20:43:35"/>
    <n v="-76.717898329999997"/>
    <n v="3.4854699999999998"/>
    <n v="5"/>
    <s v="Izquierdo"/>
    <s v="Alvaro Fierro"/>
    <n v="1907"/>
    <b v="1"/>
    <m/>
    <n v="12.5"/>
    <n v="0"/>
    <n v="12.5"/>
    <s v="Sotobosque"/>
    <s v="Bosque Secundario"/>
    <m/>
    <x v="18"/>
    <m/>
    <n v="1"/>
    <m/>
    <m/>
    <m/>
    <m/>
    <m/>
    <m/>
    <s v="llovizna"/>
    <n v="-76.717766670000003"/>
    <n v="3.48584"/>
    <n v="15"/>
    <n v="0"/>
    <n v="10"/>
    <n v="-76.718310000000002"/>
    <n v="3.485156667"/>
    <n v="10"/>
    <n v="0"/>
    <n v="15"/>
    <s v="Herbaceo 0.3-1.5 m"/>
    <s v="Observacion"/>
    <m/>
  </r>
  <r>
    <x v="3"/>
    <x v="1"/>
    <x v="18"/>
    <s v="FCTET12"/>
    <x v="2"/>
    <d v="2020-11-17T00:00:00"/>
    <d v="1899-12-30T20:43:35"/>
    <n v="-76.717898329999997"/>
    <n v="3.4854699999999998"/>
    <n v="5"/>
    <s v="Izquierdo"/>
    <s v="Alvaro Fierro"/>
    <n v="1907"/>
    <b v="1"/>
    <m/>
    <n v="12.5"/>
    <n v="0"/>
    <n v="12.5"/>
    <s v="Sotobosque"/>
    <s v="Bosque Secundario"/>
    <m/>
    <x v="18"/>
    <m/>
    <n v="1"/>
    <m/>
    <m/>
    <m/>
    <m/>
    <m/>
    <m/>
    <s v="llovizna"/>
    <n v="-76.717766670000003"/>
    <n v="3.48584"/>
    <n v="15"/>
    <n v="0"/>
    <n v="10"/>
    <n v="-76.718310000000002"/>
    <n v="3.485156667"/>
    <n v="10"/>
    <n v="0"/>
    <n v="15"/>
    <s v="Herbaceo 0.3-1.5 m"/>
    <s v="Observacion"/>
    <m/>
  </r>
  <r>
    <x v="3"/>
    <x v="1"/>
    <x v="18"/>
    <s v="FCTET12"/>
    <x v="2"/>
    <d v="2020-11-17T00:00:00"/>
    <d v="1899-12-30T20:22:05"/>
    <n v="-76.717843329999994"/>
    <n v="3.4855700000000001"/>
    <n v="5"/>
    <s v="Izquierdo"/>
    <s v="Alvaro Fierro"/>
    <n v="1917"/>
    <b v="1"/>
    <m/>
    <n v="12.5"/>
    <n v="0"/>
    <n v="12.5"/>
    <s v="Sotobosque"/>
    <s v="Bosque Secundario"/>
    <m/>
    <x v="43"/>
    <m/>
    <n v="1"/>
    <m/>
    <m/>
    <m/>
    <m/>
    <m/>
    <m/>
    <s v="llovizna"/>
    <n v="-76.717766670000003"/>
    <n v="3.48584"/>
    <n v="15"/>
    <n v="0"/>
    <n v="10"/>
    <n v="-76.718310000000002"/>
    <n v="3.485156667"/>
    <n v="10"/>
    <n v="0"/>
    <n v="15"/>
    <s v="Herbaceo 0.3-1.5 m"/>
    <s v="Observacion"/>
    <m/>
  </r>
  <r>
    <x v="3"/>
    <x v="1"/>
    <x v="18"/>
    <s v="FCTET11"/>
    <x v="1"/>
    <d v="2020-11-17T00:00:00"/>
    <d v="1899-12-30T22:56:25"/>
    <n v="-76.718909999999994"/>
    <n v="3.4851549999999998"/>
    <n v="5"/>
    <s v="Izquierdo"/>
    <s v="Alvaro Fierro"/>
    <n v="1910"/>
    <b v="0"/>
    <b v="1"/>
    <n v="16.5"/>
    <n v="1.25"/>
    <n v="20"/>
    <s v="Sotobosque"/>
    <s v="Bosque ribereño"/>
    <m/>
    <x v="3"/>
    <m/>
    <n v="1"/>
    <m/>
    <m/>
    <m/>
    <m/>
    <m/>
    <m/>
    <s v="despejado"/>
    <n v="-76.718393329999998"/>
    <n v="3.4851383330000001"/>
    <n v="10"/>
    <n v="1"/>
    <n v="15"/>
    <n v="-76.718951669999996"/>
    <n v="3.4850316669999999"/>
    <n v="30"/>
    <n v="1.5"/>
    <n v="18"/>
    <s v="Herbaceo 0.3-1.5 m"/>
    <s v="Observacion"/>
    <m/>
  </r>
  <r>
    <x v="3"/>
    <x v="1"/>
    <x v="18"/>
    <s v="FCTET11"/>
    <x v="1"/>
    <d v="2020-11-17T00:00:00"/>
    <d v="1899-12-30T22:00:23"/>
    <n v="-76.718656670000001"/>
    <n v="3.4850883330000002"/>
    <n v="5"/>
    <s v="Izquierdo"/>
    <s v="Gustavo Rodriguez"/>
    <n v="1910"/>
    <b v="0"/>
    <b v="1"/>
    <n v="16.5"/>
    <n v="1.25"/>
    <n v="20"/>
    <s v="Sotobosque"/>
    <s v="Bosque ribereño"/>
    <m/>
    <x v="7"/>
    <s v="Procesos de remoción en masa"/>
    <n v="3"/>
    <m/>
    <m/>
    <m/>
    <m/>
    <m/>
    <s v="remociones"/>
    <s v="despejado"/>
    <n v="-76.718393329999998"/>
    <n v="3.4851383330000001"/>
    <n v="10"/>
    <n v="1"/>
    <n v="15"/>
    <n v="-76.718951669999996"/>
    <n v="3.4850316669999999"/>
    <n v="30"/>
    <n v="1.5"/>
    <n v="18"/>
    <s v="Subarboreo 5-12 m"/>
    <s v="Auditivo"/>
    <m/>
  </r>
  <r>
    <x v="3"/>
    <x v="1"/>
    <x v="18"/>
    <s v="FCTET11"/>
    <x v="1"/>
    <d v="2020-11-17T00:00:00"/>
    <d v="1899-12-30T22:58:31"/>
    <n v="-76.718951669999996"/>
    <n v="3.4850316669999999"/>
    <n v="5"/>
    <s v="Izquierdo"/>
    <s v="Alvaro Fierro"/>
    <n v="1907"/>
    <b v="0"/>
    <b v="1"/>
    <n v="16.5"/>
    <n v="1.25"/>
    <n v="20"/>
    <s v="Sotobosque"/>
    <s v="Bosque ribereño"/>
    <m/>
    <x v="3"/>
    <m/>
    <n v="1"/>
    <m/>
    <m/>
    <m/>
    <m/>
    <m/>
    <m/>
    <s v="despejado"/>
    <n v="-76.718393329999998"/>
    <n v="3.4851383330000001"/>
    <n v="10"/>
    <n v="1"/>
    <n v="15"/>
    <n v="-76.718951669999996"/>
    <n v="3.4850316669999999"/>
    <n v="30"/>
    <n v="1.5"/>
    <n v="18"/>
    <s v="Rasante &lt;0.3 m"/>
    <s v="Observacion"/>
    <m/>
  </r>
  <r>
    <x v="3"/>
    <x v="1"/>
    <x v="18"/>
    <s v="FCTET13"/>
    <x v="3"/>
    <d v="2020-11-17T00:00:00"/>
    <d v="1899-12-30T19:17:07"/>
    <n v="-76.718306670000004"/>
    <n v="3.4861216669999999"/>
    <n v="5"/>
    <s v="Izquierdo"/>
    <s v="Alvaro Fierro"/>
    <n v="1907"/>
    <b v="1"/>
    <m/>
    <n v="3.5"/>
    <n v="0"/>
    <n v="12.5"/>
    <s v="Sotobosque"/>
    <s v="Arbustal"/>
    <m/>
    <x v="36"/>
    <s v="Ganadería"/>
    <n v="1"/>
    <m/>
    <m/>
    <m/>
    <m/>
    <m/>
    <s v="Pisoteo ganado vacuno"/>
    <s v="llovizna"/>
    <n v="-76.718294999999998"/>
    <n v="3.4862166669999999"/>
    <n v="10"/>
    <n v="0"/>
    <n v="4"/>
    <n v="-76.717624999999998"/>
    <n v="3.4859633329999999"/>
    <n v="15"/>
    <n v="0"/>
    <n v="3"/>
    <s v="Herbaceo 0.3-1.5 m"/>
    <s v="Observacion"/>
    <m/>
  </r>
  <r>
    <x v="3"/>
    <x v="2"/>
    <x v="9"/>
    <s v="FCCAT2"/>
    <x v="1"/>
    <d v="2020-10-29T00:00:00"/>
    <d v="1899-12-30T21:16:17"/>
    <n v="-76.647046669999995"/>
    <n v="3.349135"/>
    <n v="5"/>
    <s v="Derecho"/>
    <s v="Gustavo Rodriguez"/>
    <n v="2391"/>
    <b v="0"/>
    <b v="1"/>
    <n v="9"/>
    <n v="1"/>
    <n v="20"/>
    <s v="Sotobosque"/>
    <s v="Bosque ribereño"/>
    <m/>
    <x v="18"/>
    <s v="Residuos solidos"/>
    <n v="1"/>
    <m/>
    <m/>
    <m/>
    <m/>
    <m/>
    <s v="Plástico sobre Quebrada"/>
    <s v="Parcialmente nublado luna llena"/>
    <n v="-76.647218330000001"/>
    <n v="3.3498616669999999"/>
    <n v="30"/>
    <n v="0"/>
    <n v="10"/>
    <n v="-76.647014999999996"/>
    <n v="3.3490500000000001"/>
    <n v="10"/>
    <n v="2"/>
    <n v="8"/>
    <s v="Herbaceo 0.3-1.5 m"/>
    <s v="Observacion"/>
    <m/>
  </r>
  <r>
    <x v="3"/>
    <x v="2"/>
    <x v="9"/>
    <s v="FCCAT1"/>
    <x v="0"/>
    <d v="2020-10-29T00:00:00"/>
    <d v="1899-12-30T21:38:22"/>
    <n v="-76.647094999999993"/>
    <n v="3.348468333"/>
    <n v="5"/>
    <s v="Derecho"/>
    <s v="Einar Huetio"/>
    <n v="2382"/>
    <b v="0"/>
    <b v="1"/>
    <n v="8"/>
    <n v="0.75"/>
    <n v="10"/>
    <s v="Sotobosque"/>
    <s v="Bosque ribereño"/>
    <m/>
    <x v="18"/>
    <m/>
    <n v="1"/>
    <m/>
    <m/>
    <m/>
    <m/>
    <m/>
    <m/>
    <s v="despejado luna llena"/>
    <n v="-76.647040000000004"/>
    <n v="3.3489616670000002"/>
    <n v="10"/>
    <n v="0.5"/>
    <n v="8"/>
    <n v="-76.647311669999993"/>
    <n v="3.348233333"/>
    <n v="10"/>
    <n v="1"/>
    <n v="8"/>
    <s v="Herbaceo 0.3-1.5 m"/>
    <s v="Observacion"/>
    <m/>
  </r>
  <r>
    <x v="3"/>
    <x v="1"/>
    <x v="6"/>
    <s v="FCTAT2"/>
    <x v="1"/>
    <d v="2020-11-18T00:00:00"/>
    <d v="1899-12-30T20:31:14"/>
    <n v="-76.722409999999996"/>
    <n v="3.4773133330000001"/>
    <n v="5"/>
    <s v="Derecho"/>
    <s v="Joseph Lemos"/>
    <n v="2114"/>
    <b v="1"/>
    <m/>
    <n v="25"/>
    <n v="0"/>
    <n v="30"/>
    <s v="Epifita"/>
    <s v="Bosque Primario"/>
    <m/>
    <x v="19"/>
    <m/>
    <n v="2"/>
    <m/>
    <m/>
    <m/>
    <m/>
    <m/>
    <m/>
    <s v="parcialmente nublado"/>
    <n v="-76.722373329999996"/>
    <n v="3.4772150000000002"/>
    <n v="25"/>
    <n v="0"/>
    <n v="25"/>
    <n v="-76.722745000000003"/>
    <n v="3.4778183330000001"/>
    <n v="35"/>
    <n v="0"/>
    <n v="25"/>
    <s v="Herbaceo 0.3-1.5 m"/>
    <s v="Auditivo"/>
    <m/>
  </r>
  <r>
    <x v="3"/>
    <x v="1"/>
    <x v="6"/>
    <s v="FCTAT2"/>
    <x v="1"/>
    <d v="2020-11-18T00:00:00"/>
    <d v="1899-12-30T21:13:00"/>
    <n v="-76.722520000000003"/>
    <n v="3.4776133329999999"/>
    <n v="5"/>
    <s v="Izquierdo"/>
    <s v="Alvaro Fierro"/>
    <n v="2120"/>
    <b v="1"/>
    <m/>
    <n v="25"/>
    <n v="0"/>
    <n v="30"/>
    <s v="Sotobosque"/>
    <s v="Bosque Primario"/>
    <m/>
    <x v="5"/>
    <m/>
    <n v="1"/>
    <m/>
    <m/>
    <m/>
    <m/>
    <m/>
    <m/>
    <s v="parcialmente nublado"/>
    <n v="-76.722373329999996"/>
    <n v="3.4772150000000002"/>
    <n v="25"/>
    <n v="0"/>
    <n v="25"/>
    <n v="-76.722745000000003"/>
    <n v="3.4778183330000001"/>
    <n v="35"/>
    <n v="0"/>
    <n v="25"/>
    <s v="Herbaceo 0.3-1.5 m"/>
    <s v="Observacion"/>
    <m/>
  </r>
  <r>
    <x v="3"/>
    <x v="1"/>
    <x v="6"/>
    <s v="FCTAT2"/>
    <x v="1"/>
    <d v="2020-11-18T00:00:00"/>
    <d v="1899-12-30T21:24:10"/>
    <n v="-76.722745000000003"/>
    <n v="3.4778183330000001"/>
    <n v="5"/>
    <s v="Derecho"/>
    <s v="Alvaro Fierro"/>
    <n v="2104"/>
    <b v="1"/>
    <m/>
    <n v="25"/>
    <n v="0"/>
    <n v="30"/>
    <s v="Hojarasca"/>
    <s v="Bosque Primario"/>
    <m/>
    <x v="4"/>
    <m/>
    <n v="2"/>
    <m/>
    <m/>
    <m/>
    <m/>
    <m/>
    <m/>
    <s v="parcialmente nublado"/>
    <n v="-76.722373329999996"/>
    <n v="3.4772150000000002"/>
    <n v="25"/>
    <n v="0"/>
    <n v="25"/>
    <n v="-76.722745000000003"/>
    <n v="3.4778183330000001"/>
    <n v="35"/>
    <n v="0"/>
    <n v="25"/>
    <s v="Rasante &lt;0.3 m"/>
    <s v="Observacion"/>
    <m/>
  </r>
  <r>
    <x v="3"/>
    <x v="1"/>
    <x v="6"/>
    <s v="FCTAT2"/>
    <x v="1"/>
    <d v="2020-11-18T00:00:00"/>
    <d v="1899-12-30T21:24:10"/>
    <n v="-76.722745000000003"/>
    <n v="3.4778183330000001"/>
    <n v="5"/>
    <s v="Derecho"/>
    <s v="Joseph Lemos"/>
    <n v="2104"/>
    <b v="1"/>
    <m/>
    <n v="25"/>
    <n v="0"/>
    <n v="30"/>
    <s v="Sotobosque"/>
    <s v="Bosque Primario"/>
    <m/>
    <x v="5"/>
    <m/>
    <n v="1"/>
    <m/>
    <m/>
    <m/>
    <m/>
    <m/>
    <m/>
    <s v="parcialmente nublado"/>
    <n v="-76.722373329999996"/>
    <n v="3.4772150000000002"/>
    <n v="25"/>
    <n v="0"/>
    <n v="25"/>
    <n v="-76.722745000000003"/>
    <n v="3.4778183330000001"/>
    <n v="35"/>
    <n v="0"/>
    <n v="25"/>
    <s v="Herbaceo 0.3-1.5 m"/>
    <s v="Observacion"/>
    <m/>
  </r>
  <r>
    <x v="3"/>
    <x v="1"/>
    <x v="6"/>
    <s v="FCTAT2"/>
    <x v="1"/>
    <d v="2020-11-18T00:00:00"/>
    <d v="1899-12-30T21:19:26"/>
    <n v="-76.722695000000002"/>
    <n v="3.4777499999999999"/>
    <n v="5"/>
    <s v="Derecho"/>
    <s v="Gustavo Rodriguez"/>
    <n v="2114"/>
    <b v="1"/>
    <m/>
    <n v="25"/>
    <n v="0"/>
    <n v="30"/>
    <s v="Sotobosque"/>
    <s v="Bosque Primario"/>
    <m/>
    <x v="5"/>
    <m/>
    <n v="1"/>
    <m/>
    <m/>
    <m/>
    <m/>
    <m/>
    <m/>
    <s v="parcialmente nublado"/>
    <n v="-76.722373329999996"/>
    <n v="3.4772150000000002"/>
    <n v="25"/>
    <n v="0"/>
    <n v="25"/>
    <n v="-76.722745000000003"/>
    <n v="3.4778183330000001"/>
    <n v="35"/>
    <n v="0"/>
    <n v="25"/>
    <s v="Herbaceo 0.3-1.5 m"/>
    <s v="Observacion"/>
    <m/>
  </r>
  <r>
    <x v="3"/>
    <x v="1"/>
    <x v="6"/>
    <s v="FCTAT2"/>
    <x v="1"/>
    <d v="2020-11-18T00:00:00"/>
    <d v="1899-12-30T20:36:11"/>
    <n v="-76.722458329999995"/>
    <n v="3.4772733329999999"/>
    <n v="5"/>
    <s v="Derecho"/>
    <s v="Joseph Lemos"/>
    <n v="2104"/>
    <b v="1"/>
    <m/>
    <n v="25"/>
    <n v="0"/>
    <n v="30"/>
    <s v="Sotobosque"/>
    <s v="Bosque Primario"/>
    <m/>
    <x v="6"/>
    <m/>
    <n v="1"/>
    <m/>
    <m/>
    <m/>
    <m/>
    <m/>
    <m/>
    <s v="parcialmente nublado"/>
    <n v="-76.722373329999996"/>
    <n v="3.4772150000000002"/>
    <n v="25"/>
    <n v="0"/>
    <n v="25"/>
    <n v="-76.722745000000003"/>
    <n v="3.4778183330000001"/>
    <n v="35"/>
    <n v="0"/>
    <n v="25"/>
    <s v="Herbaceo 0.3-1.5 m"/>
    <s v="Observacion"/>
    <m/>
  </r>
  <r>
    <x v="3"/>
    <x v="1"/>
    <x v="6"/>
    <s v="FCTAT2"/>
    <x v="1"/>
    <d v="2020-11-18T00:00:00"/>
    <d v="1899-12-30T20:36:11"/>
    <n v="-76.722458329999995"/>
    <n v="3.4772733329999999"/>
    <n v="5"/>
    <s v="Derecho"/>
    <s v="Joseph Lemos"/>
    <n v="2104"/>
    <b v="1"/>
    <m/>
    <n v="25"/>
    <n v="0"/>
    <n v="30"/>
    <s v="Sotobosque"/>
    <s v="Bosque Primario"/>
    <m/>
    <x v="5"/>
    <m/>
    <n v="1"/>
    <m/>
    <m/>
    <m/>
    <m/>
    <m/>
    <m/>
    <s v="parcialmente nublado"/>
    <n v="-76.722373329999996"/>
    <n v="3.4772150000000002"/>
    <n v="25"/>
    <n v="0"/>
    <n v="25"/>
    <n v="-76.722745000000003"/>
    <n v="3.4778183330000001"/>
    <n v="35"/>
    <n v="0"/>
    <n v="25"/>
    <s v="Herbaceo 0.3-1.5 m"/>
    <s v="Observacion"/>
    <m/>
  </r>
  <r>
    <x v="3"/>
    <x v="1"/>
    <x v="6"/>
    <s v="FCTAT2"/>
    <x v="1"/>
    <d v="2020-11-18T00:00:00"/>
    <d v="1899-12-30T20:41:50"/>
    <n v="-76.722386670000006"/>
    <n v="3.477328333"/>
    <n v="5"/>
    <s v="Izquierdo"/>
    <s v="Gustavo Rodriguez"/>
    <n v="2104"/>
    <b v="1"/>
    <m/>
    <n v="25"/>
    <n v="0"/>
    <n v="30"/>
    <s v="Sotobosque"/>
    <s v="Bosque Primario"/>
    <m/>
    <x v="5"/>
    <m/>
    <n v="1"/>
    <m/>
    <m/>
    <m/>
    <m/>
    <m/>
    <m/>
    <s v="parcialmente nublado"/>
    <n v="-76.722373329999996"/>
    <n v="3.4772150000000002"/>
    <n v="25"/>
    <n v="0"/>
    <n v="25"/>
    <n v="-76.722745000000003"/>
    <n v="3.4778183330000001"/>
    <n v="35"/>
    <n v="0"/>
    <n v="25"/>
    <s v="Herbaceo 0.3-1.5 m"/>
    <s v="Observacion"/>
    <m/>
  </r>
  <r>
    <x v="3"/>
    <x v="1"/>
    <x v="6"/>
    <s v="FCTAT2"/>
    <x v="1"/>
    <d v="2020-11-18T00:00:00"/>
    <d v="1899-12-30T20:41:50"/>
    <n v="-76.722386670000006"/>
    <n v="3.477328333"/>
    <n v="5"/>
    <s v="Derecho"/>
    <s v="Alvaro Fierro"/>
    <n v="2104"/>
    <b v="1"/>
    <m/>
    <n v="25"/>
    <n v="0"/>
    <n v="30"/>
    <s v="Sotobosque"/>
    <s v="Bosque Primario"/>
    <m/>
    <x v="33"/>
    <m/>
    <n v="1"/>
    <m/>
    <m/>
    <m/>
    <m/>
    <m/>
    <m/>
    <s v="parcialmente nublado"/>
    <n v="-76.722373329999996"/>
    <n v="3.4772150000000002"/>
    <n v="25"/>
    <n v="0"/>
    <n v="25"/>
    <n v="-76.722745000000003"/>
    <n v="3.4778183330000001"/>
    <n v="35"/>
    <n v="0"/>
    <n v="25"/>
    <s v="Herbaceo 0.3-1.5 m"/>
    <s v="Observacion"/>
    <m/>
  </r>
  <r>
    <x v="3"/>
    <x v="1"/>
    <x v="6"/>
    <s v="FCTAT2"/>
    <x v="1"/>
    <d v="2020-11-18T00:00:00"/>
    <d v="1899-12-30T20:16:42"/>
    <n v="-76.722373329999996"/>
    <n v="3.4772150000000002"/>
    <n v="5"/>
    <s v="Derecho"/>
    <s v="Alvaro Fierro"/>
    <n v="2109"/>
    <b v="1"/>
    <m/>
    <n v="25"/>
    <n v="0"/>
    <n v="30"/>
    <s v="Sotobosque"/>
    <s v="Bosque Primario"/>
    <m/>
    <x v="5"/>
    <m/>
    <n v="1"/>
    <m/>
    <m/>
    <m/>
    <m/>
    <m/>
    <m/>
    <s v="parcialmente nublado"/>
    <n v="-76.722373329999996"/>
    <n v="3.4772150000000002"/>
    <n v="25"/>
    <n v="0"/>
    <n v="25"/>
    <n v="-76.722745000000003"/>
    <n v="3.4778183330000001"/>
    <n v="35"/>
    <n v="0"/>
    <n v="25"/>
    <s v="Herbaceo 0.3-1.5 m"/>
    <s v="Observacion"/>
    <m/>
  </r>
  <r>
    <x v="3"/>
    <x v="1"/>
    <x v="6"/>
    <s v="FCTAT2"/>
    <x v="1"/>
    <d v="2020-11-18T00:00:00"/>
    <d v="1899-12-30T20:16:42"/>
    <n v="-76.722373329999996"/>
    <n v="3.4772150000000002"/>
    <n v="5"/>
    <s v="Derecho"/>
    <s v="Joseph Lemos"/>
    <n v="2109"/>
    <b v="1"/>
    <m/>
    <n v="25"/>
    <n v="0"/>
    <n v="30"/>
    <s v="Hojarasca"/>
    <s v="Bosque Primario"/>
    <m/>
    <x v="4"/>
    <m/>
    <n v="1"/>
    <m/>
    <m/>
    <m/>
    <m/>
    <m/>
    <m/>
    <s v="parcialmente nublado"/>
    <n v="-76.722373329999996"/>
    <n v="3.4772150000000002"/>
    <n v="25"/>
    <n v="0"/>
    <n v="25"/>
    <n v="-76.722745000000003"/>
    <n v="3.4778183330000001"/>
    <n v="35"/>
    <n v="0"/>
    <n v="25"/>
    <s v="Rasante &lt;0.3 m"/>
    <s v="Observacion"/>
    <m/>
  </r>
  <r>
    <x v="3"/>
    <x v="1"/>
    <x v="6"/>
    <s v="FCTAT2"/>
    <x v="1"/>
    <d v="2020-11-18T00:00:00"/>
    <d v="1899-12-30T21:00:57"/>
    <n v="-76.722426670000004"/>
    <n v="3.4774283330000002"/>
    <n v="5"/>
    <s v="Izquierdo"/>
    <s v="Gustavo Rodriguez"/>
    <n v="2104"/>
    <b v="1"/>
    <m/>
    <n v="25"/>
    <n v="0"/>
    <n v="30"/>
    <s v="Sotobosque"/>
    <s v="Bosque Primario"/>
    <m/>
    <x v="5"/>
    <m/>
    <n v="3"/>
    <m/>
    <m/>
    <m/>
    <m/>
    <m/>
    <m/>
    <s v="parcialmente nublado"/>
    <n v="-76.722373329999996"/>
    <n v="3.4772150000000002"/>
    <n v="25"/>
    <n v="0"/>
    <n v="25"/>
    <n v="-76.722745000000003"/>
    <n v="3.4778183330000001"/>
    <n v="35"/>
    <n v="0"/>
    <n v="25"/>
    <s v="Herbaceo 0.3-1.5 m"/>
    <s v="Observacion"/>
    <m/>
  </r>
  <r>
    <x v="3"/>
    <x v="1"/>
    <x v="6"/>
    <s v="FCTAT2"/>
    <x v="1"/>
    <d v="2020-11-18T00:00:00"/>
    <d v="1899-12-30T21:09:19"/>
    <n v="-76.722489999999993"/>
    <n v="3.4775933330000002"/>
    <n v="5"/>
    <s v="Izquierdo"/>
    <s v="Joseph Lemos"/>
    <n v="2110"/>
    <b v="1"/>
    <m/>
    <n v="25"/>
    <n v="0"/>
    <n v="30"/>
    <s v="Sotobosque"/>
    <s v="Bosque Primario"/>
    <m/>
    <x v="4"/>
    <m/>
    <n v="2"/>
    <m/>
    <m/>
    <m/>
    <m/>
    <m/>
    <m/>
    <s v="parcialmente nublado"/>
    <n v="-76.722373329999996"/>
    <n v="3.4772150000000002"/>
    <n v="25"/>
    <n v="0"/>
    <n v="25"/>
    <n v="-76.722745000000003"/>
    <n v="3.4778183330000001"/>
    <n v="35"/>
    <n v="0"/>
    <n v="25"/>
    <s v="Rasante &lt;0.3 m"/>
    <s v="Observacion"/>
    <m/>
  </r>
  <r>
    <x v="3"/>
    <x v="1"/>
    <x v="6"/>
    <s v="FCTAT3"/>
    <x v="2"/>
    <d v="2020-11-18T00:00:00"/>
    <d v="1899-12-30T22:10:12"/>
    <n v="-76.722819999999999"/>
    <n v="3.4783916669999999"/>
    <n v="5"/>
    <s v="Izquierdo"/>
    <s v="Gustavo Rodriguez"/>
    <n v="2106"/>
    <b v="1"/>
    <m/>
    <n v="22.5"/>
    <n v="0"/>
    <n v="27.5"/>
    <s v="Sotobosque"/>
    <s v="Bosque Primario"/>
    <m/>
    <x v="5"/>
    <m/>
    <n v="1"/>
    <m/>
    <m/>
    <m/>
    <m/>
    <m/>
    <m/>
    <s v="parcialmente nublado"/>
    <n v="-76.72277167"/>
    <n v="3.4781083330000002"/>
    <n v="40"/>
    <n v="0"/>
    <n v="25"/>
    <n v="-76.722958329999997"/>
    <n v="3.4789733329999999"/>
    <n v="15"/>
    <n v="0"/>
    <n v="20"/>
    <s v="Herbaceo 0.3-1.5 m"/>
    <s v="Observacion"/>
    <m/>
  </r>
  <r>
    <x v="3"/>
    <x v="1"/>
    <x v="6"/>
    <s v="FCTAT3"/>
    <x v="2"/>
    <d v="2020-11-18T00:00:00"/>
    <d v="1899-12-30T22:28:50"/>
    <n v="-76.722873329999999"/>
    <n v="3.4786583329999998"/>
    <n v="5"/>
    <s v="Izquierdo"/>
    <s v="Gustavo Rodriguez"/>
    <n v="2089"/>
    <b v="1"/>
    <m/>
    <n v="22.5"/>
    <n v="0"/>
    <n v="27.5"/>
    <s v="Sotobosque"/>
    <s v="Bosque Primario"/>
    <m/>
    <x v="5"/>
    <m/>
    <n v="1"/>
    <m/>
    <m/>
    <m/>
    <m/>
    <m/>
    <m/>
    <s v="parcialmente nublado"/>
    <n v="-76.72277167"/>
    <n v="3.4781083330000002"/>
    <n v="40"/>
    <n v="0"/>
    <n v="25"/>
    <n v="-76.722958329999997"/>
    <n v="3.4789733329999999"/>
    <n v="15"/>
    <n v="0"/>
    <n v="20"/>
    <s v="Herbaceo 0.3-1.5 m"/>
    <s v="Observacion"/>
    <m/>
  </r>
  <r>
    <x v="3"/>
    <x v="1"/>
    <x v="6"/>
    <s v="FCTAT3"/>
    <x v="2"/>
    <d v="2020-11-18T00:00:00"/>
    <d v="1899-12-30T21:33:59"/>
    <n v="-76.72277167"/>
    <n v="3.4781083330000002"/>
    <n v="5"/>
    <s v="Derecho"/>
    <s v="Alvaro Fierro"/>
    <n v="2105"/>
    <b v="1"/>
    <m/>
    <n v="22.5"/>
    <n v="0"/>
    <n v="27.5"/>
    <s v="Sotobosque"/>
    <s v="Bosque Primario"/>
    <m/>
    <x v="19"/>
    <m/>
    <n v="1"/>
    <m/>
    <m/>
    <m/>
    <m/>
    <m/>
    <m/>
    <s v="parcialmente nublado"/>
    <n v="-76.72277167"/>
    <n v="3.4781083330000002"/>
    <n v="40"/>
    <n v="0"/>
    <n v="25"/>
    <n v="-76.722958329999997"/>
    <n v="3.4789733329999999"/>
    <n v="15"/>
    <n v="0"/>
    <n v="20"/>
    <s v="Herbaceo 0.3-1.5 m"/>
    <s v="Observacion"/>
    <m/>
  </r>
  <r>
    <x v="3"/>
    <x v="1"/>
    <x v="6"/>
    <s v="FCTAT3"/>
    <x v="2"/>
    <d v="2020-11-18T00:00:00"/>
    <d v="1899-12-30T22:32:20"/>
    <n v="-76.722821670000002"/>
    <n v="3.4787083330000002"/>
    <n v="5"/>
    <s v="Izquierdo"/>
    <s v="Gustavo Rodriguez"/>
    <n v="2089"/>
    <b v="1"/>
    <m/>
    <n v="22.5"/>
    <n v="0"/>
    <n v="27.5"/>
    <s v="Sotobosque"/>
    <s v="Bosque Primario"/>
    <m/>
    <x v="5"/>
    <m/>
    <n v="1"/>
    <m/>
    <m/>
    <m/>
    <m/>
    <m/>
    <m/>
    <s v="parcialmente nublado"/>
    <n v="-76.72277167"/>
    <n v="3.4781083330000002"/>
    <n v="40"/>
    <n v="0"/>
    <n v="25"/>
    <n v="-76.722958329999997"/>
    <n v="3.4789733329999999"/>
    <n v="15"/>
    <n v="0"/>
    <n v="20"/>
    <s v="Herbaceo 0.3-1.5 m"/>
    <s v="Observacion"/>
    <m/>
  </r>
  <r>
    <x v="3"/>
    <x v="1"/>
    <x v="6"/>
    <s v="FCTAT3"/>
    <x v="2"/>
    <d v="2020-11-18T00:00:00"/>
    <d v="1899-12-30T22:15:33"/>
    <n v="-76.722683329999995"/>
    <n v="3.4785466669999998"/>
    <n v="5"/>
    <s v="Derecho"/>
    <s v="Gustavo Rodriguez"/>
    <n v="2089"/>
    <b v="1"/>
    <m/>
    <n v="22.5"/>
    <n v="0"/>
    <n v="27.5"/>
    <s v="Sotobosque"/>
    <s v="Bosque Primario"/>
    <m/>
    <x v="19"/>
    <m/>
    <n v="1"/>
    <m/>
    <m/>
    <m/>
    <m/>
    <m/>
    <m/>
    <s v="parcialmente nublado"/>
    <n v="-76.72277167"/>
    <n v="3.4781083330000002"/>
    <n v="40"/>
    <n v="0"/>
    <n v="25"/>
    <n v="-76.722958329999997"/>
    <n v="3.4789733329999999"/>
    <n v="15"/>
    <n v="0"/>
    <n v="20"/>
    <s v="Herbaceo 0.3-1.5 m"/>
    <s v="Observacion"/>
    <m/>
  </r>
  <r>
    <x v="3"/>
    <x v="1"/>
    <x v="6"/>
    <s v="FCTAT3"/>
    <x v="2"/>
    <d v="2020-11-18T00:00:00"/>
    <d v="1899-12-30T22:15:33"/>
    <n v="-76.722683329999995"/>
    <n v="3.4785466669999998"/>
    <n v="5"/>
    <s v="Derecho"/>
    <s v="Gustavo Rodriguez"/>
    <n v="2106"/>
    <b v="1"/>
    <m/>
    <n v="22.5"/>
    <n v="0"/>
    <n v="27.5"/>
    <s v="Sotobosque"/>
    <s v="Bosque Primario"/>
    <m/>
    <x v="5"/>
    <m/>
    <n v="1"/>
    <m/>
    <m/>
    <m/>
    <m/>
    <m/>
    <m/>
    <s v="parcialmente nublado"/>
    <n v="-76.72277167"/>
    <n v="3.4781083330000002"/>
    <n v="40"/>
    <n v="0"/>
    <n v="25"/>
    <n v="-76.722958329999997"/>
    <n v="3.4789733329999999"/>
    <n v="15"/>
    <n v="0"/>
    <n v="20"/>
    <s v="Herbaceo 0.3-1.5 m"/>
    <s v="Observacion"/>
    <m/>
  </r>
  <r>
    <x v="3"/>
    <x v="1"/>
    <x v="6"/>
    <s v="FCTAT3"/>
    <x v="2"/>
    <d v="2020-11-18T00:00:00"/>
    <d v="1899-12-30T22:37:26"/>
    <n v="-76.722835000000003"/>
    <n v="3.4788983330000001"/>
    <n v="5"/>
    <s v="Izquierdo"/>
    <s v="Joseph Lemos"/>
    <n v="2089"/>
    <b v="1"/>
    <m/>
    <n v="22.5"/>
    <n v="0"/>
    <n v="27.5"/>
    <s v="Sotobosque"/>
    <s v="Bosque Primario"/>
    <m/>
    <x v="5"/>
    <m/>
    <n v="2"/>
    <m/>
    <m/>
    <m/>
    <m/>
    <m/>
    <m/>
    <s v="parcialmente nublado"/>
    <n v="-76.72277167"/>
    <n v="3.4781083330000002"/>
    <n v="40"/>
    <n v="0"/>
    <n v="25"/>
    <n v="-76.722958329999997"/>
    <n v="3.4789733329999999"/>
    <n v="15"/>
    <n v="0"/>
    <n v="20"/>
    <s v="Herbaceo 0.3-1.5 m"/>
    <s v="Observacion"/>
    <m/>
  </r>
  <r>
    <x v="3"/>
    <x v="1"/>
    <x v="6"/>
    <s v="FCTAT3"/>
    <x v="2"/>
    <d v="2020-11-18T00:00:00"/>
    <d v="1899-12-30T22:01:03"/>
    <n v="-76.722859999999997"/>
    <n v="3.4782799999999998"/>
    <n v="5"/>
    <s v="Izquierdo"/>
    <s v="Gustavo Rodriguez"/>
    <n v="2106"/>
    <b v="1"/>
    <m/>
    <n v="22.5"/>
    <n v="0"/>
    <n v="27.5"/>
    <s v="Sotobosque"/>
    <s v="Bosque Primario"/>
    <m/>
    <x v="5"/>
    <m/>
    <n v="2"/>
    <m/>
    <m/>
    <m/>
    <m/>
    <m/>
    <m/>
    <s v="parcialmente nublado"/>
    <n v="-76.72277167"/>
    <n v="3.4781083330000002"/>
    <n v="40"/>
    <n v="0"/>
    <n v="25"/>
    <n v="-76.722958329999997"/>
    <n v="3.4789733329999999"/>
    <n v="15"/>
    <n v="0"/>
    <n v="20"/>
    <s v="Herbaceo 0.3-1.5 m"/>
    <s v="Observacion"/>
    <m/>
  </r>
  <r>
    <x v="3"/>
    <x v="1"/>
    <x v="6"/>
    <s v="FCTAT3"/>
    <x v="2"/>
    <d v="2020-11-18T00:00:00"/>
    <d v="1899-12-30T22:42:16"/>
    <n v="-76.722958329999997"/>
    <n v="3.4789733329999999"/>
    <n v="5"/>
    <s v="Derecho"/>
    <s v="Joseph Lemos"/>
    <n v="2089"/>
    <b v="1"/>
    <m/>
    <n v="22.5"/>
    <n v="0"/>
    <n v="27.5"/>
    <s v="Sotobosque"/>
    <s v="Bosque Primario"/>
    <m/>
    <x v="6"/>
    <m/>
    <n v="1"/>
    <m/>
    <m/>
    <m/>
    <m/>
    <m/>
    <m/>
    <s v="parcialmente nublado"/>
    <n v="-76.72277167"/>
    <n v="3.4781083330000002"/>
    <n v="40"/>
    <n v="0"/>
    <n v="25"/>
    <n v="-76.722958329999997"/>
    <n v="3.4789733329999999"/>
    <n v="15"/>
    <n v="0"/>
    <n v="20"/>
    <s v="Herbaceo 0.3-1.5 m"/>
    <s v="Observacion"/>
    <m/>
  </r>
  <r>
    <x v="3"/>
    <x v="1"/>
    <x v="6"/>
    <s v="FCTAT3"/>
    <x v="2"/>
    <d v="2020-11-18T00:00:00"/>
    <d v="1899-12-30T21:42:40"/>
    <n v="-76.722751669999994"/>
    <n v="3.4781816669999999"/>
    <n v="5"/>
    <s v="Izquierdo"/>
    <s v="Alvaro Fierro"/>
    <n v="2114"/>
    <b v="1"/>
    <m/>
    <n v="22.5"/>
    <n v="0"/>
    <n v="27.5"/>
    <s v="Sotobosque"/>
    <s v="Bosque Primario"/>
    <m/>
    <x v="5"/>
    <m/>
    <n v="5"/>
    <m/>
    <m/>
    <m/>
    <m/>
    <m/>
    <m/>
    <s v="parcialmente nublado"/>
    <n v="-76.72277167"/>
    <n v="3.4781083330000002"/>
    <n v="40"/>
    <n v="0"/>
    <n v="25"/>
    <n v="-76.722958329999997"/>
    <n v="3.4789733329999999"/>
    <n v="15"/>
    <n v="0"/>
    <n v="20"/>
    <s v="Herbaceo 0.3-1.5 m"/>
    <s v="Observacion"/>
    <m/>
  </r>
  <r>
    <x v="3"/>
    <x v="1"/>
    <x v="6"/>
    <s v="FCTAT3"/>
    <x v="2"/>
    <d v="2020-11-18T00:00:00"/>
    <d v="1899-12-30T21:42:40"/>
    <n v="-76.722751669999994"/>
    <n v="3.4781816669999999"/>
    <n v="5"/>
    <s v="Izquierdo"/>
    <s v="Gustavo Rodriguez"/>
    <n v="2106"/>
    <b v="1"/>
    <m/>
    <n v="22.5"/>
    <n v="0"/>
    <n v="27.5"/>
    <s v="Sotobosque"/>
    <s v="Bosque Primario"/>
    <m/>
    <x v="5"/>
    <m/>
    <n v="1"/>
    <m/>
    <m/>
    <m/>
    <m/>
    <m/>
    <m/>
    <s v="parcialmente nublado"/>
    <n v="-76.72277167"/>
    <n v="3.4781083330000002"/>
    <n v="40"/>
    <n v="0"/>
    <n v="25"/>
    <n v="-76.722958329999997"/>
    <n v="3.4789733329999999"/>
    <n v="15"/>
    <n v="0"/>
    <n v="20"/>
    <s v="Herbaceo 0.3-1.5 m"/>
    <s v="Observacion"/>
    <m/>
  </r>
  <r>
    <x v="3"/>
    <x v="1"/>
    <x v="6"/>
    <s v="FCTAT3"/>
    <x v="2"/>
    <d v="2020-11-18T00:00:00"/>
    <d v="1899-12-30T21:42:40"/>
    <n v="-76.722751669999994"/>
    <n v="3.4781816669999999"/>
    <n v="5"/>
    <s v="Derecho"/>
    <s v="Alvaro Fierro"/>
    <n v="2104"/>
    <b v="1"/>
    <m/>
    <n v="22.5"/>
    <n v="0"/>
    <n v="27.5"/>
    <s v="Sotobosque"/>
    <s v="Bosque Primario"/>
    <m/>
    <x v="5"/>
    <m/>
    <n v="2"/>
    <m/>
    <m/>
    <m/>
    <m/>
    <m/>
    <m/>
    <s v="parcialmente nublado"/>
    <n v="-76.72277167"/>
    <n v="3.4781083330000002"/>
    <n v="40"/>
    <n v="0"/>
    <n v="25"/>
    <n v="-76.722958329999997"/>
    <n v="3.4789733329999999"/>
    <n v="15"/>
    <n v="0"/>
    <n v="20"/>
    <s v="Herbaceo 0.3-1.5 m"/>
    <s v="Observacion"/>
    <m/>
  </r>
  <r>
    <x v="3"/>
    <x v="1"/>
    <x v="6"/>
    <s v="FCTAT5"/>
    <x v="4"/>
    <d v="2020-11-18T00:00:00"/>
    <d v="1899-12-30T23:48:21"/>
    <n v="-76.723231670000004"/>
    <n v="3.4805933329999998"/>
    <n v="5"/>
    <s v="Izquierdo"/>
    <s v="Alvaro Fierro"/>
    <n v="2067"/>
    <b v="1"/>
    <m/>
    <n v="10"/>
    <n v="0"/>
    <n v="10"/>
    <s v="Sotobosque"/>
    <s v="Bosque Primario"/>
    <m/>
    <x v="34"/>
    <m/>
    <n v="1"/>
    <m/>
    <m/>
    <m/>
    <m/>
    <m/>
    <m/>
    <s v="despejado"/>
    <n v="-76.723240000000004"/>
    <n v="3.480371667"/>
    <n v="5"/>
    <n v="0"/>
    <n v="10"/>
    <n v="-76.723290000000006"/>
    <n v="3.481086667"/>
    <n v="15"/>
    <n v="0"/>
    <n v="10"/>
    <s v="Herbaceo 0.3-1.5 m"/>
    <s v="Observacion"/>
    <m/>
  </r>
  <r>
    <x v="3"/>
    <x v="1"/>
    <x v="6"/>
    <s v="FCTAT5"/>
    <x v="4"/>
    <d v="2020-11-18T00:00:00"/>
    <d v="1899-12-30T23:43:34"/>
    <n v="-76.723245000000006"/>
    <n v="3.4805633330000001"/>
    <n v="5"/>
    <s v="Derecho"/>
    <s v="Joseph Lemos"/>
    <n v="2067"/>
    <b v="1"/>
    <m/>
    <n v="10"/>
    <n v="0"/>
    <n v="10"/>
    <s v="Sotobosque"/>
    <s v="Bosque Primario"/>
    <m/>
    <x v="5"/>
    <m/>
    <n v="2"/>
    <m/>
    <m/>
    <m/>
    <m/>
    <m/>
    <m/>
    <s v="despejado"/>
    <n v="-76.723240000000004"/>
    <n v="3.480371667"/>
    <n v="5"/>
    <n v="0"/>
    <n v="10"/>
    <n v="-76.723290000000006"/>
    <n v="3.481086667"/>
    <n v="15"/>
    <n v="0"/>
    <n v="10"/>
    <s v="Herbaceo 0.3-1.5 m"/>
    <s v="Observacion"/>
    <m/>
  </r>
  <r>
    <x v="3"/>
    <x v="1"/>
    <x v="6"/>
    <s v="FCTAT5"/>
    <x v="4"/>
    <d v="2020-11-18T00:00:00"/>
    <d v="1899-12-30T00:03:16"/>
    <n v="-76.723201669999995"/>
    <n v="3.4808783330000002"/>
    <n v="5"/>
    <s v="Derecho"/>
    <s v="Alvaro Fierro"/>
    <n v="2063"/>
    <b v="1"/>
    <m/>
    <n v="10"/>
    <n v="0"/>
    <n v="10"/>
    <s v="Sotobosque"/>
    <s v="Bosque Primario"/>
    <m/>
    <x v="5"/>
    <m/>
    <n v="1"/>
    <m/>
    <m/>
    <m/>
    <m/>
    <m/>
    <m/>
    <s v="despejado"/>
    <n v="-76.723240000000004"/>
    <n v="3.480371667"/>
    <n v="5"/>
    <n v="0"/>
    <n v="10"/>
    <n v="-76.723290000000006"/>
    <n v="3.481086667"/>
    <n v="15"/>
    <n v="0"/>
    <n v="10"/>
    <s v="Herbaceo 0.3-1.5 m"/>
    <s v="Observacion"/>
    <m/>
  </r>
  <r>
    <x v="3"/>
    <x v="1"/>
    <x v="6"/>
    <s v="FCTAT5"/>
    <x v="4"/>
    <d v="2020-11-18T00:00:00"/>
    <d v="1899-12-30T23:52:22"/>
    <n v="-76.723296669999996"/>
    <n v="3.4806849999999998"/>
    <n v="5"/>
    <s v="Izquierdo"/>
    <s v="Alvaro Fierro"/>
    <n v="2067"/>
    <b v="1"/>
    <m/>
    <n v="10"/>
    <n v="0"/>
    <n v="10"/>
    <s v="Sotobosque"/>
    <s v="Bosque Primario"/>
    <m/>
    <x v="5"/>
    <m/>
    <n v="1"/>
    <m/>
    <m/>
    <m/>
    <m/>
    <m/>
    <m/>
    <s v="despejado"/>
    <n v="-76.723240000000004"/>
    <n v="3.480371667"/>
    <n v="5"/>
    <n v="0"/>
    <n v="10"/>
    <n v="-76.723290000000006"/>
    <n v="3.481086667"/>
    <n v="15"/>
    <n v="0"/>
    <n v="10"/>
    <s v="Herbaceo 0.3-1.5 m"/>
    <s v="Observacion"/>
    <m/>
  </r>
  <r>
    <x v="3"/>
    <x v="1"/>
    <x v="6"/>
    <s v="FCTAT1"/>
    <x v="0"/>
    <d v="2020-11-18T00:00:00"/>
    <d v="1899-12-30T19:07:17"/>
    <n v="-76.722219999999993"/>
    <n v="3.4768283329999998"/>
    <n v="5"/>
    <s v="Izquierdo"/>
    <s v="Joseph Lemos"/>
    <n v="2114"/>
    <b v="1"/>
    <m/>
    <n v="14"/>
    <n v="0"/>
    <n v="35"/>
    <s v="Epifita"/>
    <s v="Bosque Primario"/>
    <m/>
    <x v="6"/>
    <m/>
    <n v="1"/>
    <m/>
    <m/>
    <m/>
    <m/>
    <m/>
    <m/>
    <s v="parcialmente nublado"/>
    <n v="-76.722213330000002"/>
    <n v="3.4767549999999998"/>
    <n v="20"/>
    <n v="0"/>
    <n v="15"/>
    <n v="-76.722333329999998"/>
    <n v="3.476988333"/>
    <n v="50"/>
    <n v="0"/>
    <n v="13"/>
    <s v="Herbaceo 0.3-1.5 m"/>
    <s v="Observacion"/>
    <m/>
  </r>
  <r>
    <x v="3"/>
    <x v="1"/>
    <x v="6"/>
    <s v="FCTAT1"/>
    <x v="0"/>
    <d v="2020-11-18T00:00:00"/>
    <d v="1899-12-30T20:03:45"/>
    <n v="-76.722288329999998"/>
    <n v="3.4769716669999999"/>
    <n v="5"/>
    <s v="Derecho"/>
    <s v="Alvaro Fierro"/>
    <n v="2109"/>
    <b v="1"/>
    <m/>
    <n v="14"/>
    <n v="0"/>
    <n v="35"/>
    <s v="Epifita"/>
    <s v="Bosque Primario"/>
    <m/>
    <x v="6"/>
    <m/>
    <n v="1"/>
    <m/>
    <m/>
    <m/>
    <m/>
    <m/>
    <m/>
    <s v="parcialmente nublado"/>
    <n v="-76.722213330000002"/>
    <n v="3.4767549999999998"/>
    <n v="20"/>
    <n v="0"/>
    <n v="15"/>
    <n v="-76.722333329999998"/>
    <n v="3.476988333"/>
    <n v="50"/>
    <n v="0"/>
    <n v="13"/>
    <s v="Herbaceo 0.3-1.5 m"/>
    <s v="Observacion"/>
    <m/>
  </r>
  <r>
    <x v="3"/>
    <x v="1"/>
    <x v="6"/>
    <s v="FCTAT1"/>
    <x v="0"/>
    <d v="2020-11-18T00:00:00"/>
    <d v="1899-12-30T20:03:45"/>
    <n v="-76.722288329999998"/>
    <n v="3.4769716669999999"/>
    <n v="5"/>
    <s v="Derecho"/>
    <s v="Joseph Lemos"/>
    <n v="2109"/>
    <b v="1"/>
    <m/>
    <n v="14"/>
    <n v="0"/>
    <n v="35"/>
    <s v="Sotobosque"/>
    <s v="Bosque Primario"/>
    <m/>
    <x v="6"/>
    <m/>
    <n v="1"/>
    <m/>
    <m/>
    <m/>
    <m/>
    <m/>
    <m/>
    <s v="parcialmente nublado"/>
    <n v="-76.722213330000002"/>
    <n v="3.4767549999999998"/>
    <n v="20"/>
    <n v="0"/>
    <n v="15"/>
    <n v="-76.722333329999998"/>
    <n v="3.476988333"/>
    <n v="50"/>
    <n v="0"/>
    <n v="13"/>
    <s v="Herbaceo 0.3-1.5 m"/>
    <s v="Observacion"/>
    <m/>
  </r>
  <r>
    <x v="3"/>
    <x v="1"/>
    <x v="6"/>
    <s v="FCTAT1"/>
    <x v="0"/>
    <d v="2020-11-18T00:00:00"/>
    <d v="1899-12-30T19:43:39"/>
    <n v="-76.722279999999998"/>
    <n v="3.4769066670000002"/>
    <n v="5"/>
    <s v="Derecho"/>
    <s v="Joseph Lemos"/>
    <n v="2105"/>
    <b v="1"/>
    <m/>
    <n v="14"/>
    <n v="0"/>
    <n v="35"/>
    <s v="Epifita"/>
    <s v="Bosque Primario"/>
    <m/>
    <x v="6"/>
    <m/>
    <n v="1"/>
    <m/>
    <m/>
    <m/>
    <m/>
    <m/>
    <m/>
    <s v="parcialmente nublado"/>
    <n v="-76.722213330000002"/>
    <n v="3.4767549999999998"/>
    <n v="20"/>
    <n v="0"/>
    <n v="15"/>
    <n v="-76.722333329999998"/>
    <n v="3.476988333"/>
    <n v="50"/>
    <n v="0"/>
    <n v="13"/>
    <s v="Herbaceo 0.3-1.5 m"/>
    <s v="Observacion"/>
    <m/>
  </r>
  <r>
    <x v="3"/>
    <x v="1"/>
    <x v="6"/>
    <s v="FCTAT1"/>
    <x v="0"/>
    <d v="2020-11-18T00:00:00"/>
    <d v="1899-12-30T19:43:39"/>
    <n v="-76.722279999999998"/>
    <n v="3.4769066670000002"/>
    <n v="5"/>
    <s v="Derecho"/>
    <s v="Joseph Lemos"/>
    <n v="2105"/>
    <b v="1"/>
    <m/>
    <n v="14"/>
    <n v="0"/>
    <n v="35"/>
    <s v="Sotobosque"/>
    <s v="Bosque Primario"/>
    <m/>
    <x v="5"/>
    <m/>
    <n v="1"/>
    <m/>
    <m/>
    <m/>
    <m/>
    <m/>
    <m/>
    <s v="parcialmente nublado"/>
    <n v="-76.722213330000002"/>
    <n v="3.4767549999999998"/>
    <n v="20"/>
    <n v="0"/>
    <n v="15"/>
    <n v="-76.722333329999998"/>
    <n v="3.476988333"/>
    <n v="50"/>
    <n v="0"/>
    <n v="13"/>
    <s v="Herbaceo 0.3-1.5 m"/>
    <s v="Observacion"/>
    <m/>
  </r>
  <r>
    <x v="3"/>
    <x v="1"/>
    <x v="6"/>
    <s v="FCTAT1"/>
    <x v="0"/>
    <d v="2020-11-18T00:00:00"/>
    <d v="1899-12-30T19:43:39"/>
    <n v="-76.722279999999998"/>
    <n v="3.4769066670000002"/>
    <n v="5"/>
    <s v="Izquierdo"/>
    <s v="Joseph Lemos"/>
    <n v="2105"/>
    <b v="1"/>
    <m/>
    <n v="14"/>
    <n v="0"/>
    <n v="35"/>
    <s v="Sotobosque"/>
    <s v="Bosque Primario"/>
    <m/>
    <x v="5"/>
    <m/>
    <n v="1"/>
    <m/>
    <m/>
    <m/>
    <m/>
    <m/>
    <m/>
    <s v="parcialmente nublado"/>
    <n v="-76.722213330000002"/>
    <n v="3.4767549999999998"/>
    <n v="20"/>
    <n v="0"/>
    <n v="15"/>
    <n v="-76.722333329999998"/>
    <n v="3.476988333"/>
    <n v="50"/>
    <n v="0"/>
    <n v="13"/>
    <s v="Herbaceo 0.3-1.5 m"/>
    <s v="Observacion"/>
    <m/>
  </r>
  <r>
    <x v="3"/>
    <x v="1"/>
    <x v="6"/>
    <s v="FCTAT1"/>
    <x v="0"/>
    <d v="2020-11-18T00:00:00"/>
    <d v="1899-12-30T19:20:14"/>
    <n v="-76.722196670000002"/>
    <n v="3.4768633329999998"/>
    <n v="5"/>
    <s v="Izquierdo"/>
    <s v="Joseph Lemos"/>
    <n v="2114"/>
    <b v="1"/>
    <m/>
    <n v="14"/>
    <n v="0"/>
    <n v="35"/>
    <s v="Epifita"/>
    <s v="Bosque Primario"/>
    <m/>
    <x v="39"/>
    <m/>
    <n v="1"/>
    <m/>
    <m/>
    <m/>
    <m/>
    <m/>
    <m/>
    <s v="parcialmente nublado"/>
    <n v="-76.722213330000002"/>
    <n v="3.4767549999999998"/>
    <n v="20"/>
    <n v="0"/>
    <n v="15"/>
    <n v="-76.722333329999998"/>
    <n v="3.476988333"/>
    <n v="50"/>
    <n v="0"/>
    <n v="13"/>
    <s v="Herbaceo 0.3-1.5 m"/>
    <s v="Observacion"/>
    <m/>
  </r>
  <r>
    <x v="3"/>
    <x v="1"/>
    <x v="6"/>
    <s v="FCTAT1"/>
    <x v="0"/>
    <d v="2020-11-18T00:00:00"/>
    <d v="1899-12-30T19:37:02"/>
    <n v="-76.722184999999996"/>
    <n v="3.4768883330000002"/>
    <n v="5"/>
    <s v="Derecho"/>
    <s v="Alvaro Fierro"/>
    <n v="2110"/>
    <b v="1"/>
    <m/>
    <n v="14"/>
    <n v="0"/>
    <n v="35"/>
    <s v="Sotobosque"/>
    <s v="Bosque Primario"/>
    <m/>
    <x v="6"/>
    <m/>
    <n v="1"/>
    <m/>
    <m/>
    <m/>
    <m/>
    <m/>
    <m/>
    <s v="parcialmente nublado"/>
    <n v="-76.722213330000002"/>
    <n v="3.4767549999999998"/>
    <n v="20"/>
    <n v="0"/>
    <n v="15"/>
    <n v="-76.722333329999998"/>
    <n v="3.476988333"/>
    <n v="50"/>
    <n v="0"/>
    <n v="13"/>
    <s v="Herbaceo 0.3-1.5 m"/>
    <s v="Observacion"/>
    <m/>
  </r>
  <r>
    <x v="3"/>
    <x v="1"/>
    <x v="6"/>
    <s v="FCTAT1"/>
    <x v="0"/>
    <d v="2020-11-18T00:00:00"/>
    <d v="1899-12-30T19:37:02"/>
    <n v="-76.722184999999996"/>
    <n v="3.4768883330000002"/>
    <n v="5"/>
    <s v="Derecho"/>
    <s v="Joseph Lemos"/>
    <n v="2114"/>
    <b v="1"/>
    <m/>
    <n v="14"/>
    <n v="0"/>
    <n v="35"/>
    <s v="Sotobosque"/>
    <s v="Bosque Primario"/>
    <m/>
    <x v="19"/>
    <m/>
    <n v="1"/>
    <m/>
    <m/>
    <m/>
    <m/>
    <m/>
    <m/>
    <s v="parcialmente nublado"/>
    <n v="-76.722213330000002"/>
    <n v="3.4767549999999998"/>
    <n v="20"/>
    <n v="0"/>
    <n v="15"/>
    <n v="-76.722333329999998"/>
    <n v="3.476988333"/>
    <n v="50"/>
    <n v="0"/>
    <n v="13"/>
    <s v="Herbaceo 0.3-1.5 m"/>
    <s v="Observacion"/>
    <m/>
  </r>
  <r>
    <x v="3"/>
    <x v="1"/>
    <x v="6"/>
    <s v="FCTAT1"/>
    <x v="0"/>
    <d v="2020-11-18T00:00:00"/>
    <d v="1899-12-30T19:58:00"/>
    <n v="-76.722269999999995"/>
    <n v="3.476918333"/>
    <n v="5"/>
    <s v="Derecho"/>
    <s v="Joseph Lemos"/>
    <n v="2109"/>
    <b v="1"/>
    <m/>
    <n v="14"/>
    <n v="0"/>
    <n v="35"/>
    <s v="Hojarasca"/>
    <s v="Bosque Primario"/>
    <m/>
    <x v="4"/>
    <m/>
    <n v="1"/>
    <m/>
    <m/>
    <m/>
    <m/>
    <m/>
    <m/>
    <s v="parcialmente nublado"/>
    <n v="-76.722213330000002"/>
    <n v="3.4767549999999998"/>
    <n v="20"/>
    <n v="0"/>
    <n v="15"/>
    <n v="-76.722333329999998"/>
    <n v="3.476988333"/>
    <n v="50"/>
    <n v="0"/>
    <n v="13"/>
    <s v="Rasante &lt;0.3 m"/>
    <s v="Observacion"/>
    <m/>
  </r>
  <r>
    <x v="3"/>
    <x v="1"/>
    <x v="6"/>
    <s v="FCTAT4"/>
    <x v="3"/>
    <d v="2020-11-18T00:00:00"/>
    <d v="1899-12-30T23:08:59"/>
    <n v="-76.723043329999996"/>
    <n v="3.4794166670000002"/>
    <n v="5"/>
    <s v="Derecho"/>
    <s v="Joseph Lemos"/>
    <n v="2077"/>
    <b v="1"/>
    <m/>
    <n v="22.5"/>
    <n v="0"/>
    <n v="15"/>
    <s v="Sotobosque"/>
    <s v="Bosque Primario"/>
    <m/>
    <x v="5"/>
    <m/>
    <n v="1"/>
    <m/>
    <m/>
    <m/>
    <m/>
    <m/>
    <m/>
    <s v="llovizna"/>
    <n v="-76.722980000000007"/>
    <n v="3.4791333330000001"/>
    <n v="15"/>
    <n v="0"/>
    <n v="25"/>
    <n v="-76.723246669999995"/>
    <n v="3.4801549999999999"/>
    <n v="15"/>
    <n v="0"/>
    <n v="20"/>
    <s v="Herbaceo 0.3-1.5 m"/>
    <s v="Observacion"/>
    <m/>
  </r>
  <r>
    <x v="3"/>
    <x v="1"/>
    <x v="6"/>
    <s v="FCTAT4"/>
    <x v="3"/>
    <d v="2020-11-18T00:00:00"/>
    <d v="1899-12-30T23:33:07"/>
    <n v="-76.723123330000007"/>
    <n v="3.4800849999999999"/>
    <n v="5"/>
    <s v="Derecho"/>
    <s v="Joseph Lemos"/>
    <n v="2060"/>
    <b v="1"/>
    <m/>
    <n v="22.5"/>
    <n v="0"/>
    <n v="15"/>
    <s v="Sotobosque"/>
    <s v="Bosque Primario"/>
    <m/>
    <x v="5"/>
    <m/>
    <n v="1"/>
    <m/>
    <m/>
    <m/>
    <m/>
    <m/>
    <m/>
    <s v="llovizna"/>
    <n v="-76.722980000000007"/>
    <n v="3.4791333330000001"/>
    <n v="15"/>
    <n v="0"/>
    <n v="25"/>
    <n v="-76.723246669999995"/>
    <n v="3.4801549999999999"/>
    <n v="15"/>
    <n v="0"/>
    <n v="20"/>
    <s v="Herbaceo 0.3-1.5 m"/>
    <s v="Observacion"/>
    <m/>
  </r>
  <r>
    <x v="3"/>
    <x v="1"/>
    <x v="6"/>
    <s v="FCTAT4"/>
    <x v="3"/>
    <d v="2020-11-18T00:00:00"/>
    <d v="1899-12-30T22:59:44"/>
    <n v="-76.723043329999996"/>
    <n v="3.4794049999999999"/>
    <n v="5"/>
    <s v="Derecho"/>
    <s v="Alvaro Fierro"/>
    <n v="2070"/>
    <b v="1"/>
    <m/>
    <n v="22.5"/>
    <n v="0"/>
    <n v="15"/>
    <s v="Sotobosque"/>
    <s v="Bosque Primario"/>
    <m/>
    <x v="35"/>
    <m/>
    <n v="1"/>
    <m/>
    <m/>
    <m/>
    <m/>
    <m/>
    <m/>
    <s v="llovizna"/>
    <n v="-76.722980000000007"/>
    <n v="3.4791333330000001"/>
    <n v="15"/>
    <n v="0"/>
    <n v="25"/>
    <n v="-76.723246669999995"/>
    <n v="3.4801549999999999"/>
    <n v="15"/>
    <n v="0"/>
    <n v="20"/>
    <s v="Herbaceo 0.3-1.5 m"/>
    <s v="Observacion"/>
    <m/>
  </r>
  <r>
    <x v="3"/>
    <x v="1"/>
    <x v="6"/>
    <s v="FCTAT4"/>
    <x v="3"/>
    <d v="2020-11-18T00:00:00"/>
    <d v="1899-12-30T23:16:59"/>
    <n v="-76.723091670000002"/>
    <n v="3.4795400000000001"/>
    <n v="5"/>
    <s v="Izquierdo"/>
    <s v="Joseph Lemos"/>
    <n v="2069"/>
    <b v="1"/>
    <m/>
    <n v="22.5"/>
    <n v="0"/>
    <n v="15"/>
    <s v="Sotobosque"/>
    <s v="Bosque Primario"/>
    <m/>
    <x v="5"/>
    <m/>
    <n v="1"/>
    <m/>
    <m/>
    <m/>
    <m/>
    <m/>
    <m/>
    <s v="llovizna"/>
    <n v="-76.722980000000007"/>
    <n v="3.4791333330000001"/>
    <n v="15"/>
    <n v="0"/>
    <n v="25"/>
    <n v="-76.723246669999995"/>
    <n v="3.4801549999999999"/>
    <n v="15"/>
    <n v="0"/>
    <n v="20"/>
    <s v="Herbaceo 0.3-1.5 m"/>
    <s v="Observacion"/>
    <m/>
  </r>
  <r>
    <x v="3"/>
    <x v="1"/>
    <x v="6"/>
    <s v="FCTAT4"/>
    <x v="3"/>
    <d v="2020-11-18T00:00:00"/>
    <d v="1899-12-30T23:26:06"/>
    <n v="-76.723155000000006"/>
    <n v="3.4798433329999998"/>
    <n v="5"/>
    <s v="Derecho"/>
    <s v="Alvaro Fierro"/>
    <n v="2078"/>
    <b v="1"/>
    <m/>
    <n v="22.5"/>
    <n v="0"/>
    <n v="15"/>
    <s v="Sotobosque"/>
    <s v="Bosque Primario"/>
    <m/>
    <x v="5"/>
    <m/>
    <n v="1"/>
    <m/>
    <m/>
    <m/>
    <m/>
    <m/>
    <m/>
    <s v="llovizna"/>
    <n v="-76.722980000000007"/>
    <n v="3.4791333330000001"/>
    <n v="15"/>
    <n v="0"/>
    <n v="25"/>
    <n v="-76.723246669999995"/>
    <n v="3.4801549999999999"/>
    <n v="15"/>
    <n v="0"/>
    <n v="20"/>
    <s v="Herbaceo 0.3-1.5 m"/>
    <s v="Observacion"/>
    <m/>
  </r>
  <r>
    <x v="3"/>
    <x v="1"/>
    <x v="6"/>
    <s v="FCTAT4"/>
    <x v="3"/>
    <d v="2020-11-18T00:00:00"/>
    <d v="1899-12-30T22:53:26"/>
    <n v="-76.722926670000007"/>
    <n v="3.4791316669999999"/>
    <n v="5"/>
    <s v="Izquierdo"/>
    <s v="Gustavo Rodriguez"/>
    <n v="2088"/>
    <b v="1"/>
    <m/>
    <n v="22.5"/>
    <n v="0"/>
    <n v="15"/>
    <s v="Sotobosque"/>
    <s v="Bosque Primario"/>
    <m/>
    <x v="5"/>
    <m/>
    <n v="1"/>
    <m/>
    <m/>
    <m/>
    <m/>
    <m/>
    <m/>
    <s v="llovizna"/>
    <n v="-76.722980000000007"/>
    <n v="3.4791333330000001"/>
    <n v="15"/>
    <n v="0"/>
    <n v="25"/>
    <n v="-76.723246669999995"/>
    <n v="3.4801549999999999"/>
    <n v="15"/>
    <n v="0"/>
    <n v="20"/>
    <s v="Herbaceo 0.3-1.5 m"/>
    <s v="Observacion"/>
    <m/>
  </r>
  <r>
    <x v="3"/>
    <x v="1"/>
    <x v="6"/>
    <s v="FCTAT4"/>
    <x v="3"/>
    <d v="2020-11-18T00:00:00"/>
    <d v="1899-12-30T23:15:14"/>
    <n v="-76.723053329999999"/>
    <n v="3.4795349999999998"/>
    <n v="5"/>
    <s v="Derecho"/>
    <s v="Joseph Lemos"/>
    <n v="2079"/>
    <b v="1"/>
    <m/>
    <n v="22.5"/>
    <n v="0"/>
    <n v="15"/>
    <s v="Sotobosque"/>
    <s v="Bosque Primario"/>
    <m/>
    <x v="5"/>
    <m/>
    <n v="1"/>
    <m/>
    <m/>
    <m/>
    <m/>
    <m/>
    <m/>
    <s v="llovizna"/>
    <n v="-76.722980000000007"/>
    <n v="3.4791333330000001"/>
    <n v="15"/>
    <n v="0"/>
    <n v="25"/>
    <n v="-76.723246669999995"/>
    <n v="3.4801549999999999"/>
    <n v="15"/>
    <n v="0"/>
    <n v="20"/>
    <s v="Herbaceo 0.3-1.5 m"/>
    <s v="Observacion"/>
    <m/>
  </r>
  <r>
    <x v="3"/>
    <x v="1"/>
    <x v="6"/>
    <s v="FCTAT4"/>
    <x v="3"/>
    <d v="2020-11-18T00:00:00"/>
    <d v="1899-12-30T23:28:49"/>
    <n v="-76.723256669999998"/>
    <n v="3.4799183330000001"/>
    <n v="5"/>
    <s v="Derecho"/>
    <s v="Joseph Lemos"/>
    <n v="2074"/>
    <b v="1"/>
    <m/>
    <n v="22.5"/>
    <n v="0"/>
    <n v="15"/>
    <s v="Sotobosque"/>
    <s v="Bosque Primario"/>
    <m/>
    <x v="5"/>
    <m/>
    <n v="1"/>
    <m/>
    <m/>
    <m/>
    <m/>
    <m/>
    <m/>
    <s v="llovizna"/>
    <n v="-76.722980000000007"/>
    <n v="3.4791333330000001"/>
    <n v="15"/>
    <n v="0"/>
    <n v="25"/>
    <n v="-76.723246669999995"/>
    <n v="3.4801549999999999"/>
    <n v="15"/>
    <n v="0"/>
    <n v="20"/>
    <s v="Herbaceo 0.3-1.5 m"/>
    <s v="Observacion"/>
    <m/>
  </r>
  <r>
    <x v="3"/>
    <x v="1"/>
    <x v="6"/>
    <s v="FCTAT4"/>
    <x v="3"/>
    <d v="2020-11-18T00:00:00"/>
    <d v="1899-12-30T22:56:36"/>
    <n v="-76.723026669999996"/>
    <n v="3.4793766669999999"/>
    <n v="5"/>
    <s v="Derecho"/>
    <s v="Joseph Lemos"/>
    <n v="2077"/>
    <b v="1"/>
    <m/>
    <n v="22.5"/>
    <n v="0"/>
    <n v="15"/>
    <s v="Sotobosque"/>
    <s v="Bosque Primario"/>
    <m/>
    <x v="5"/>
    <m/>
    <n v="2"/>
    <m/>
    <m/>
    <m/>
    <m/>
    <m/>
    <m/>
    <s v="llovizna"/>
    <n v="-76.722980000000007"/>
    <n v="3.4791333330000001"/>
    <n v="15"/>
    <n v="0"/>
    <n v="25"/>
    <n v="-76.723246669999995"/>
    <n v="3.4801549999999999"/>
    <n v="15"/>
    <n v="0"/>
    <n v="20"/>
    <s v="Herbaceo 0.3-1.5 m"/>
    <s v="Observacion"/>
    <m/>
  </r>
  <r>
    <x v="3"/>
    <x v="1"/>
    <x v="6"/>
    <s v="FCTAT4"/>
    <x v="3"/>
    <d v="2020-11-18T00:00:00"/>
    <d v="1899-12-30T22:57:40"/>
    <n v="-76.723021669999994"/>
    <n v="3.4793099999999999"/>
    <n v="5"/>
    <s v="Izquierdo"/>
    <s v="Alvaro Fierro"/>
    <n v="2077"/>
    <b v="1"/>
    <m/>
    <n v="22.5"/>
    <n v="0"/>
    <n v="15"/>
    <s v="Sotobosque"/>
    <s v="Bosque Primario"/>
    <m/>
    <x v="5"/>
    <m/>
    <n v="1"/>
    <m/>
    <m/>
    <m/>
    <m/>
    <m/>
    <m/>
    <s v="llovizna"/>
    <n v="-76.722980000000007"/>
    <n v="3.4791333330000001"/>
    <n v="15"/>
    <n v="0"/>
    <n v="25"/>
    <n v="-76.723246669999995"/>
    <n v="3.4801549999999999"/>
    <n v="15"/>
    <n v="0"/>
    <n v="20"/>
    <s v="Herbaceo 0.3-1.5 m"/>
    <s v="Observacion"/>
    <m/>
  </r>
  <r>
    <x v="3"/>
    <x v="2"/>
    <x v="8"/>
    <s v="FCCBT6"/>
    <x v="1"/>
    <d v="2020-10-27T00:00:00"/>
    <d v="1899-12-30T23:02:23"/>
    <n v="-76.643095000000002"/>
    <n v="3.3496233329999998"/>
    <n v="5"/>
    <s v="Derecho"/>
    <s v="Gustavo Rodriguez"/>
    <n v="2421"/>
    <b v="1"/>
    <m/>
    <n v="15"/>
    <n v="0"/>
    <n v="75"/>
    <s v="Sotobosque"/>
    <s v="Bosque Primario"/>
    <m/>
    <x v="3"/>
    <m/>
    <n v="1"/>
    <m/>
    <m/>
    <m/>
    <m/>
    <m/>
    <m/>
    <m/>
    <n v="-76.642939999999996"/>
    <n v="3.3491866670000001"/>
    <n v="60"/>
    <n v="0"/>
    <n v="15"/>
    <n v="-76.643344999999997"/>
    <n v="3.3495666669999999"/>
    <n v="90"/>
    <n v="0"/>
    <n v="15"/>
    <s v="Herbaceo 0.3-1.5 m"/>
    <s v="Observacion"/>
    <m/>
  </r>
  <r>
    <x v="3"/>
    <x v="2"/>
    <x v="8"/>
    <s v="FCCBT6"/>
    <x v="1"/>
    <d v="2020-10-27T00:00:00"/>
    <d v="1899-12-30T22:56:56"/>
    <n v="-76.643034999999998"/>
    <n v="3.3496266669999999"/>
    <n v="5"/>
    <s v="Izquierdo"/>
    <s v="Gustavo Rodriguez"/>
    <n v="2419"/>
    <b v="1"/>
    <m/>
    <n v="15"/>
    <n v="0"/>
    <n v="75"/>
    <s v="Epifita"/>
    <s v="Bosque Primario"/>
    <m/>
    <x v="3"/>
    <m/>
    <n v="1"/>
    <m/>
    <m/>
    <m/>
    <m/>
    <m/>
    <m/>
    <m/>
    <n v="-76.642939999999996"/>
    <n v="3.3491866670000001"/>
    <n v="60"/>
    <n v="0"/>
    <n v="15"/>
    <n v="-76.643344999999997"/>
    <n v="3.3495666669999999"/>
    <n v="90"/>
    <n v="0"/>
    <n v="15"/>
    <s v="Herbaceo 0.3-1.5 m"/>
    <s v="Observacion"/>
    <m/>
  </r>
  <r>
    <x v="3"/>
    <x v="2"/>
    <x v="8"/>
    <s v="FCCBT6"/>
    <x v="1"/>
    <d v="2020-10-27T00:00:00"/>
    <d v="1899-12-30T22:49:21"/>
    <n v="-76.642876670000007"/>
    <n v="3.3494649999999999"/>
    <n v="5"/>
    <s v="Izquierdo"/>
    <s v="Einar Huetio"/>
    <n v="2408"/>
    <b v="1"/>
    <m/>
    <n v="15"/>
    <n v="0"/>
    <n v="75"/>
    <s v="Sotobosque"/>
    <s v="Bosque Primario"/>
    <m/>
    <x v="17"/>
    <m/>
    <n v="1"/>
    <m/>
    <m/>
    <m/>
    <m/>
    <m/>
    <m/>
    <m/>
    <n v="-76.642939999999996"/>
    <n v="3.3491866670000001"/>
    <n v="60"/>
    <n v="0"/>
    <n v="15"/>
    <n v="-76.643344999999997"/>
    <n v="3.3495666669999999"/>
    <n v="90"/>
    <n v="0"/>
    <n v="15"/>
    <s v="Herbaceo 0.3-1.5 m"/>
    <s v="Observacion"/>
    <m/>
  </r>
  <r>
    <x v="3"/>
    <x v="2"/>
    <x v="19"/>
    <s v="FCCBT8"/>
    <x v="0"/>
    <d v="2020-10-27T00:00:00"/>
    <d v="1899-12-30T21:33:22"/>
    <n v="-76.641498330000005"/>
    <n v="3.34978"/>
    <n v="5"/>
    <s v="Izquierdo"/>
    <s v="Einar Huetio"/>
    <n v="2338"/>
    <b v="1"/>
    <m/>
    <n v="20"/>
    <n v="0"/>
    <n v="50"/>
    <s v="Sotobosque"/>
    <s v="Bosque Primario"/>
    <m/>
    <x v="18"/>
    <m/>
    <n v="1"/>
    <m/>
    <m/>
    <m/>
    <m/>
    <m/>
    <m/>
    <s v="Nublado"/>
    <n v="-76.641216670000006"/>
    <n v="3.3497783330000002"/>
    <n v="50"/>
    <n v="0"/>
    <n v="25"/>
    <n v="-76.642138329999995"/>
    <n v="3.3494583329999998"/>
    <n v="50"/>
    <n v="0"/>
    <n v="15"/>
    <s v="Herbaceo 0.3-1.5 m"/>
    <s v="Observacion"/>
    <m/>
  </r>
  <r>
    <x v="3"/>
    <x v="2"/>
    <x v="19"/>
    <s v="FCCBT8"/>
    <x v="0"/>
    <d v="2020-10-27T00:00:00"/>
    <d v="1899-12-30T21:49:04"/>
    <n v="-76.641985000000005"/>
    <n v="3.3495400000000002"/>
    <n v="5"/>
    <s v="Izquierdo"/>
    <s v="Einar Huetio"/>
    <n v="2354"/>
    <b v="1"/>
    <m/>
    <n v="20"/>
    <n v="0"/>
    <n v="50"/>
    <s v="Sotobosque"/>
    <s v="Bosque Primario"/>
    <m/>
    <x v="3"/>
    <m/>
    <n v="1"/>
    <m/>
    <m/>
    <m/>
    <m/>
    <m/>
    <m/>
    <s v="Nublado"/>
    <n v="-76.641216670000006"/>
    <n v="3.3497783330000002"/>
    <n v="50"/>
    <n v="0"/>
    <n v="25"/>
    <n v="-76.642138329999995"/>
    <n v="3.3494583329999998"/>
    <n v="50"/>
    <n v="0"/>
    <n v="15"/>
    <s v="Herbaceo 0.3-1.5 m"/>
    <s v="Observacion"/>
    <m/>
  </r>
  <r>
    <x v="3"/>
    <x v="2"/>
    <x v="19"/>
    <s v="FCCBT8"/>
    <x v="0"/>
    <d v="2020-10-27T00:00:00"/>
    <d v="1899-12-30T21:08:59"/>
    <n v="-76.641473329999997"/>
    <n v="3.3500333329999998"/>
    <n v="5"/>
    <s v="Derecho"/>
    <s v="Andres Munoz"/>
    <n v="2336"/>
    <b v="1"/>
    <m/>
    <n v="20"/>
    <n v="0"/>
    <n v="50"/>
    <s v="Sotobosque"/>
    <s v="Bosque Primario"/>
    <m/>
    <x v="3"/>
    <m/>
    <n v="1"/>
    <m/>
    <m/>
    <m/>
    <m/>
    <m/>
    <m/>
    <s v="Nublado"/>
    <n v="-76.641216670000006"/>
    <n v="3.3497783330000002"/>
    <n v="50"/>
    <n v="0"/>
    <n v="25"/>
    <n v="-76.642138329999995"/>
    <n v="3.3494583329999998"/>
    <n v="50"/>
    <n v="0"/>
    <n v="15"/>
    <s v="Herbaceo 0.3-1.5 m"/>
    <s v="Observacion"/>
    <m/>
  </r>
  <r>
    <x v="3"/>
    <x v="2"/>
    <x v="19"/>
    <s v="FCCBT8"/>
    <x v="0"/>
    <d v="2020-10-27T00:00:00"/>
    <d v="1899-12-30T21:24:14"/>
    <n v="-76.641448330000003"/>
    <n v="3.3499699999999999"/>
    <n v="5"/>
    <s v="Izquierdo"/>
    <s v="Gustavo Rodriguez"/>
    <n v="2364"/>
    <b v="1"/>
    <m/>
    <n v="20"/>
    <n v="0"/>
    <n v="50"/>
    <s v="Sotobosque"/>
    <s v="Bosque Primario"/>
    <m/>
    <x v="3"/>
    <m/>
    <n v="1"/>
    <m/>
    <m/>
    <m/>
    <m/>
    <m/>
    <m/>
    <s v="Nublado"/>
    <n v="-76.641216670000006"/>
    <n v="3.3497783330000002"/>
    <n v="50"/>
    <n v="0"/>
    <n v="25"/>
    <n v="-76.642138329999995"/>
    <n v="3.3494583329999998"/>
    <n v="50"/>
    <n v="0"/>
    <n v="15"/>
    <s v="Herbaceo 0.3-1.5 m"/>
    <s v="Observacion"/>
    <m/>
  </r>
  <r>
    <x v="3"/>
    <x v="2"/>
    <x v="19"/>
    <s v="FCCBT8"/>
    <x v="0"/>
    <d v="2020-10-27T00:00:00"/>
    <d v="1899-12-30T21:24:14"/>
    <n v="-76.641448330000003"/>
    <n v="3.3499699999999999"/>
    <n v="5"/>
    <s v="Derecho"/>
    <s v="Einar Huetio"/>
    <n v="2337"/>
    <b v="1"/>
    <m/>
    <n v="20"/>
    <n v="0"/>
    <n v="50"/>
    <s v="Sotobosque"/>
    <s v="Bosque Primario"/>
    <m/>
    <x v="9"/>
    <m/>
    <n v="1"/>
    <m/>
    <m/>
    <m/>
    <m/>
    <m/>
    <m/>
    <s v="Nublado"/>
    <n v="-76.641216670000006"/>
    <n v="3.3497783330000002"/>
    <n v="50"/>
    <n v="0"/>
    <n v="25"/>
    <n v="-76.642138329999995"/>
    <n v="3.3494583329999998"/>
    <n v="50"/>
    <n v="0"/>
    <n v="15"/>
    <s v="Herbaceo 0.3-1.5 m"/>
    <s v="Observacion"/>
    <m/>
  </r>
  <r>
    <x v="3"/>
    <x v="2"/>
    <x v="8"/>
    <s v="FCCBT7"/>
    <x v="2"/>
    <d v="2020-10-27T00:00:00"/>
    <d v="1899-12-30T22:07:55"/>
    <n v="-76.642246670000006"/>
    <n v="3.3492150000000001"/>
    <n v="5"/>
    <s v="Derecho"/>
    <s v="Gustavo Rodriguez"/>
    <n v="2353"/>
    <b v="1"/>
    <m/>
    <n v="20"/>
    <n v="0"/>
    <n v="32.5"/>
    <s v="Sotobosque"/>
    <s v="Bosque Primario"/>
    <m/>
    <x v="17"/>
    <m/>
    <n v="1"/>
    <m/>
    <m/>
    <m/>
    <m/>
    <m/>
    <m/>
    <s v="Nublado"/>
    <n v="-76.642224999999996"/>
    <n v="3.3492999999999999"/>
    <n v="25"/>
    <n v="0"/>
    <n v="25"/>
    <n v="-76.642816670000002"/>
    <n v="3.3491233330000001"/>
    <n v="40"/>
    <n v="0"/>
    <n v="15"/>
    <s v="Herbaceo 0.3-1.5 m"/>
    <s v="Observacion"/>
    <m/>
  </r>
  <r>
    <x v="3"/>
    <x v="2"/>
    <x v="8"/>
    <s v="FCCBT7"/>
    <x v="2"/>
    <d v="2020-10-27T00:00:00"/>
    <d v="1899-12-30T22:16:48"/>
    <n v="-76.642478330000003"/>
    <n v="3.3491166670000001"/>
    <n v="5"/>
    <s v="Izquierdo"/>
    <s v="Einar Huetio"/>
    <n v="2375"/>
    <b v="1"/>
    <m/>
    <n v="20"/>
    <n v="0"/>
    <n v="32.5"/>
    <s v="Sotobosque"/>
    <s v="Bosque Primario"/>
    <m/>
    <x v="3"/>
    <m/>
    <n v="2"/>
    <m/>
    <m/>
    <m/>
    <m/>
    <m/>
    <m/>
    <s v="Nublado"/>
    <n v="-76.642224999999996"/>
    <n v="3.3492999999999999"/>
    <n v="25"/>
    <n v="0"/>
    <n v="25"/>
    <n v="-76.642816670000002"/>
    <n v="3.3491233330000001"/>
    <n v="40"/>
    <n v="0"/>
    <n v="15"/>
    <s v="Herbaceo 0.3-1.5 m"/>
    <s v="Observacion"/>
    <m/>
  </r>
  <r>
    <x v="3"/>
    <x v="2"/>
    <x v="19"/>
    <s v="FCCBT9"/>
    <x v="1"/>
    <d v="2020-10-27T00:00:00"/>
    <d v="1899-12-30T20:38:20"/>
    <n v="-76.64088667"/>
    <n v="3.3499850000000002"/>
    <n v="5"/>
    <s v="Izquierdo"/>
    <s v="Gustavo Rodriguez"/>
    <n v="2341"/>
    <b v="1"/>
    <m/>
    <n v="17.5"/>
    <n v="0"/>
    <n v="62.5"/>
    <s v="Sotobosque"/>
    <s v="Bosque Primario"/>
    <m/>
    <x v="3"/>
    <m/>
    <n v="1"/>
    <m/>
    <m/>
    <m/>
    <m/>
    <m/>
    <m/>
    <s v="Nublado"/>
    <n v="-76.640466669999995"/>
    <n v="3.3504466669999999"/>
    <n v="70"/>
    <n v="0"/>
    <n v="10"/>
    <n v="-76.641024999999999"/>
    <n v="3.34985"/>
    <n v="55"/>
    <n v="0"/>
    <n v="25"/>
    <s v="Herbaceo 0.3-1.5 m"/>
    <s v="Observacion"/>
    <m/>
  </r>
  <r>
    <x v="3"/>
    <x v="2"/>
    <x v="19"/>
    <s v="FCCBT9"/>
    <x v="1"/>
    <d v="2020-10-27T00:00:00"/>
    <d v="1899-12-30T20:49:02"/>
    <n v="-76.641024999999999"/>
    <n v="3.34985"/>
    <n v="5"/>
    <s v="Derecho"/>
    <s v="Andres Munoz"/>
    <n v="2369"/>
    <b v="1"/>
    <m/>
    <n v="17.5"/>
    <n v="0"/>
    <n v="62.5"/>
    <s v="Sotobosque"/>
    <s v="Bosque Primario"/>
    <m/>
    <x v="3"/>
    <m/>
    <n v="1"/>
    <m/>
    <m/>
    <m/>
    <m/>
    <m/>
    <m/>
    <s v="Nublado"/>
    <n v="-76.640466669999995"/>
    <n v="3.3504466669999999"/>
    <n v="70"/>
    <n v="0"/>
    <n v="10"/>
    <n v="-76.641024999999999"/>
    <n v="3.34985"/>
    <n v="55"/>
    <n v="0"/>
    <n v="25"/>
    <s v="Herbaceo 0.3-1.5 m"/>
    <s v="Observacion"/>
    <m/>
  </r>
  <r>
    <x v="3"/>
    <x v="2"/>
    <x v="19"/>
    <s v="FCCBT9"/>
    <x v="1"/>
    <d v="2020-10-27T00:00:00"/>
    <d v="1899-12-30T20:43:20"/>
    <n v="-76.640929999999997"/>
    <n v="3.349881667"/>
    <n v="5"/>
    <s v="Derecho"/>
    <s v="Andres Munoz"/>
    <n v="2346"/>
    <b v="1"/>
    <m/>
    <n v="17.5"/>
    <n v="0"/>
    <n v="62.5"/>
    <s v="Sotobosque"/>
    <s v="Bosque Primario"/>
    <m/>
    <x v="3"/>
    <m/>
    <n v="1"/>
    <m/>
    <m/>
    <m/>
    <m/>
    <m/>
    <m/>
    <s v="Nublado"/>
    <n v="-76.640466669999995"/>
    <n v="3.3504466669999999"/>
    <n v="70"/>
    <n v="0"/>
    <n v="10"/>
    <n v="-76.641024999999999"/>
    <n v="3.34985"/>
    <n v="55"/>
    <n v="0"/>
    <n v="25"/>
    <s v="Herbaceo 0.3-1.5 m"/>
    <s v="Observacion"/>
    <m/>
  </r>
  <r>
    <x v="3"/>
    <x v="2"/>
    <x v="19"/>
    <s v="FCCBT9"/>
    <x v="1"/>
    <d v="2020-10-27T00:00:00"/>
    <d v="1899-12-30T20:32:08"/>
    <n v="-76.640743330000006"/>
    <n v="3.34998"/>
    <n v="5"/>
    <s v="Izquierdo"/>
    <s v="Gustavo Rodriguez"/>
    <n v="2336"/>
    <b v="1"/>
    <m/>
    <n v="17.5"/>
    <n v="0"/>
    <n v="62.5"/>
    <s v="Sotobosque"/>
    <s v="Bosque Primario"/>
    <m/>
    <x v="3"/>
    <m/>
    <n v="1"/>
    <m/>
    <m/>
    <m/>
    <m/>
    <m/>
    <m/>
    <s v="Nublado"/>
    <n v="-76.640466669999995"/>
    <n v="3.3504466669999999"/>
    <n v="70"/>
    <n v="0"/>
    <n v="10"/>
    <n v="-76.641024999999999"/>
    <n v="3.34985"/>
    <n v="55"/>
    <n v="0"/>
    <n v="25"/>
    <s v="Herbaceo 0.3-1.5 m"/>
    <s v="Observacion"/>
    <m/>
  </r>
  <r>
    <x v="3"/>
    <x v="2"/>
    <x v="19"/>
    <s v="FCCBT10"/>
    <x v="2"/>
    <d v="2020-10-27T00:00:00"/>
    <d v="1899-12-30T19:27:53"/>
    <n v="-76.63955"/>
    <n v="3.3507016670000001"/>
    <n v="5"/>
    <s v="Izquierdo"/>
    <s v="Gustavo Rodriguez"/>
    <n v="2377"/>
    <b v="1"/>
    <m/>
    <n v="17.5"/>
    <n v="0"/>
    <n v="70"/>
    <s v="Sotobosque"/>
    <s v="Bosque Primario"/>
    <m/>
    <x v="3"/>
    <m/>
    <n v="1"/>
    <m/>
    <m/>
    <m/>
    <m/>
    <m/>
    <m/>
    <s v="Nublado"/>
    <n v="-76.63955"/>
    <n v="3.3507016670000001"/>
    <n v="70"/>
    <n v="0"/>
    <n v="25"/>
    <n v="-76.640238330000003"/>
    <n v="3.3506"/>
    <n v="70"/>
    <n v="0"/>
    <n v="10"/>
    <s v="Herbaceo 0.3-1.5 m"/>
    <s v="Observacion"/>
    <m/>
  </r>
  <r>
    <x v="3"/>
    <x v="2"/>
    <x v="19"/>
    <s v="FCCBT10"/>
    <x v="2"/>
    <d v="2020-10-27T00:00:00"/>
    <d v="1899-12-30T19:51:35"/>
    <n v="-76.639944999999997"/>
    <n v="3.3506900000000002"/>
    <n v="5"/>
    <s v="Derecho"/>
    <s v="Andres Munoz"/>
    <n v="2392"/>
    <b v="1"/>
    <m/>
    <n v="17.5"/>
    <n v="0"/>
    <n v="70"/>
    <s v="Sotobosque"/>
    <s v="Bosque Primario"/>
    <m/>
    <x v="3"/>
    <m/>
    <n v="1"/>
    <m/>
    <m/>
    <m/>
    <m/>
    <m/>
    <m/>
    <s v="Nublado"/>
    <n v="-76.63955"/>
    <n v="3.3507016670000001"/>
    <n v="70"/>
    <n v="0"/>
    <n v="25"/>
    <n v="-76.640238330000003"/>
    <n v="3.3506"/>
    <n v="70"/>
    <n v="0"/>
    <n v="10"/>
    <s v="Arbustivo 1.5-5 m"/>
    <s v="Observacion"/>
    <m/>
  </r>
  <r>
    <x v="3"/>
    <x v="2"/>
    <x v="11"/>
    <s v="FCCDT14"/>
    <x v="3"/>
    <d v="2020-10-28T00:00:00"/>
    <d v="1899-12-30T21:35:20"/>
    <n v="-76.652640000000005"/>
    <n v="3.3535200000000001"/>
    <n v="5"/>
    <s v="Izquierdo"/>
    <s v="Gustavo Rodriguez"/>
    <n v="2524"/>
    <b v="1"/>
    <m/>
    <n v="20"/>
    <n v="0"/>
    <n v="85"/>
    <s v="Sotobosque"/>
    <s v="Bosque Primario"/>
    <m/>
    <x v="12"/>
    <m/>
    <n v="1"/>
    <m/>
    <m/>
    <m/>
    <m/>
    <m/>
    <m/>
    <s v="Nublado"/>
    <n v="-76.652640000000005"/>
    <n v="3.3535200000000001"/>
    <n v="90"/>
    <n v="0"/>
    <n v="20"/>
    <n v="-76.651878330000002"/>
    <n v="3.3533750000000002"/>
    <n v="80"/>
    <n v="0"/>
    <n v="20"/>
    <s v="Herbaceo 0.3-1.5 m"/>
    <s v="Observacion"/>
    <m/>
  </r>
  <r>
    <x v="3"/>
    <x v="2"/>
    <x v="10"/>
    <s v="FCCDT16"/>
    <x v="0"/>
    <d v="2020-10-28T00:00:00"/>
    <d v="1899-12-30T20:47:17"/>
    <n v="-76.655143330000001"/>
    <n v="3.3539916669999998"/>
    <n v="5"/>
    <s v="Izquierdo"/>
    <s v="Gustavo Rodriguez"/>
    <n v="2567"/>
    <b v="1"/>
    <m/>
    <n v="20"/>
    <n v="0"/>
    <n v="40"/>
    <s v="Sotobosque"/>
    <s v="Bosque Primario"/>
    <m/>
    <x v="12"/>
    <m/>
    <n v="1"/>
    <m/>
    <m/>
    <m/>
    <m/>
    <m/>
    <m/>
    <s v="despejado"/>
    <n v="-76.655874999999995"/>
    <n v="3.354568333"/>
    <n v="40"/>
    <n v="0"/>
    <n v="25"/>
    <n v="-76.655143330000001"/>
    <n v="3.3539916669999998"/>
    <n v="40"/>
    <n v="0"/>
    <n v="15"/>
    <s v="Herbaceo 0.3-1.5 m"/>
    <s v="Observacion"/>
    <m/>
  </r>
  <r>
    <x v="3"/>
    <x v="2"/>
    <x v="10"/>
    <s v="FCCDT16"/>
    <x v="0"/>
    <d v="2020-10-28T00:00:00"/>
    <d v="1899-12-30T20:25:41"/>
    <n v="-76.655731669999994"/>
    <n v="3.3544433329999999"/>
    <n v="5"/>
    <s v="Derecho"/>
    <s v="Gustavo Rodriguez"/>
    <n v="2592"/>
    <b v="1"/>
    <m/>
    <n v="20"/>
    <n v="0"/>
    <n v="40"/>
    <s v="Sotobosque"/>
    <s v="Bosque Primario"/>
    <m/>
    <x v="12"/>
    <m/>
    <n v="1"/>
    <m/>
    <m/>
    <m/>
    <m/>
    <m/>
    <m/>
    <s v="despejado"/>
    <n v="-76.655874999999995"/>
    <n v="3.354568333"/>
    <n v="40"/>
    <n v="0"/>
    <n v="25"/>
    <n v="-76.655143330000001"/>
    <n v="3.3539916669999998"/>
    <n v="40"/>
    <n v="0"/>
    <n v="15"/>
    <s v="Herbaceo 0.3-1.5 m"/>
    <s v="Observacion"/>
    <m/>
  </r>
  <r>
    <x v="3"/>
    <x v="2"/>
    <x v="10"/>
    <s v="FCCDT16"/>
    <x v="0"/>
    <d v="2020-10-28T00:00:00"/>
    <d v="1899-12-30T20:35:02"/>
    <n v="-76.655640000000005"/>
    <n v="3.3542149999999999"/>
    <n v="5"/>
    <s v="Derecho"/>
    <s v="Andres Munoz"/>
    <n v="2569"/>
    <b v="1"/>
    <m/>
    <n v="20"/>
    <n v="0"/>
    <n v="40"/>
    <s v="Sotobosque"/>
    <s v="Bosque Primario"/>
    <m/>
    <x v="12"/>
    <m/>
    <n v="1"/>
    <m/>
    <m/>
    <m/>
    <m/>
    <m/>
    <m/>
    <s v="despejado"/>
    <n v="-76.655874999999995"/>
    <n v="3.354568333"/>
    <n v="40"/>
    <n v="0"/>
    <n v="25"/>
    <n v="-76.655143330000001"/>
    <n v="3.3539916669999998"/>
    <n v="40"/>
    <n v="0"/>
    <n v="15"/>
    <s v="Herbaceo 0.3-1.5 m"/>
    <s v="Observacion"/>
    <m/>
  </r>
  <r>
    <x v="3"/>
    <x v="2"/>
    <x v="11"/>
    <s v="FCCDT15"/>
    <x v="4"/>
    <d v="2020-10-28T00:00:00"/>
    <d v="1899-12-30T21:22:14"/>
    <n v="-76.653121670000004"/>
    <n v="3.3533683330000001"/>
    <n v="5"/>
    <s v="Derecho"/>
    <s v="Andres Munoz"/>
    <n v="2525"/>
    <b v="0"/>
    <b v="1"/>
    <n v="18.5"/>
    <n v="0"/>
    <n v="75"/>
    <s v="Sotobosque"/>
    <s v="Bosque ribereño"/>
    <m/>
    <x v="12"/>
    <m/>
    <n v="1"/>
    <m/>
    <m/>
    <m/>
    <m/>
    <m/>
    <m/>
    <s v="parcialmente nublado"/>
    <n v="-76.653561670000002"/>
    <n v="3.3533783330000002"/>
    <n v="70"/>
    <n v="0"/>
    <n v="25"/>
    <n v="-76.652906669999993"/>
    <n v="3.3534250000000001"/>
    <n v="80"/>
    <n v="0"/>
    <n v="12"/>
    <s v="Herbaceo 0.3-1.5 m"/>
    <s v="Observacion"/>
    <m/>
  </r>
  <r>
    <x v="3"/>
    <x v="2"/>
    <x v="11"/>
    <s v="FCCDT15"/>
    <x v="4"/>
    <d v="2020-10-28T00:00:00"/>
    <d v="1899-12-30T21:06:39"/>
    <n v="-76.653459999999995"/>
    <n v="3.3533516670000001"/>
    <n v="5"/>
    <s v="Derecho"/>
    <s v="Andres Munoz"/>
    <n v="2541"/>
    <b v="1"/>
    <m/>
    <n v="18.5"/>
    <n v="0"/>
    <n v="75"/>
    <s v="Sotobosque"/>
    <s v="Bosque Primario"/>
    <m/>
    <x v="12"/>
    <m/>
    <n v="1"/>
    <m/>
    <m/>
    <m/>
    <m/>
    <m/>
    <m/>
    <s v="parcialmente nublado"/>
    <n v="-76.653561670000002"/>
    <n v="3.3533783330000002"/>
    <n v="70"/>
    <n v="0"/>
    <n v="25"/>
    <n v="-76.652906669999993"/>
    <n v="3.3534250000000001"/>
    <n v="80"/>
    <n v="0"/>
    <n v="12"/>
    <s v="Herbaceo 0.3-1.5 m"/>
    <s v="Observacion"/>
    <m/>
  </r>
  <r>
    <x v="3"/>
    <x v="2"/>
    <x v="11"/>
    <s v="FCCDT15"/>
    <x v="4"/>
    <d v="2020-10-28T00:00:00"/>
    <d v="1899-12-30T21:27:32"/>
    <n v="-76.652936670000003"/>
    <n v="3.3533466669999998"/>
    <n v="5"/>
    <s v="Izquierdo"/>
    <s v="Gustavo Rodriguez"/>
    <n v="2525"/>
    <b v="1"/>
    <m/>
    <n v="18.5"/>
    <n v="0"/>
    <n v="75"/>
    <s v="Sotobosque"/>
    <s v="Bosque Primario"/>
    <m/>
    <x v="3"/>
    <m/>
    <n v="1"/>
    <m/>
    <m/>
    <m/>
    <m/>
    <m/>
    <m/>
    <s v="parcialmente nublado"/>
    <n v="-76.653561670000002"/>
    <n v="3.3533783330000002"/>
    <n v="70"/>
    <n v="0"/>
    <n v="25"/>
    <n v="-76.652906669999993"/>
    <n v="3.3534250000000001"/>
    <n v="80"/>
    <n v="0"/>
    <n v="12"/>
    <s v="Arbustivo 1.5-5 m"/>
    <s v="Auditivo"/>
    <m/>
  </r>
  <r>
    <x v="3"/>
    <x v="2"/>
    <x v="11"/>
    <s v="FCCDT15"/>
    <x v="4"/>
    <d v="2020-10-28T00:00:00"/>
    <d v="1899-12-30T21:18:44"/>
    <n v="-76.653148329999993"/>
    <n v="3.3533916669999999"/>
    <n v="5"/>
    <s v="Izquierdo"/>
    <s v="Gustavo Rodriguez"/>
    <n v="2525"/>
    <b v="1"/>
    <m/>
    <n v="18.5"/>
    <n v="0"/>
    <n v="75"/>
    <s v="Epifita"/>
    <s v="Bosque Primario"/>
    <m/>
    <x v="12"/>
    <m/>
    <n v="1"/>
    <m/>
    <m/>
    <m/>
    <m/>
    <m/>
    <m/>
    <s v="parcialmente nublado"/>
    <n v="-76.653561670000002"/>
    <n v="3.3533783330000002"/>
    <n v="70"/>
    <n v="0"/>
    <n v="25"/>
    <n v="-76.652906669999993"/>
    <n v="3.3534250000000001"/>
    <n v="80"/>
    <n v="0"/>
    <n v="12"/>
    <s v="Herbaceo 0.3-1.5 m"/>
    <s v="Observacion"/>
    <m/>
  </r>
  <r>
    <x v="3"/>
    <x v="2"/>
    <x v="11"/>
    <s v="FCCDT15"/>
    <x v="4"/>
    <d v="2020-10-28T00:00:00"/>
    <d v="1899-12-30T20:58:36"/>
    <n v="-76.653561670000002"/>
    <n v="3.3533783330000002"/>
    <n v="5"/>
    <s v="Derecho"/>
    <s v="Gustavo Rodriguez"/>
    <n v="2542"/>
    <b v="1"/>
    <m/>
    <n v="18.5"/>
    <n v="0"/>
    <n v="75"/>
    <s v="Sotobosque"/>
    <s v="Bosque Primario"/>
    <m/>
    <x v="12"/>
    <m/>
    <n v="1"/>
    <m/>
    <m/>
    <m/>
    <m/>
    <m/>
    <m/>
    <s v="parcialmente nublado"/>
    <n v="-76.653561670000002"/>
    <n v="3.3533783330000002"/>
    <n v="70"/>
    <n v="0"/>
    <n v="25"/>
    <n v="-76.652906669999993"/>
    <n v="3.3534250000000001"/>
    <n v="80"/>
    <n v="0"/>
    <n v="12"/>
    <s v="Arbustivo 1.5-5 m"/>
    <s v="Observacion"/>
    <m/>
  </r>
  <r>
    <x v="3"/>
    <x v="2"/>
    <x v="10"/>
    <s v="FCCCT18"/>
    <x v="2"/>
    <d v="2020-10-28T00:00:00"/>
    <d v="1899-12-30T18:57:29"/>
    <n v="-76.656364999999994"/>
    <n v="3.3554216669999999"/>
    <n v="5"/>
    <s v="Izquierdo"/>
    <s v="Gustavo Rodriguez"/>
    <n v="2563"/>
    <b v="0"/>
    <b v="1"/>
    <n v="17.5"/>
    <n v="1.6"/>
    <n v="55"/>
    <s v="Sotobosque"/>
    <s v="Bosque ribereño"/>
    <m/>
    <x v="12"/>
    <m/>
    <n v="1"/>
    <m/>
    <m/>
    <m/>
    <m/>
    <m/>
    <m/>
    <s v="Nublado"/>
    <n v="-76.656536669999994"/>
    <n v="3.3552016670000002"/>
    <n v="40"/>
    <n v="1.5"/>
    <n v="20"/>
    <n v="-76.656246670000002"/>
    <n v="3.3554300000000001"/>
    <n v="70"/>
    <n v="1.7"/>
    <n v="15"/>
    <s v="Herbaceo 0.3-1.5 m"/>
    <s v="Observacion"/>
    <m/>
  </r>
  <r>
    <x v="3"/>
    <x v="2"/>
    <x v="10"/>
    <s v="FCCDT17"/>
    <x v="1"/>
    <d v="2020-10-28T00:00:00"/>
    <d v="1899-12-30T19:24:25"/>
    <n v="-76.656459999999996"/>
    <n v="3.3551099999999998"/>
    <n v="5"/>
    <s v="Derecho"/>
    <s v="Andres Munoz"/>
    <n v="2582"/>
    <b v="1"/>
    <m/>
    <n v="22.5"/>
    <n v="0"/>
    <n v="35"/>
    <s v="Sotobosque"/>
    <s v="Bosque Primario"/>
    <m/>
    <x v="12"/>
    <m/>
    <n v="1"/>
    <m/>
    <m/>
    <m/>
    <m/>
    <m/>
    <m/>
    <s v="Nublado"/>
    <n v="-76.656631669999996"/>
    <n v="3.3551383330000002"/>
    <n v="30"/>
    <n v="0"/>
    <n v="20"/>
    <n v="-76.655793329999995"/>
    <n v="3.3546233330000002"/>
    <n v="40"/>
    <n v="0"/>
    <n v="25"/>
    <s v="Herbaceo 0.3-1.5 m"/>
    <s v="Observacion"/>
    <m/>
  </r>
  <r>
    <x v="3"/>
    <x v="2"/>
    <x v="10"/>
    <s v="FCCDT17"/>
    <x v="1"/>
    <d v="2020-10-28T00:00:00"/>
    <d v="1899-12-30T19:51:06"/>
    <n v="-76.656108329999995"/>
    <n v="3.3549099999999998"/>
    <n v="5"/>
    <s v="Derecho"/>
    <s v="Gustavo Rodriguez"/>
    <n v="2581"/>
    <b v="1"/>
    <m/>
    <n v="22.5"/>
    <n v="0"/>
    <n v="35"/>
    <s v="Sotobosque"/>
    <s v="Bosque Primario"/>
    <m/>
    <x v="8"/>
    <m/>
    <n v="1"/>
    <m/>
    <m/>
    <m/>
    <m/>
    <m/>
    <m/>
    <s v="Nublado"/>
    <n v="-76.656631669999996"/>
    <n v="3.3551383330000002"/>
    <n v="30"/>
    <n v="0"/>
    <n v="20"/>
    <n v="-76.655793329999995"/>
    <n v="3.3546233330000002"/>
    <n v="40"/>
    <n v="0"/>
    <n v="25"/>
    <s v="Herbaceo 0.3-1.5 m"/>
    <s v="Observacion"/>
    <m/>
  </r>
  <r>
    <x v="3"/>
    <x v="2"/>
    <x v="10"/>
    <s v="FCCDT17"/>
    <x v="1"/>
    <d v="2020-10-28T00:00:00"/>
    <d v="1899-12-30T20:02:45"/>
    <n v="-76.655921669999998"/>
    <n v="3.354761667"/>
    <n v="5"/>
    <s v="Izquierdo"/>
    <s v="Einar Huetio"/>
    <n v="2587"/>
    <b v="1"/>
    <m/>
    <n v="22.5"/>
    <n v="0"/>
    <n v="35"/>
    <s v="Sotobosque"/>
    <s v="Bosque Primario"/>
    <m/>
    <x v="12"/>
    <m/>
    <n v="1"/>
    <m/>
    <m/>
    <m/>
    <m/>
    <m/>
    <m/>
    <s v="Nublado"/>
    <n v="-76.656631669999996"/>
    <n v="3.3551383330000002"/>
    <n v="30"/>
    <n v="0"/>
    <n v="20"/>
    <n v="-76.655793329999995"/>
    <n v="3.3546233330000002"/>
    <n v="40"/>
    <n v="0"/>
    <n v="25"/>
    <s v="Herbaceo 0.3-1.5 m"/>
    <s v="Observacion"/>
    <m/>
  </r>
  <r>
    <x v="3"/>
    <x v="2"/>
    <x v="10"/>
    <s v="FCCDT17"/>
    <x v="1"/>
    <d v="2020-10-28T00:00:00"/>
    <d v="1899-12-30T20:02:45"/>
    <n v="-76.655921669999998"/>
    <n v="3.354761667"/>
    <n v="5"/>
    <s v="Izquierdo"/>
    <s v="Einar Huetio"/>
    <n v="2591"/>
    <b v="1"/>
    <m/>
    <n v="22.5"/>
    <n v="0"/>
    <n v="35"/>
    <s v="Sotobosque"/>
    <s v="Bosque Primario"/>
    <m/>
    <x v="3"/>
    <m/>
    <n v="1"/>
    <m/>
    <m/>
    <m/>
    <m/>
    <m/>
    <m/>
    <s v="Nublado"/>
    <n v="-76.656631669999996"/>
    <n v="3.3551383330000002"/>
    <n v="30"/>
    <n v="0"/>
    <n v="20"/>
    <n v="-76.655793329999995"/>
    <n v="3.3546233330000002"/>
    <n v="40"/>
    <n v="0"/>
    <n v="25"/>
    <s v="Subarboreo 5-12 m"/>
    <s v="Auditivo"/>
    <m/>
  </r>
  <r>
    <x v="3"/>
    <x v="2"/>
    <x v="10"/>
    <s v="FCCDT17"/>
    <x v="1"/>
    <d v="2020-10-28T00:00:00"/>
    <d v="1899-12-30T19:38:31"/>
    <n v="-76.656270000000006"/>
    <n v="3.3548766670000001"/>
    <n v="5"/>
    <s v="Derecho"/>
    <s v="Andres Munoz"/>
    <n v="2551"/>
    <b v="1"/>
    <m/>
    <n v="22.5"/>
    <n v="0"/>
    <n v="35"/>
    <s v="Epifita"/>
    <s v="Bosque Primario"/>
    <m/>
    <x v="12"/>
    <m/>
    <n v="1"/>
    <m/>
    <m/>
    <m/>
    <m/>
    <m/>
    <m/>
    <s v="Nublado"/>
    <n v="-76.656631669999996"/>
    <n v="3.3551383330000002"/>
    <n v="30"/>
    <n v="0"/>
    <n v="20"/>
    <n v="-76.655793329999995"/>
    <n v="3.3546233330000002"/>
    <n v="40"/>
    <n v="0"/>
    <n v="25"/>
    <s v="Herbaceo 0.3-1.5 m"/>
    <s v="Observacion"/>
    <m/>
  </r>
  <r>
    <x v="3"/>
    <x v="2"/>
    <x v="10"/>
    <s v="FCCDT17"/>
    <x v="1"/>
    <d v="2020-10-28T00:00:00"/>
    <d v="1899-12-30T19:55:49"/>
    <n v="-76.656088330000003"/>
    <n v="3.354873333"/>
    <n v="5"/>
    <s v="Izquierdo"/>
    <s v="Gustavo Rodriguez"/>
    <n v="2578"/>
    <b v="1"/>
    <m/>
    <n v="22.5"/>
    <n v="0"/>
    <n v="35"/>
    <s v="Sotobosque"/>
    <s v="Bosque Primario"/>
    <m/>
    <x v="12"/>
    <m/>
    <n v="1"/>
    <m/>
    <m/>
    <m/>
    <m/>
    <m/>
    <m/>
    <s v="Nublado"/>
    <n v="-76.656631669999996"/>
    <n v="3.3551383330000002"/>
    <n v="30"/>
    <n v="0"/>
    <n v="20"/>
    <n v="-76.655793329999995"/>
    <n v="3.3546233330000002"/>
    <n v="40"/>
    <n v="0"/>
    <n v="25"/>
    <s v="Herbaceo 0.3-1.5 m"/>
    <s v="Observacion"/>
    <m/>
  </r>
  <r>
    <x v="3"/>
    <x v="2"/>
    <x v="9"/>
    <s v="FCCBT4"/>
    <x v="3"/>
    <d v="2020-10-26T00:00:00"/>
    <d v="1899-12-30T19:54:29"/>
    <n v="-76.644868329999994"/>
    <n v="3.3497633329999998"/>
    <n v="5"/>
    <m/>
    <m/>
    <m/>
    <m/>
    <m/>
    <n v="4"/>
    <n v="0"/>
    <n v="15"/>
    <m/>
    <m/>
    <m/>
    <x v="0"/>
    <s v="Residuos solidos"/>
    <n v="0"/>
    <m/>
    <m/>
    <m/>
    <m/>
    <m/>
    <s v="Globo de Helio basura"/>
    <s v="parcialmente nublado"/>
    <n v="-76.644678330000005"/>
    <n v="3.349678333"/>
    <n v="15"/>
    <n v="0"/>
    <n v="3"/>
    <n v="-76.645466670000005"/>
    <n v="3.3496549999999998"/>
    <n v="15"/>
    <n v="0"/>
    <n v="5"/>
    <m/>
    <m/>
    <m/>
  </r>
  <r>
    <x v="3"/>
    <x v="2"/>
    <x v="8"/>
    <s v="FCCBT5"/>
    <x v="0"/>
    <d v="2020-10-26T00:00:00"/>
    <d v="1899-12-30T19:24:46"/>
    <n v="-76.643860000000004"/>
    <n v="3.3496633330000001"/>
    <n v="5"/>
    <s v="Derecho"/>
    <s v="Gustavo Rodriguez"/>
    <n v="2453"/>
    <b v="1"/>
    <m/>
    <n v="20"/>
    <n v="0"/>
    <n v="15"/>
    <s v="Sotobosque"/>
    <s v="Bosque Secundario"/>
    <m/>
    <x v="17"/>
    <m/>
    <n v="2"/>
    <m/>
    <m/>
    <m/>
    <m/>
    <m/>
    <m/>
    <s v="despejado"/>
    <n v="-76.643439999999998"/>
    <n v="3.3497266670000001"/>
    <n v="20"/>
    <n v="0"/>
    <n v="20"/>
    <n v="-76.644321669999997"/>
    <n v="3.3495866670000001"/>
    <n v="10"/>
    <n v="0"/>
    <n v="20"/>
    <s v="Herbaceo 0.3-1.5 m"/>
    <s v="Observacion"/>
    <m/>
  </r>
  <r>
    <x v="3"/>
    <x v="2"/>
    <x v="11"/>
    <s v="FCCDT13"/>
    <x v="2"/>
    <d v="2020-10-29T00:00:00"/>
    <d v="1899-12-30T20:28:12"/>
    <n v="-76.650318330000005"/>
    <n v="3.3529366669999998"/>
    <n v="5"/>
    <s v="Izquierdo"/>
    <s v="Gustavo Rodriguez"/>
    <n v="2490"/>
    <b v="1"/>
    <m/>
    <n v="22.5"/>
    <n v="0"/>
    <n v="80"/>
    <s v="Epifita"/>
    <s v="Bosque Secundario"/>
    <m/>
    <x v="12"/>
    <m/>
    <n v="1"/>
    <m/>
    <m/>
    <m/>
    <m/>
    <m/>
    <m/>
    <s v="Parcialmente nublado luna llena"/>
    <n v="-76.649778330000004"/>
    <n v="3.3526433330000001"/>
    <n v="70"/>
    <n v="0"/>
    <n v="25"/>
    <n v="-76.650318330000005"/>
    <n v="3.3529366669999998"/>
    <n v="90"/>
    <n v="0"/>
    <n v="20"/>
    <s v="Herbaceo 0.3-1.5 m"/>
    <s v="Observacion"/>
    <m/>
  </r>
  <r>
    <x v="3"/>
    <x v="2"/>
    <x v="11"/>
    <s v="FCCDT13"/>
    <x v="2"/>
    <d v="2020-10-29T00:00:00"/>
    <d v="1899-12-30T20:21:59"/>
    <n v="-76.650099999999995"/>
    <n v="3.3528916670000002"/>
    <n v="5"/>
    <s v="Izquierdo"/>
    <s v="Gustavo Rodriguez"/>
    <n v="2490"/>
    <b v="1"/>
    <m/>
    <n v="22.5"/>
    <n v="0"/>
    <n v="80"/>
    <s v="Epifita"/>
    <s v="Bosque Secundario"/>
    <m/>
    <x v="3"/>
    <m/>
    <n v="1"/>
    <m/>
    <m/>
    <m/>
    <m/>
    <m/>
    <m/>
    <s v="Parcialmente nublado luna llena"/>
    <n v="-76.649778330000004"/>
    <n v="3.3526433330000001"/>
    <n v="70"/>
    <n v="0"/>
    <n v="25"/>
    <n v="-76.650318330000005"/>
    <n v="3.3529366669999998"/>
    <n v="90"/>
    <n v="0"/>
    <n v="20"/>
    <s v="Herbaceo 0.3-1.5 m"/>
    <s v="Observacion"/>
    <m/>
  </r>
  <r>
    <x v="3"/>
    <x v="2"/>
    <x v="11"/>
    <s v="FCCDT13"/>
    <x v="2"/>
    <d v="2020-10-29T00:00:00"/>
    <d v="1899-12-30T20:10:56"/>
    <n v="-76.649886670000001"/>
    <n v="3.352773333"/>
    <n v="5"/>
    <s v="Derecho"/>
    <s v="Andres Munoz"/>
    <n v="2479"/>
    <b v="1"/>
    <m/>
    <n v="22.5"/>
    <n v="0"/>
    <n v="80"/>
    <s v="Sotobosque"/>
    <s v="Bosque Secundario"/>
    <m/>
    <x v="12"/>
    <m/>
    <n v="1"/>
    <m/>
    <m/>
    <m/>
    <m/>
    <m/>
    <m/>
    <s v="Parcialmente nublado luna llena"/>
    <n v="-76.649778330000004"/>
    <n v="3.3526433330000001"/>
    <n v="70"/>
    <n v="0"/>
    <n v="25"/>
    <n v="-76.650318330000005"/>
    <n v="3.3529366669999998"/>
    <n v="90"/>
    <n v="0"/>
    <n v="20"/>
    <s v="Herbaceo 0.3-1.5 m"/>
    <s v="Observacion"/>
    <m/>
  </r>
  <r>
    <x v="3"/>
    <x v="2"/>
    <x v="11"/>
    <s v="FCCDT12"/>
    <x v="1"/>
    <d v="2020-10-29T00:00:00"/>
    <d v="1899-12-30T19:42:17"/>
    <n v="-76.648966669999993"/>
    <n v="3.3527550000000002"/>
    <n v="5"/>
    <s v="Izquierdo"/>
    <s v="Einar Huetio"/>
    <n v="2463"/>
    <b v="1"/>
    <m/>
    <n v="22.5"/>
    <n v="0"/>
    <n v="75"/>
    <s v="Sotobosque"/>
    <s v="Bosque Secundario"/>
    <m/>
    <x v="3"/>
    <m/>
    <n v="1"/>
    <m/>
    <m/>
    <m/>
    <m/>
    <m/>
    <m/>
    <s v="despejado luna llena"/>
    <n v="-76.648538329999994"/>
    <n v="3.3525749999999999"/>
    <n v="80"/>
    <n v="0"/>
    <n v="30"/>
    <n v="-76.649286669999995"/>
    <n v="3.352766667"/>
    <n v="70"/>
    <n v="0"/>
    <n v="15"/>
    <s v="Herbaceo 0.3-1.5 m"/>
    <s v="Observacion"/>
    <m/>
  </r>
  <r>
    <x v="3"/>
    <x v="2"/>
    <x v="11"/>
    <s v="FCCDT12"/>
    <x v="1"/>
    <d v="2020-10-29T00:00:00"/>
    <d v="1899-12-30T19:26:54"/>
    <n v="-76.648664999999994"/>
    <n v="3.3525"/>
    <n v="5"/>
    <s v="Izquierdo"/>
    <s v="Gustavo Rodriguez"/>
    <n v="2460"/>
    <b v="1"/>
    <m/>
    <n v="22.5"/>
    <n v="0"/>
    <n v="75"/>
    <s v="Sotobosque"/>
    <s v="Bosque Secundario"/>
    <m/>
    <x v="3"/>
    <m/>
    <n v="1"/>
    <m/>
    <m/>
    <m/>
    <m/>
    <m/>
    <m/>
    <s v="despejado luna llena"/>
    <n v="-76.648538329999994"/>
    <n v="3.3525749999999999"/>
    <n v="80"/>
    <n v="0"/>
    <n v="30"/>
    <n v="-76.649286669999995"/>
    <n v="3.352766667"/>
    <n v="70"/>
    <n v="0"/>
    <n v="15"/>
    <s v="Herbaceo 0.3-1.5 m"/>
    <s v="Observacion"/>
    <m/>
  </r>
  <r>
    <x v="3"/>
    <x v="2"/>
    <x v="11"/>
    <s v="FCCDT11"/>
    <x v="0"/>
    <d v="2020-10-29T00:00:00"/>
    <d v="1899-12-30T18:58:49"/>
    <n v="-76.647970000000001"/>
    <n v="3.3523483330000001"/>
    <n v="5"/>
    <s v="Izquierdo"/>
    <s v="Gustavo Rodriguez"/>
    <n v="2445"/>
    <b v="1"/>
    <m/>
    <n v="27.5"/>
    <n v="0"/>
    <n v="70"/>
    <s v="Sotobosque"/>
    <s v="Bosque Secundario"/>
    <m/>
    <x v="3"/>
    <m/>
    <n v="1"/>
    <m/>
    <m/>
    <m/>
    <m/>
    <m/>
    <m/>
    <s v="despejado luna llena"/>
    <n v="-76.647970000000001"/>
    <n v="3.3523483330000001"/>
    <n v="60"/>
    <n v="0"/>
    <n v="25"/>
    <n v="-76.648508329999999"/>
    <n v="3.3525716669999999"/>
    <n v="80"/>
    <n v="0"/>
    <n v="30"/>
    <s v="Arbustivo 1.5-5 m"/>
    <s v="Auditivo"/>
    <m/>
  </r>
  <r>
    <x v="3"/>
    <x v="2"/>
    <x v="11"/>
    <s v="FCCDT11"/>
    <x v="0"/>
    <d v="2020-10-29T00:00:00"/>
    <d v="1899-12-30T19:11:09"/>
    <n v="-76.648193329999998"/>
    <n v="3.3524383329999998"/>
    <n v="5"/>
    <s v="Derecho"/>
    <s v="Gustavo Rodriguez"/>
    <n v="2461"/>
    <b v="1"/>
    <m/>
    <n v="27.5"/>
    <n v="0"/>
    <n v="70"/>
    <s v="Sotobosque"/>
    <s v="Bosque Secundario"/>
    <m/>
    <x v="12"/>
    <m/>
    <n v="1"/>
    <m/>
    <m/>
    <m/>
    <m/>
    <m/>
    <m/>
    <s v="despejado luna llena"/>
    <n v="-76.647970000000001"/>
    <n v="3.3523483330000001"/>
    <n v="60"/>
    <n v="0"/>
    <n v="25"/>
    <n v="-76.648508329999999"/>
    <n v="3.3525716669999999"/>
    <n v="80"/>
    <n v="0"/>
    <n v="30"/>
    <s v="Herbaceo 0.3-1.5 m"/>
    <s v="Observacion"/>
    <m/>
  </r>
  <r>
    <x v="3"/>
    <x v="1"/>
    <x v="17"/>
    <s v="FCTDT23"/>
    <x v="2"/>
    <d v="2020-11-19T00:00:00"/>
    <d v="1899-12-30T19:28:30"/>
    <n v="-76.725399999999993"/>
    <n v="3.4996316670000001"/>
    <n v="5"/>
    <s v="Derecho"/>
    <s v="Alvaro Fierro"/>
    <n v="1796"/>
    <b v="1"/>
    <m/>
    <n v="3"/>
    <n v="0"/>
    <n v="27.5"/>
    <s v="Sotobosque"/>
    <s v="Bosque Secundario"/>
    <m/>
    <x v="5"/>
    <m/>
    <n v="1"/>
    <m/>
    <m/>
    <m/>
    <m/>
    <m/>
    <m/>
    <s v="llovizna"/>
    <n v="-76.725200000000001"/>
    <n v="3.4997050000000001"/>
    <n v="40"/>
    <n v="0"/>
    <n v="2"/>
    <n v="-76.725943330000007"/>
    <n v="3.4992666670000001"/>
    <n v="15"/>
    <n v="0"/>
    <n v="4"/>
    <s v="Arbustivo 1.5-5 m"/>
    <s v="Observacion"/>
    <m/>
  </r>
  <r>
    <x v="3"/>
    <x v="1"/>
    <x v="17"/>
    <s v="FCTDT21"/>
    <x v="0"/>
    <d v="2020-11-19T00:00:00"/>
    <d v="1899-12-30T21:09:49"/>
    <n v="-76.726316670000003"/>
    <n v="3.50007"/>
    <n v="5"/>
    <s v="Izquierdo"/>
    <s v="Gustavo Rodriguez"/>
    <n v="1789"/>
    <b v="1"/>
    <m/>
    <n v="9"/>
    <n v="1"/>
    <n v="17.5"/>
    <s v="Sotobosque"/>
    <s v="Bosque ribereño"/>
    <m/>
    <x v="3"/>
    <m/>
    <n v="1"/>
    <m/>
    <m/>
    <m/>
    <m/>
    <m/>
    <m/>
    <s v="llovizna"/>
    <n v="-76.726161669999996"/>
    <n v="3.4999899999999999"/>
    <n v="25"/>
    <n v="0"/>
    <n v="10"/>
    <n v="-76.726786669999996"/>
    <n v="3.5004633329999999"/>
    <n v="10"/>
    <n v="2"/>
    <n v="8"/>
    <s v="Herbaceo 0.3-1.5 m"/>
    <s v="Observacion"/>
    <m/>
  </r>
  <r>
    <x v="3"/>
    <x v="1"/>
    <x v="17"/>
    <s v="FCTDT21"/>
    <x v="0"/>
    <d v="2020-11-19T00:00:00"/>
    <d v="1899-12-30T21:14:28"/>
    <n v="-76.726448329999997"/>
    <n v="3.4999116670000001"/>
    <n v="5"/>
    <s v="Derecho"/>
    <s v="Alvaro Fierro"/>
    <n v="1789"/>
    <b v="1"/>
    <m/>
    <n v="9"/>
    <n v="1"/>
    <n v="17.5"/>
    <s v="Sotobosque"/>
    <s v="Bosque Secundario"/>
    <m/>
    <x v="3"/>
    <m/>
    <n v="1"/>
    <m/>
    <m/>
    <m/>
    <m/>
    <m/>
    <m/>
    <s v="llovizna"/>
    <n v="-76.726161669999996"/>
    <n v="3.4999899999999999"/>
    <n v="25"/>
    <n v="0"/>
    <n v="10"/>
    <n v="-76.726786669999996"/>
    <n v="3.5004633329999999"/>
    <n v="10"/>
    <n v="2"/>
    <n v="8"/>
    <s v="Herbaceo 0.3-1.5 m"/>
    <s v="Observacion"/>
    <m/>
  </r>
  <r>
    <x v="3"/>
    <x v="1"/>
    <x v="17"/>
    <s v="FCTDT21"/>
    <x v="0"/>
    <d v="2020-11-19T00:00:00"/>
    <d v="1899-12-30T21:25:50"/>
    <n v="-76.726429999999993"/>
    <n v="3.5000200000000001"/>
    <n v="5"/>
    <s v="Derecho"/>
    <s v="Alvaro Fierro"/>
    <n v="1787"/>
    <b v="1"/>
    <m/>
    <n v="9"/>
    <n v="1"/>
    <n v="17.5"/>
    <s v="Sotobosque"/>
    <s v="Bosque Secundario"/>
    <m/>
    <x v="3"/>
    <m/>
    <n v="1"/>
    <m/>
    <m/>
    <m/>
    <m/>
    <m/>
    <m/>
    <s v="llovizna"/>
    <n v="-76.726161669999996"/>
    <n v="3.4999899999999999"/>
    <n v="25"/>
    <n v="0"/>
    <n v="10"/>
    <n v="-76.726786669999996"/>
    <n v="3.5004633329999999"/>
    <n v="10"/>
    <n v="2"/>
    <n v="8"/>
    <s v="Herbaceo 0.3-1.5 m"/>
    <s v="Observacion"/>
    <m/>
  </r>
  <r>
    <x v="3"/>
    <x v="1"/>
    <x v="17"/>
    <s v="FCTDT21"/>
    <x v="0"/>
    <d v="2020-11-19T00:00:00"/>
    <d v="1899-12-30T21:54:54"/>
    <n v="-76.726786669999996"/>
    <n v="3.5004633329999999"/>
    <n v="5"/>
    <s v="Derecho"/>
    <s v="Gustavo Rodriguez"/>
    <n v="1789"/>
    <b v="0"/>
    <b v="1"/>
    <n v="9"/>
    <n v="1"/>
    <n v="17.5"/>
    <s v="Sotobosque"/>
    <s v="Bosque ribereño"/>
    <m/>
    <x v="7"/>
    <m/>
    <n v="2"/>
    <m/>
    <m/>
    <m/>
    <m/>
    <m/>
    <m/>
    <s v="llovizna"/>
    <n v="-76.726161669999996"/>
    <n v="3.4999899999999999"/>
    <n v="25"/>
    <n v="0"/>
    <n v="10"/>
    <n v="-76.726786669999996"/>
    <n v="3.5004633329999999"/>
    <n v="10"/>
    <n v="2"/>
    <n v="8"/>
    <s v="Arbustivo 1.5-5 m"/>
    <s v="Auditivo"/>
    <m/>
  </r>
  <r>
    <x v="3"/>
    <x v="1"/>
    <x v="17"/>
    <s v="FCTDT21"/>
    <x v="0"/>
    <d v="2020-11-19T00:00:00"/>
    <d v="1899-12-30T21:34:18"/>
    <n v="-76.726566669999997"/>
    <n v="3.5001483329999998"/>
    <n v="5"/>
    <s v="Izquierdo"/>
    <s v="Gustavo Rodriguez"/>
    <n v="1789"/>
    <b v="0"/>
    <b v="1"/>
    <n v="9"/>
    <n v="1"/>
    <n v="17.5"/>
    <s v="Sotobosque"/>
    <s v="Bosque ribereño"/>
    <m/>
    <x v="7"/>
    <m/>
    <n v="2"/>
    <m/>
    <m/>
    <m/>
    <m/>
    <m/>
    <m/>
    <s v="llovizna"/>
    <n v="-76.726161669999996"/>
    <n v="3.4999899999999999"/>
    <n v="25"/>
    <n v="0"/>
    <n v="10"/>
    <n v="-76.726786669999996"/>
    <n v="3.5004633329999999"/>
    <n v="10"/>
    <n v="2"/>
    <n v="8"/>
    <s v="Arbustivo 1.5-5 m"/>
    <s v="Auditivo"/>
    <m/>
  </r>
  <r>
    <x v="3"/>
    <x v="1"/>
    <x v="17"/>
    <s v="FCTDT21"/>
    <x v="0"/>
    <d v="2020-11-19T00:00:00"/>
    <d v="1899-12-30T21:34:18"/>
    <n v="-76.726566669999997"/>
    <n v="3.5001483329999998"/>
    <n v="5"/>
    <s v="Derecho"/>
    <s v="Alvaro Fierro"/>
    <n v="1812"/>
    <b v="0"/>
    <b v="1"/>
    <n v="9"/>
    <n v="1"/>
    <n v="17.5"/>
    <s v="Sotobosque"/>
    <s v="Bosque ribereño"/>
    <m/>
    <x v="18"/>
    <m/>
    <n v="1"/>
    <m/>
    <m/>
    <m/>
    <m/>
    <m/>
    <m/>
    <s v="llovizna"/>
    <n v="-76.726161669999996"/>
    <n v="3.4999899999999999"/>
    <n v="25"/>
    <n v="0"/>
    <n v="10"/>
    <n v="-76.726786669999996"/>
    <n v="3.5004633329999999"/>
    <n v="10"/>
    <n v="2"/>
    <n v="8"/>
    <s v="Herbaceo 0.3-1.5 m"/>
    <s v="Observacion"/>
    <m/>
  </r>
  <r>
    <x v="3"/>
    <x v="1"/>
    <x v="17"/>
    <s v="FCTDT22"/>
    <x v="1"/>
    <d v="2020-11-19T00:00:00"/>
    <d v="1899-12-30T20:06:13"/>
    <n v="-76.726029999999994"/>
    <n v="3.4991366670000001"/>
    <n v="5"/>
    <s v="Derecho"/>
    <s v="Gustavo Rodriguez"/>
    <n v="1789"/>
    <b v="0"/>
    <b v="1"/>
    <n v="17.5"/>
    <n v="3"/>
    <n v="5"/>
    <s v="Sotobosque"/>
    <s v="Bosque ribereño"/>
    <m/>
    <x v="7"/>
    <m/>
    <n v="3"/>
    <m/>
    <m/>
    <m/>
    <m/>
    <m/>
    <m/>
    <s v="llovizna"/>
    <n v="-76.725999999999999"/>
    <n v="3.4991966670000001"/>
    <n v="5"/>
    <n v="3"/>
    <n v="25"/>
    <n v="-76.726098329999999"/>
    <n v="3.4999349999999998"/>
    <n v="5"/>
    <n v="3"/>
    <n v="10"/>
    <s v="Arbustivo 1.5-5 m"/>
    <s v="Auditivo"/>
    <m/>
  </r>
  <r>
    <x v="3"/>
    <x v="1"/>
    <x v="17"/>
    <s v="FCTDT22"/>
    <x v="1"/>
    <d v="2020-11-19T00:00:00"/>
    <d v="1899-12-30T20:47:51"/>
    <n v="-76.726238330000001"/>
    <n v="3.4998749999999998"/>
    <n v="5"/>
    <s v="Derecho"/>
    <s v="Gustavo Rodriguez"/>
    <n v="1819"/>
    <b v="0"/>
    <b v="1"/>
    <n v="17.5"/>
    <n v="3"/>
    <n v="5"/>
    <s v="Sotobosque"/>
    <s v="Bosque ribereño"/>
    <m/>
    <x v="3"/>
    <m/>
    <n v="1"/>
    <m/>
    <m/>
    <m/>
    <m/>
    <m/>
    <m/>
    <s v="llovizna"/>
    <n v="-76.725999999999999"/>
    <n v="3.4991966670000001"/>
    <n v="5"/>
    <n v="3"/>
    <n v="25"/>
    <n v="-76.726098329999999"/>
    <n v="3.4999349999999998"/>
    <n v="5"/>
    <n v="3"/>
    <n v="10"/>
    <s v="Herbaceo 0.3-1.5 m"/>
    <s v="Observacion"/>
    <m/>
  </r>
  <r>
    <x v="3"/>
    <x v="1"/>
    <x v="17"/>
    <s v="FCTDT22"/>
    <x v="1"/>
    <d v="2020-11-19T00:00:00"/>
    <d v="1899-12-30T20:47:51"/>
    <n v="-76.726238330000001"/>
    <n v="3.4998749999999998"/>
    <n v="5"/>
    <s v="Derecho"/>
    <s v="Alvaro Fierro"/>
    <n v="1879"/>
    <b v="0"/>
    <b v="1"/>
    <n v="17.5"/>
    <n v="3"/>
    <n v="5"/>
    <s v="Sotobosque"/>
    <s v="Bosque ribereño"/>
    <m/>
    <x v="3"/>
    <m/>
    <n v="1"/>
    <m/>
    <m/>
    <m/>
    <m/>
    <m/>
    <m/>
    <s v="llovizna"/>
    <n v="-76.725999999999999"/>
    <n v="3.4991966670000001"/>
    <n v="5"/>
    <n v="3"/>
    <n v="25"/>
    <n v="-76.726098329999999"/>
    <n v="3.4999349999999998"/>
    <n v="5"/>
    <n v="3"/>
    <n v="10"/>
    <s v="Herbaceo 0.3-1.5 m"/>
    <s v="Observacion"/>
    <m/>
  </r>
  <r>
    <x v="3"/>
    <x v="1"/>
    <x v="17"/>
    <s v="FCTDT22"/>
    <x v="1"/>
    <d v="2020-11-19T00:00:00"/>
    <d v="1899-12-30T20:15:28"/>
    <n v="-76.726073330000006"/>
    <n v="3.4993249999999998"/>
    <n v="5"/>
    <s v="Izquierdo"/>
    <s v="Gustavo Rodriguez"/>
    <n v="1788"/>
    <b v="0"/>
    <b v="1"/>
    <n v="17.5"/>
    <n v="3"/>
    <n v="5"/>
    <s v="Sotobosque"/>
    <s v="Bosque ribereño"/>
    <m/>
    <x v="5"/>
    <m/>
    <n v="1"/>
    <m/>
    <m/>
    <m/>
    <m/>
    <m/>
    <m/>
    <s v="llovizna"/>
    <n v="-76.725999999999999"/>
    <n v="3.4991966670000001"/>
    <n v="5"/>
    <n v="3"/>
    <n v="25"/>
    <n v="-76.726098329999999"/>
    <n v="3.4999349999999998"/>
    <n v="5"/>
    <n v="3"/>
    <n v="10"/>
    <s v="Herbaceo 0.3-1.5 m"/>
    <s v="Observacion"/>
    <m/>
  </r>
  <r>
    <x v="3"/>
    <x v="0"/>
    <x v="1"/>
    <s v="FCMCT16"/>
    <x v="3"/>
    <d v="2020-10-17T00:00:00"/>
    <d v="1899-12-30T19:01:22"/>
    <n v="-76.690790000000007"/>
    <n v="3.4059883329999998"/>
    <n v="5"/>
    <s v="Derecho"/>
    <m/>
    <n v="3405"/>
    <b v="1"/>
    <m/>
    <n v="4.9000000000000004"/>
    <n v="0"/>
    <n v="7.5"/>
    <s v="Sotobosque"/>
    <s v="Arbustal"/>
    <m/>
    <x v="2"/>
    <m/>
    <n v="1"/>
    <m/>
    <m/>
    <m/>
    <m/>
    <m/>
    <m/>
    <s v="parcialmente nublado"/>
    <n v="-76.690790000000007"/>
    <n v="3.4059883329999998"/>
    <n v="5"/>
    <n v="0"/>
    <n v="1.8"/>
    <n v="-76.690633329999997"/>
    <n v="3.4065083330000001"/>
    <n v="10"/>
    <n v="0"/>
    <n v="8"/>
    <m/>
    <s v="Observacion"/>
    <m/>
  </r>
  <r>
    <x v="3"/>
    <x v="0"/>
    <x v="1"/>
    <s v="FCMCT16"/>
    <x v="3"/>
    <d v="2020-10-17T00:00:00"/>
    <d v="1899-12-30T19:54:50"/>
    <n v="-76.690635"/>
    <n v="3.4064016669999999"/>
    <n v="5"/>
    <s v="Derecho"/>
    <m/>
    <n v="3413"/>
    <b v="1"/>
    <m/>
    <n v="4.9000000000000004"/>
    <n v="0"/>
    <n v="7.5"/>
    <s v="Epifita"/>
    <s v="Arbustal"/>
    <m/>
    <x v="2"/>
    <m/>
    <n v="1"/>
    <m/>
    <m/>
    <m/>
    <m/>
    <m/>
    <m/>
    <s v="parcialmente nublado"/>
    <n v="-76.690790000000007"/>
    <n v="3.4059883329999998"/>
    <n v="5"/>
    <n v="0"/>
    <n v="1.8"/>
    <n v="-76.690633329999997"/>
    <n v="3.4065083330000001"/>
    <n v="10"/>
    <n v="0"/>
    <n v="8"/>
    <m/>
    <s v="Observacion"/>
    <m/>
  </r>
  <r>
    <x v="3"/>
    <x v="0"/>
    <x v="1"/>
    <s v="FCMCT16"/>
    <x v="3"/>
    <d v="2020-10-17T00:00:00"/>
    <d v="1899-12-30T19:54:50"/>
    <n v="-76.690635"/>
    <n v="3.4064016669999999"/>
    <n v="5"/>
    <s v="Derecho"/>
    <m/>
    <n v="3413"/>
    <b v="1"/>
    <m/>
    <n v="4.9000000000000004"/>
    <n v="0"/>
    <n v="7.5"/>
    <s v="Epifita"/>
    <s v="Arbustal"/>
    <m/>
    <x v="2"/>
    <m/>
    <n v="1"/>
    <m/>
    <m/>
    <m/>
    <m/>
    <m/>
    <m/>
    <s v="parcialmente nublado"/>
    <n v="-76.690790000000007"/>
    <n v="3.4059883329999998"/>
    <n v="5"/>
    <n v="0"/>
    <n v="1.8"/>
    <n v="-76.690633329999997"/>
    <n v="3.4065083330000001"/>
    <n v="10"/>
    <n v="0"/>
    <n v="8"/>
    <m/>
    <s v="Observacion"/>
    <m/>
  </r>
  <r>
    <x v="3"/>
    <x v="0"/>
    <x v="1"/>
    <s v="FCMCT16"/>
    <x v="3"/>
    <d v="2020-10-17T00:00:00"/>
    <d v="1899-12-30T19:33:34"/>
    <n v="-76.690701669999996"/>
    <n v="3.4062283330000001"/>
    <n v="5"/>
    <s v="Izquierdo"/>
    <m/>
    <n v="3413"/>
    <b v="1"/>
    <m/>
    <n v="4.9000000000000004"/>
    <n v="0"/>
    <n v="7.5"/>
    <s v="Epifita"/>
    <s v="Arbustal"/>
    <m/>
    <x v="2"/>
    <m/>
    <n v="3"/>
    <m/>
    <m/>
    <m/>
    <m/>
    <m/>
    <m/>
    <s v="parcialmente nublado"/>
    <n v="-76.690790000000007"/>
    <n v="3.4059883329999998"/>
    <n v="5"/>
    <n v="0"/>
    <n v="1.8"/>
    <n v="-76.690633329999997"/>
    <n v="3.4065083330000001"/>
    <n v="10"/>
    <n v="0"/>
    <n v="8"/>
    <m/>
    <s v="Observacion"/>
    <m/>
  </r>
  <r>
    <x v="3"/>
    <x v="0"/>
    <x v="1"/>
    <s v="FCMCT16"/>
    <x v="3"/>
    <d v="2020-10-17T00:00:00"/>
    <d v="1899-12-30T19:33:34"/>
    <n v="-76.690701669999996"/>
    <n v="3.4062283330000001"/>
    <n v="5"/>
    <s v="Izquierdo"/>
    <m/>
    <n v="3420"/>
    <b v="1"/>
    <m/>
    <n v="4.9000000000000004"/>
    <n v="0"/>
    <n v="7.5"/>
    <s v="Epifita"/>
    <s v="Arbustal"/>
    <m/>
    <x v="9"/>
    <m/>
    <n v="1"/>
    <m/>
    <m/>
    <m/>
    <m/>
    <m/>
    <m/>
    <s v="parcialmente nublado"/>
    <n v="-76.690790000000007"/>
    <n v="3.4059883329999998"/>
    <n v="5"/>
    <n v="0"/>
    <n v="1.8"/>
    <n v="-76.690633329999997"/>
    <n v="3.4065083330000001"/>
    <n v="10"/>
    <n v="0"/>
    <n v="8"/>
    <m/>
    <s v="Observacion"/>
    <m/>
  </r>
  <r>
    <x v="3"/>
    <x v="0"/>
    <x v="1"/>
    <s v="FCMCT16"/>
    <x v="3"/>
    <d v="2020-10-17T00:00:00"/>
    <d v="1899-12-30T19:42:09"/>
    <n v="-76.690633329999997"/>
    <n v="3.4062566670000001"/>
    <n v="5"/>
    <s v="Derecho"/>
    <m/>
    <n v="3420"/>
    <b v="1"/>
    <m/>
    <n v="4.9000000000000004"/>
    <n v="0"/>
    <n v="7.5"/>
    <s v="Epifita"/>
    <s v="Arbustal"/>
    <m/>
    <x v="2"/>
    <m/>
    <n v="1"/>
    <m/>
    <m/>
    <m/>
    <m/>
    <m/>
    <m/>
    <s v="parcialmente nublado"/>
    <n v="-76.690790000000007"/>
    <n v="3.4059883329999998"/>
    <n v="5"/>
    <n v="0"/>
    <n v="1.8"/>
    <n v="-76.690633329999997"/>
    <n v="3.4065083330000001"/>
    <n v="10"/>
    <n v="0"/>
    <n v="8"/>
    <m/>
    <s v="Observacion"/>
    <m/>
  </r>
  <r>
    <x v="3"/>
    <x v="0"/>
    <x v="1"/>
    <s v="FCMCT16"/>
    <x v="3"/>
    <d v="2020-10-17T00:00:00"/>
    <d v="1899-12-30T20:18:16"/>
    <n v="-76.690771670000004"/>
    <n v="3.406393333"/>
    <n v="5"/>
    <s v="Izquierdo"/>
    <m/>
    <n v="3042"/>
    <b v="1"/>
    <m/>
    <n v="4.9000000000000004"/>
    <n v="0"/>
    <n v="7.5"/>
    <s v="Epifita"/>
    <s v="Arbustal"/>
    <m/>
    <x v="2"/>
    <m/>
    <n v="1"/>
    <m/>
    <m/>
    <m/>
    <m/>
    <m/>
    <m/>
    <s v="parcialmente nublado"/>
    <n v="-76.690790000000007"/>
    <n v="3.4059883329999998"/>
    <n v="5"/>
    <n v="0"/>
    <n v="1.8"/>
    <n v="-76.690633329999997"/>
    <n v="3.4065083330000001"/>
    <n v="10"/>
    <n v="0"/>
    <n v="8"/>
    <m/>
    <s v="Observacion"/>
    <m/>
  </r>
  <r>
    <x v="3"/>
    <x v="0"/>
    <x v="1"/>
    <s v="FCMCT16"/>
    <x v="3"/>
    <d v="2020-10-17T00:00:00"/>
    <d v="1899-12-30T20:12:13"/>
    <n v="-76.690714999999997"/>
    <n v="3.4064433329999999"/>
    <n v="5"/>
    <s v="Izquierdo"/>
    <m/>
    <n v="3420"/>
    <b v="1"/>
    <m/>
    <n v="4.9000000000000004"/>
    <n v="0"/>
    <n v="7.5"/>
    <s v="Epifita"/>
    <s v="Arbustal"/>
    <m/>
    <x v="2"/>
    <m/>
    <n v="1"/>
    <m/>
    <m/>
    <m/>
    <m/>
    <m/>
    <m/>
    <s v="parcialmente nublado"/>
    <n v="-76.690790000000007"/>
    <n v="3.4059883329999998"/>
    <n v="5"/>
    <n v="0"/>
    <n v="1.8"/>
    <n v="-76.690633329999997"/>
    <n v="3.4065083330000001"/>
    <n v="10"/>
    <n v="0"/>
    <n v="8"/>
    <m/>
    <s v="Observacion"/>
    <m/>
  </r>
  <r>
    <x v="3"/>
    <x v="0"/>
    <x v="1"/>
    <s v="FCMCT16"/>
    <x v="3"/>
    <d v="2020-10-17T00:00:00"/>
    <d v="1899-12-30T20:28:11"/>
    <n v="-76.690623329999994"/>
    <n v="3.4064516669999998"/>
    <n v="5"/>
    <s v="Derecho"/>
    <m/>
    <n v="3420"/>
    <b v="1"/>
    <m/>
    <n v="4.9000000000000004"/>
    <n v="0"/>
    <n v="7.5"/>
    <s v="Epifita"/>
    <s v="Arbustal"/>
    <m/>
    <x v="9"/>
    <m/>
    <n v="1"/>
    <m/>
    <m/>
    <m/>
    <m/>
    <m/>
    <m/>
    <s v="parcialmente nublado"/>
    <n v="-76.690790000000007"/>
    <n v="3.4059883329999998"/>
    <n v="5"/>
    <n v="0"/>
    <n v="1.8"/>
    <n v="-76.690633329999997"/>
    <n v="3.4065083330000001"/>
    <n v="10"/>
    <n v="0"/>
    <n v="8"/>
    <m/>
    <s v="Observacion"/>
    <m/>
  </r>
  <r>
    <x v="3"/>
    <x v="0"/>
    <x v="1"/>
    <s v="FCMCT16"/>
    <x v="3"/>
    <d v="2020-10-17T00:00:00"/>
    <d v="1899-12-30T19:19:23"/>
    <n v="-76.690708330000007"/>
    <n v="3.406211667"/>
    <n v="5"/>
    <s v="Derecho"/>
    <m/>
    <n v="3403"/>
    <b v="1"/>
    <m/>
    <n v="4.9000000000000004"/>
    <n v="0"/>
    <n v="7.5"/>
    <s v="Epifita"/>
    <s v="Arbustal"/>
    <m/>
    <x v="2"/>
    <m/>
    <n v="1"/>
    <m/>
    <m/>
    <m/>
    <m/>
    <m/>
    <m/>
    <s v="parcialmente nublado"/>
    <n v="-76.690790000000007"/>
    <n v="3.4059883329999998"/>
    <n v="5"/>
    <n v="0"/>
    <n v="1.8"/>
    <n v="-76.690633329999997"/>
    <n v="3.4065083330000001"/>
    <n v="10"/>
    <n v="0"/>
    <n v="8"/>
    <m/>
    <s v="Observacion"/>
    <m/>
  </r>
  <r>
    <x v="3"/>
    <x v="0"/>
    <x v="0"/>
    <s v="FCMBT9"/>
    <x v="0"/>
    <d v="2020-10-19T00:00:00"/>
    <d v="1899-12-30T21:33:27"/>
    <n v="-76.688478329999995"/>
    <n v="3.409496667"/>
    <n v="5"/>
    <s v="Izquierdo"/>
    <s v="Yimmi Angulo"/>
    <n v="3360"/>
    <b v="1"/>
    <m/>
    <n v="10"/>
    <n v="0.15"/>
    <n v="30"/>
    <s v="Sotobosque"/>
    <s v="Bosque Secundario"/>
    <m/>
    <x v="9"/>
    <s v="Explotación de minerales"/>
    <n v="1"/>
    <m/>
    <m/>
    <m/>
    <m/>
    <m/>
    <s v="Socavon inactivo"/>
    <s v="parcialmente nublado"/>
    <n v="-76.688478329999995"/>
    <n v="3.409496667"/>
    <n v="15"/>
    <n v="0"/>
    <n v="12"/>
    <n v="-76.688606669999999"/>
    <n v="3.408451667"/>
    <n v="45"/>
    <n v="0.3"/>
    <n v="8"/>
    <m/>
    <s v="Observacion"/>
    <m/>
  </r>
  <r>
    <x v="3"/>
    <x v="0"/>
    <x v="1"/>
    <s v="FCMCT15"/>
    <x v="2"/>
    <d v="2020-10-17T00:00:00"/>
    <d v="1899-12-30T20:44:18"/>
    <n v="-76.690378330000001"/>
    <n v="3.4068700000000001"/>
    <n v="5"/>
    <s v="Derecho"/>
    <m/>
    <n v="3409"/>
    <b v="1"/>
    <m/>
    <n v="6.5"/>
    <n v="0"/>
    <n v="12.5"/>
    <s v="Epifita"/>
    <s v="Bosque Primario"/>
    <m/>
    <x v="2"/>
    <m/>
    <n v="1"/>
    <m/>
    <m/>
    <m/>
    <m/>
    <m/>
    <m/>
    <m/>
    <n v="-76.690600000000003"/>
    <n v="3.4065216669999998"/>
    <n v="10"/>
    <n v="0"/>
    <n v="8"/>
    <n v="-76.689853330000005"/>
    <n v="3.407256667"/>
    <n v="15"/>
    <n v="0"/>
    <n v="5"/>
    <m/>
    <s v="Observacion"/>
    <m/>
  </r>
  <r>
    <x v="3"/>
    <x v="0"/>
    <x v="2"/>
    <s v="FCMDT17"/>
    <x v="0"/>
    <d v="2020-10-16T00:00:00"/>
    <d v="1899-12-30T19:07:22"/>
    <n v="-76.680851669999996"/>
    <n v="3.4013116669999999"/>
    <n v="5"/>
    <s v="Izquierdo"/>
    <s v="Gustavo Rodríguez"/>
    <n v="3049"/>
    <b v="1"/>
    <m/>
    <n v="12"/>
    <n v="0"/>
    <n v="45"/>
    <s v="Sotobosque"/>
    <s v="Bosque Primario"/>
    <m/>
    <x v="12"/>
    <m/>
    <n v="1"/>
    <m/>
    <m/>
    <m/>
    <m/>
    <m/>
    <m/>
    <s v="Nublado Nocturno"/>
    <n v="-76.681044999999997"/>
    <n v="3.4012899999999999"/>
    <n v="10"/>
    <n v="0"/>
    <n v="14"/>
    <n v="-76.679990000000004"/>
    <n v="3.400896667"/>
    <n v="80"/>
    <n v="0"/>
    <n v="10"/>
    <m/>
    <s v="Observacion"/>
    <m/>
  </r>
  <r>
    <x v="3"/>
    <x v="0"/>
    <x v="2"/>
    <s v="FCMDT17"/>
    <x v="0"/>
    <d v="2020-10-16T00:00:00"/>
    <d v="1899-12-30T20:19:32"/>
    <n v="-76.679990000000004"/>
    <n v="3.400896667"/>
    <n v="5"/>
    <s v="Derecho"/>
    <s v="Joseph Lemos"/>
    <n v="3024"/>
    <b v="1"/>
    <m/>
    <n v="12"/>
    <n v="0"/>
    <n v="45"/>
    <s v="Sotobosque"/>
    <s v="Bosque Primario"/>
    <m/>
    <x v="10"/>
    <m/>
    <n v="1"/>
    <m/>
    <m/>
    <m/>
    <m/>
    <m/>
    <m/>
    <s v="Nublado Nocturno"/>
    <n v="-76.681044999999997"/>
    <n v="3.4012899999999999"/>
    <n v="10"/>
    <n v="0"/>
    <n v="14"/>
    <n v="-76.679990000000004"/>
    <n v="3.400896667"/>
    <n v="80"/>
    <n v="0"/>
    <n v="10"/>
    <m/>
    <s v="Observacion"/>
    <m/>
  </r>
  <r>
    <x v="3"/>
    <x v="0"/>
    <x v="2"/>
    <s v="FCMDT17"/>
    <x v="0"/>
    <d v="2020-10-16T00:00:00"/>
    <d v="1899-12-30T19:40:31"/>
    <n v="-76.680615000000003"/>
    <n v="3.4009416670000001"/>
    <n v="5"/>
    <s v="Derecho"/>
    <s v="Yimmi Angulo"/>
    <n v="3010"/>
    <b v="1"/>
    <m/>
    <n v="12"/>
    <n v="0"/>
    <n v="45"/>
    <s v="Sotobosque"/>
    <s v="Bosque Primario"/>
    <m/>
    <x v="13"/>
    <m/>
    <n v="1"/>
    <m/>
    <m/>
    <m/>
    <m/>
    <m/>
    <m/>
    <s v="Nublado Nocturno"/>
    <n v="-76.681044999999997"/>
    <n v="3.4012899999999999"/>
    <n v="10"/>
    <n v="0"/>
    <n v="14"/>
    <n v="-76.679990000000004"/>
    <n v="3.400896667"/>
    <n v="80"/>
    <n v="0"/>
    <n v="10"/>
    <m/>
    <s v="Observacion"/>
    <m/>
  </r>
  <r>
    <x v="3"/>
    <x v="0"/>
    <x v="0"/>
    <s v="FCMBT12"/>
    <x v="3"/>
    <d v="2020-10-19T00:00:00"/>
    <d v="1899-12-30T19:46:49"/>
    <n v="-76.689533330000003"/>
    <n v="3.4117383330000002"/>
    <n v="5"/>
    <s v="Derecho"/>
    <s v="Rodríguez"/>
    <n v="3240"/>
    <b v="1"/>
    <m/>
    <n v="9"/>
    <n v="0"/>
    <n v="12.5"/>
    <s v="Sotobosque"/>
    <s v="Bosque Secundario"/>
    <m/>
    <x v="9"/>
    <m/>
    <n v="1"/>
    <m/>
    <m/>
    <m/>
    <m/>
    <m/>
    <m/>
    <s v="parcialmente nublado"/>
    <n v="-76.690063330000001"/>
    <n v="3.4121633330000001"/>
    <n v="5"/>
    <n v="0"/>
    <n v="10"/>
    <n v="-76.689428329999998"/>
    <n v="3.4116"/>
    <n v="20"/>
    <n v="0"/>
    <n v="8"/>
    <m/>
    <s v="Observacion"/>
    <m/>
  </r>
  <r>
    <x v="3"/>
    <x v="0"/>
    <x v="0"/>
    <s v="FCMBT12"/>
    <x v="3"/>
    <d v="2020-10-19T00:00:00"/>
    <d v="1899-12-30T19:07:14"/>
    <n v="-76.689994999999996"/>
    <n v="3.4119833329999998"/>
    <n v="5"/>
    <s v="Izquierdo"/>
    <m/>
    <n v="3294"/>
    <b v="1"/>
    <m/>
    <n v="9"/>
    <n v="0"/>
    <n v="12.5"/>
    <s v="Sotobosque"/>
    <s v="Bosque Secundario"/>
    <m/>
    <x v="2"/>
    <m/>
    <n v="1"/>
    <m/>
    <m/>
    <m/>
    <m/>
    <m/>
    <m/>
    <s v="parcialmente nublado"/>
    <n v="-76.690063330000001"/>
    <n v="3.4121633330000001"/>
    <n v="5"/>
    <n v="0"/>
    <n v="10"/>
    <n v="-76.689428329999998"/>
    <n v="3.4116"/>
    <n v="20"/>
    <n v="0"/>
    <n v="8"/>
    <m/>
    <s v="Observacion"/>
    <m/>
  </r>
  <r>
    <x v="3"/>
    <x v="0"/>
    <x v="0"/>
    <s v="FCMBT12"/>
    <x v="3"/>
    <d v="2020-10-19T00:00:00"/>
    <d v="1899-12-30T19:07:14"/>
    <n v="-76.689994999999996"/>
    <n v="3.4119833329999998"/>
    <n v="5"/>
    <s v="Izquierdo"/>
    <s v="Óscar Cuéllar"/>
    <n v="3294"/>
    <b v="1"/>
    <m/>
    <n v="9"/>
    <n v="0"/>
    <n v="12.5"/>
    <s v="Sotobosque"/>
    <s v="Bosque Secundario"/>
    <m/>
    <x v="9"/>
    <m/>
    <n v="1"/>
    <m/>
    <m/>
    <m/>
    <m/>
    <m/>
    <m/>
    <s v="parcialmente nublado"/>
    <n v="-76.690063330000001"/>
    <n v="3.4121633330000001"/>
    <n v="5"/>
    <n v="0"/>
    <n v="10"/>
    <n v="-76.689428329999998"/>
    <n v="3.4116"/>
    <n v="20"/>
    <n v="0"/>
    <n v="8"/>
    <m/>
    <s v="Observacion"/>
    <m/>
  </r>
  <r>
    <x v="3"/>
    <x v="0"/>
    <x v="0"/>
    <s v="FCMBT12"/>
    <x v="3"/>
    <d v="2020-10-19T00:00:00"/>
    <d v="1899-12-30T19:58:03"/>
    <n v="-76.68956833"/>
    <n v="3.4117000000000002"/>
    <n v="5"/>
    <s v="Derecho"/>
    <s v="Óscar Cuéllar"/>
    <n v="3290"/>
    <b v="0"/>
    <b v="1"/>
    <n v="9"/>
    <n v="0"/>
    <n v="12.5"/>
    <s v="Sotobosque"/>
    <s v="Bosque ribereño"/>
    <m/>
    <x v="23"/>
    <m/>
    <n v="3"/>
    <m/>
    <m/>
    <m/>
    <m/>
    <m/>
    <m/>
    <s v="parcialmente nublado"/>
    <n v="-76.690063330000001"/>
    <n v="3.4121633330000001"/>
    <n v="5"/>
    <n v="0"/>
    <n v="10"/>
    <n v="-76.689428329999998"/>
    <n v="3.4116"/>
    <n v="20"/>
    <n v="0"/>
    <n v="8"/>
    <m/>
    <s v="Observacion"/>
    <m/>
  </r>
  <r>
    <x v="3"/>
    <x v="0"/>
    <x v="1"/>
    <s v="FCMCT14"/>
    <x v="1"/>
    <d v="2020-10-17T00:00:00"/>
    <d v="1899-12-30T21:02:32"/>
    <n v="-76.689615000000003"/>
    <n v="3.4074333330000002"/>
    <n v="5"/>
    <s v="Izquierdo"/>
    <m/>
    <n v="3411"/>
    <b v="1"/>
    <m/>
    <n v="7.5"/>
    <n v="0"/>
    <n v="17.5"/>
    <s v="Sotobosque"/>
    <s v="Bosque Primario"/>
    <m/>
    <x v="2"/>
    <m/>
    <n v="1"/>
    <m/>
    <m/>
    <m/>
    <m/>
    <m/>
    <m/>
    <m/>
    <n v="-76.689846669999994"/>
    <n v="3.4072849999999999"/>
    <n v="15"/>
    <n v="0"/>
    <n v="5"/>
    <n v="-76.689109999999999"/>
    <n v="3.4075983330000001"/>
    <n v="20"/>
    <n v="0"/>
    <n v="10"/>
    <m/>
    <s v="Observacion"/>
    <m/>
  </r>
  <r>
    <x v="3"/>
    <x v="0"/>
    <x v="1"/>
    <s v="FCMCT14"/>
    <x v="1"/>
    <d v="2020-10-17T00:00:00"/>
    <d v="1899-12-30T21:02:32"/>
    <n v="-76.689615000000003"/>
    <n v="3.4074333330000002"/>
    <n v="5"/>
    <s v="Izquierdo"/>
    <s v="Guzmán"/>
    <n v="3412"/>
    <b v="1"/>
    <m/>
    <n v="7.5"/>
    <n v="0"/>
    <n v="17.5"/>
    <s v="Sotobosque"/>
    <s v="Bosque Primario"/>
    <m/>
    <x v="13"/>
    <m/>
    <n v="2"/>
    <m/>
    <m/>
    <m/>
    <m/>
    <m/>
    <m/>
    <m/>
    <n v="-76.689846669999994"/>
    <n v="3.4072849999999999"/>
    <n v="15"/>
    <n v="0"/>
    <n v="5"/>
    <n v="-76.689109999999999"/>
    <n v="3.4075983330000001"/>
    <n v="20"/>
    <n v="0"/>
    <n v="10"/>
    <m/>
    <s v="Observacion"/>
    <m/>
  </r>
  <r>
    <x v="3"/>
    <x v="0"/>
    <x v="2"/>
    <s v="FCMDT19"/>
    <x v="2"/>
    <d v="2020-10-16T00:00:00"/>
    <d v="1899-12-30T22:29:45"/>
    <n v="-76.678785000000005"/>
    <n v="3.40083"/>
    <n v="5"/>
    <s v="Derecho"/>
    <s v="Cristian Castaño"/>
    <n v="3050"/>
    <b v="1"/>
    <m/>
    <n v="15"/>
    <n v="0"/>
    <n v="50"/>
    <s v="Sotobosque"/>
    <s v="Bosque Primario"/>
    <m/>
    <x v="13"/>
    <m/>
    <n v="1"/>
    <m/>
    <m/>
    <m/>
    <m/>
    <m/>
    <m/>
    <m/>
    <n v="-76.679140000000004"/>
    <n v="3.400795"/>
    <n v="30"/>
    <n v="0"/>
    <n v="10"/>
    <n v="-76.678555000000003"/>
    <n v="3.40158"/>
    <n v="70"/>
    <n v="0"/>
    <n v="20"/>
    <m/>
    <s v="Observacion"/>
    <m/>
  </r>
  <r>
    <x v="3"/>
    <x v="0"/>
    <x v="2"/>
    <s v="FCMDT19"/>
    <x v="2"/>
    <d v="2020-10-16T00:00:00"/>
    <d v="1899-12-30T23:00:49"/>
    <n v="-76.678555000000003"/>
    <n v="3.40158"/>
    <n v="5"/>
    <s v="Derecho"/>
    <m/>
    <n v="3054"/>
    <b v="1"/>
    <m/>
    <n v="15"/>
    <n v="0"/>
    <n v="50"/>
    <s v="Sotobosque"/>
    <s v="Bosque Primario"/>
    <m/>
    <x v="10"/>
    <m/>
    <n v="1"/>
    <m/>
    <m/>
    <m/>
    <m/>
    <m/>
    <m/>
    <m/>
    <n v="-76.679140000000004"/>
    <n v="3.400795"/>
    <n v="30"/>
    <n v="0"/>
    <n v="10"/>
    <n v="-76.678555000000003"/>
    <n v="3.40158"/>
    <n v="70"/>
    <n v="0"/>
    <n v="20"/>
    <m/>
    <s v="Observacion"/>
    <m/>
  </r>
  <r>
    <x v="3"/>
    <x v="0"/>
    <x v="2"/>
    <s v="FCMDT19"/>
    <x v="2"/>
    <d v="2020-10-16T00:00:00"/>
    <d v="1899-12-30T22:39:25"/>
    <n v="-76.678651669999994"/>
    <n v="3.401135"/>
    <n v="5"/>
    <s v="Izquierdo"/>
    <s v="Cristian Castaño"/>
    <n v="3051"/>
    <b v="1"/>
    <m/>
    <n v="15"/>
    <n v="0"/>
    <n v="50"/>
    <s v="Dosel arboles"/>
    <s v="Bosque ribereño"/>
    <m/>
    <x v="41"/>
    <m/>
    <n v="1"/>
    <m/>
    <m/>
    <m/>
    <m/>
    <m/>
    <m/>
    <m/>
    <n v="-76.679140000000004"/>
    <n v="3.400795"/>
    <n v="30"/>
    <n v="0"/>
    <n v="10"/>
    <n v="-76.678555000000003"/>
    <n v="3.40158"/>
    <n v="70"/>
    <n v="0"/>
    <n v="20"/>
    <m/>
    <s v="Auditivo"/>
    <m/>
  </r>
  <r>
    <x v="3"/>
    <x v="0"/>
    <x v="0"/>
    <s v="FCMBT10"/>
    <x v="1"/>
    <d v="2020-10-19T00:00:00"/>
    <d v="1899-12-30T21:04:30"/>
    <n v="-76.688371669999995"/>
    <n v="3.4102583329999998"/>
    <n v="5"/>
    <s v="Izquierdo"/>
    <m/>
    <n v="3320"/>
    <b v="0"/>
    <b v="1"/>
    <n v="16"/>
    <n v="0.65"/>
    <n v="22.5"/>
    <s v="Sotobosque"/>
    <s v="Bosque ribereño"/>
    <m/>
    <x v="2"/>
    <s v="Residuos solidos"/>
    <n v="1"/>
    <m/>
    <m/>
    <m/>
    <m/>
    <m/>
    <s v="botella plástica de aceite"/>
    <s v="parcialmente nublado"/>
    <n v="-76.68838667"/>
    <n v="3.4105483329999999"/>
    <n v="15"/>
    <n v="0"/>
    <n v="12"/>
    <n v="-76.68838667"/>
    <n v="3.4098583329999999"/>
    <n v="30"/>
    <n v="1.3"/>
    <n v="20"/>
    <m/>
    <s v="Observacion"/>
    <m/>
  </r>
  <r>
    <x v="3"/>
    <x v="0"/>
    <x v="0"/>
    <s v="FCMBT11"/>
    <x v="2"/>
    <d v="2020-10-19T00:00:00"/>
    <d v="1899-12-30T20:41:02"/>
    <n v="-76.688641669999996"/>
    <n v="3.4109783330000001"/>
    <n v="5"/>
    <m/>
    <m/>
    <n v="3298"/>
    <b v="1"/>
    <m/>
    <n v="8"/>
    <n v="0"/>
    <n v="7.5"/>
    <m/>
    <s v="Bosque Secundario"/>
    <m/>
    <x v="0"/>
    <m/>
    <n v="0"/>
    <m/>
    <m/>
    <m/>
    <m/>
    <m/>
    <m/>
    <s v="parcialmente nublado"/>
    <n v="-76.689156670000003"/>
    <n v="3.4113283330000002"/>
    <n v="5"/>
    <n v="0"/>
    <n v="8"/>
    <n v="-76.688663329999997"/>
    <n v="3.4109600000000002"/>
    <n v="10"/>
    <n v="0"/>
    <n v="8"/>
    <m/>
    <s v="Observacion"/>
    <m/>
  </r>
  <r>
    <x v="3"/>
    <x v="0"/>
    <x v="2"/>
    <s v="FCMDT18"/>
    <x v="1"/>
    <d v="2020-10-16T00:00:00"/>
    <d v="1899-12-30T21:25:34"/>
    <n v="-76.679498330000001"/>
    <n v="3.400756667"/>
    <n v="5"/>
    <s v="Derecho"/>
    <s v="Cristian Castaño"/>
    <n v="3049"/>
    <b v="1"/>
    <m/>
    <n v="7.5"/>
    <n v="0"/>
    <n v="20"/>
    <s v="Sotobosque"/>
    <s v="Bosque Primario"/>
    <m/>
    <x v="12"/>
    <m/>
    <n v="1"/>
    <m/>
    <m/>
    <m/>
    <m/>
    <m/>
    <m/>
    <m/>
    <n v="-76.680013329999994"/>
    <n v="3.4009450000000001"/>
    <n v="10"/>
    <n v="0"/>
    <n v="10"/>
    <n v="-76.679211670000001"/>
    <n v="3.400781667"/>
    <n v="30"/>
    <n v="0"/>
    <n v="5"/>
    <m/>
    <s v="Observacion"/>
    <m/>
  </r>
  <r>
    <x v="3"/>
    <x v="0"/>
    <x v="2"/>
    <s v="FCMDT18"/>
    <x v="1"/>
    <d v="2020-10-16T00:00:00"/>
    <d v="1899-12-30T21:05:27"/>
    <n v="-76.679863330000003"/>
    <n v="3.4007466669999999"/>
    <n v="5"/>
    <s v="Derecho"/>
    <s v="Yimmi Angulo"/>
    <n v="3066"/>
    <b v="1"/>
    <m/>
    <n v="7.5"/>
    <n v="0"/>
    <n v="20"/>
    <s v="Sotobosque"/>
    <s v="Bosque Primario"/>
    <m/>
    <x v="10"/>
    <m/>
    <n v="1"/>
    <m/>
    <m/>
    <m/>
    <m/>
    <m/>
    <m/>
    <m/>
    <n v="-76.680013329999994"/>
    <n v="3.4009450000000001"/>
    <n v="10"/>
    <n v="0"/>
    <n v="10"/>
    <n v="-76.679211670000001"/>
    <n v="3.400781667"/>
    <n v="30"/>
    <n v="0"/>
    <n v="5"/>
    <m/>
    <s v="Observacion"/>
    <m/>
  </r>
  <r>
    <x v="3"/>
    <x v="0"/>
    <x v="2"/>
    <s v="FCMDT18"/>
    <x v="1"/>
    <d v="2020-10-16T00:00:00"/>
    <d v="1899-12-30T20:48:33"/>
    <n v="-76.679868330000005"/>
    <n v="3.4007416670000001"/>
    <n v="5"/>
    <s v="Derecho"/>
    <m/>
    <n v="3069"/>
    <b v="1"/>
    <m/>
    <n v="7.5"/>
    <n v="0"/>
    <n v="20"/>
    <s v="Sotobosque"/>
    <s v="Bosque Primario"/>
    <m/>
    <x v="10"/>
    <m/>
    <n v="1"/>
    <m/>
    <m/>
    <m/>
    <m/>
    <m/>
    <m/>
    <m/>
    <n v="-76.680013329999994"/>
    <n v="3.4009450000000001"/>
    <n v="10"/>
    <n v="0"/>
    <n v="10"/>
    <n v="-76.679211670000001"/>
    <n v="3.400781667"/>
    <n v="30"/>
    <n v="0"/>
    <n v="5"/>
    <m/>
    <s v="Observacion"/>
    <m/>
  </r>
  <r>
    <x v="3"/>
    <x v="0"/>
    <x v="2"/>
    <s v="FCMDT18"/>
    <x v="1"/>
    <d v="2020-10-16T00:00:00"/>
    <d v="1899-12-30T20:40:58"/>
    <n v="-76.679923329999994"/>
    <n v="3.4008799999999999"/>
    <n v="5"/>
    <s v="Derecho"/>
    <s v="Cristian Castaño"/>
    <n v="3060"/>
    <b v="1"/>
    <m/>
    <n v="7.5"/>
    <n v="0"/>
    <n v="20"/>
    <s v="Sotobosque"/>
    <s v="Bosque Primario"/>
    <m/>
    <x v="12"/>
    <m/>
    <n v="1"/>
    <m/>
    <m/>
    <m/>
    <m/>
    <m/>
    <m/>
    <m/>
    <n v="-76.680013329999994"/>
    <n v="3.4009450000000001"/>
    <n v="10"/>
    <n v="0"/>
    <n v="10"/>
    <n v="-76.679211670000001"/>
    <n v="3.400781667"/>
    <n v="30"/>
    <n v="0"/>
    <n v="5"/>
    <m/>
    <s v="Observacion"/>
    <m/>
  </r>
  <r>
    <x v="3"/>
    <x v="0"/>
    <x v="2"/>
    <s v="FCMDT18"/>
    <x v="1"/>
    <d v="2020-10-16T00:00:00"/>
    <d v="1899-12-30T21:48:46"/>
    <n v="-76.679460000000006"/>
    <n v="3.4007483330000001"/>
    <n v="5"/>
    <s v="Derecho"/>
    <m/>
    <n v="3049"/>
    <b v="1"/>
    <m/>
    <n v="7.5"/>
    <n v="0"/>
    <n v="20"/>
    <s v="Sotobosque"/>
    <s v="Bosque Primario"/>
    <m/>
    <x v="41"/>
    <m/>
    <n v="1"/>
    <m/>
    <m/>
    <m/>
    <m/>
    <m/>
    <m/>
    <m/>
    <n v="-76.680013329999994"/>
    <n v="3.4009450000000001"/>
    <n v="10"/>
    <n v="0"/>
    <n v="10"/>
    <n v="-76.679211670000001"/>
    <n v="3.400781667"/>
    <n v="30"/>
    <n v="0"/>
    <n v="5"/>
    <m/>
    <s v="Observacion"/>
    <m/>
  </r>
  <r>
    <x v="3"/>
    <x v="0"/>
    <x v="3"/>
    <s v="FCMDT20"/>
    <x v="0"/>
    <d v="2020-10-16T00:00:00"/>
    <d v="1899-12-30T23:33:32"/>
    <n v="-76.67800167"/>
    <n v="3.4023983329999998"/>
    <n v="5"/>
    <m/>
    <m/>
    <m/>
    <m/>
    <m/>
    <n v="40"/>
    <n v="0"/>
    <n v="16.5"/>
    <m/>
    <m/>
    <m/>
    <x v="0"/>
    <m/>
    <n v="0"/>
    <m/>
    <m/>
    <m/>
    <m/>
    <m/>
    <m/>
    <s v="despejado"/>
    <n v="-76.678394999999995"/>
    <n v="3.4017366670000002"/>
    <n v="10"/>
    <n v="0"/>
    <n v="40"/>
    <n v="-76.67800167"/>
    <n v="3.4023983329999998"/>
    <n v="23"/>
    <n v="0"/>
    <n v="40"/>
    <m/>
    <m/>
    <m/>
  </r>
  <r>
    <x v="3"/>
    <x v="2"/>
    <x v="9"/>
    <s v="FCCBT3"/>
    <x v="2"/>
    <d v="2020-10-26T00:00:00"/>
    <d v="1899-12-30T20:33:10"/>
    <n v="-76.646623329999997"/>
    <n v="3.3497266670000001"/>
    <n v="5"/>
    <m/>
    <m/>
    <m/>
    <m/>
    <m/>
    <n v="4"/>
    <n v="0"/>
    <n v="12.5"/>
    <m/>
    <m/>
    <m/>
    <x v="0"/>
    <m/>
    <n v="0"/>
    <m/>
    <m/>
    <m/>
    <m/>
    <m/>
    <m/>
    <s v="despejado"/>
    <n v="-76.645799999999994"/>
    <n v="3.3496233329999998"/>
    <n v="15"/>
    <n v="0"/>
    <n v="4"/>
    <n v="-76.646623329999997"/>
    <n v="3.3497266670000001"/>
    <n v="10"/>
    <n v="0"/>
    <n v="4"/>
    <m/>
    <m/>
    <m/>
  </r>
  <r>
    <x v="3"/>
    <x v="0"/>
    <x v="1"/>
    <s v="FCMCT13"/>
    <x v="0"/>
    <d v="2020-10-17T00:00:00"/>
    <d v="1899-12-30T21:30:48"/>
    <n v="-76.688503330000003"/>
    <n v="3.4080533329999998"/>
    <n v="5"/>
    <m/>
    <m/>
    <m/>
    <m/>
    <m/>
    <n v="6.5"/>
    <n v="0"/>
    <n v="15"/>
    <m/>
    <m/>
    <m/>
    <x v="0"/>
    <m/>
    <n v="0"/>
    <m/>
    <m/>
    <m/>
    <m/>
    <m/>
    <m/>
    <s v="parcialmente nublado"/>
    <n v="-76.689109999999999"/>
    <n v="3.4075983330000001"/>
    <n v="20"/>
    <n v="0"/>
    <n v="10"/>
    <n v="-76.688503330000003"/>
    <n v="3.4080533329999998"/>
    <n v="10"/>
    <n v="0"/>
    <n v="3"/>
    <m/>
    <m/>
    <m/>
  </r>
  <r>
    <x v="4"/>
    <x v="2"/>
    <x v="11"/>
    <s v="FCCDT14"/>
    <x v="3"/>
    <d v="2021-10-20T00:00:00"/>
    <d v="1899-12-30T21:49:52"/>
    <n v="-76.652136670000004"/>
    <n v="3.353443333"/>
    <n v="6"/>
    <s v="Izquierdo"/>
    <s v="Gustavo Rodriguez"/>
    <n v="2506"/>
    <b v="1"/>
    <m/>
    <n v="13.5"/>
    <n v="0"/>
    <n v="15"/>
    <s v="Sotobosque"/>
    <s v="Bosque Secundario"/>
    <m/>
    <x v="3"/>
    <m/>
    <n v="1"/>
    <m/>
    <m/>
    <m/>
    <m/>
    <m/>
    <m/>
    <m/>
    <n v="-76.652656669999999"/>
    <n v="3.3534066669999998"/>
    <n v="20"/>
    <n v="0"/>
    <n v="12"/>
    <n v="-76.651994999999999"/>
    <n v="3.3534733330000002"/>
    <n v="10"/>
    <n v="0"/>
    <n v="15"/>
    <s v="Herbaceo 0.3-1.5 m"/>
    <s v="Observacion"/>
    <m/>
  </r>
  <r>
    <x v="4"/>
    <x v="2"/>
    <x v="11"/>
    <s v="FCCDT14"/>
    <x v="3"/>
    <d v="2021-10-20T00:00:00"/>
    <d v="1899-12-30T21:39:36"/>
    <n v="-76.652548330000002"/>
    <n v="3.3534833329999998"/>
    <n v="6"/>
    <s v="Derecho"/>
    <s v="Gustavo Rodriguez"/>
    <n v="2514"/>
    <b v="1"/>
    <m/>
    <n v="13.5"/>
    <n v="0"/>
    <n v="15"/>
    <s v="Sotobosque"/>
    <s v="Bosque Secundario"/>
    <m/>
    <x v="3"/>
    <m/>
    <n v="1"/>
    <m/>
    <m/>
    <m/>
    <m/>
    <m/>
    <m/>
    <m/>
    <n v="-76.652656669999999"/>
    <n v="3.3534066669999998"/>
    <n v="20"/>
    <n v="0"/>
    <n v="12"/>
    <n v="-76.651994999999999"/>
    <n v="3.3534733330000002"/>
    <n v="10"/>
    <n v="0"/>
    <n v="15"/>
    <s v="Herbaceo 0.3-1.5 m"/>
    <s v="Observacion"/>
    <m/>
  </r>
  <r>
    <x v="4"/>
    <x v="2"/>
    <x v="11"/>
    <s v="FCCDT14"/>
    <x v="3"/>
    <d v="2021-10-20T00:00:00"/>
    <d v="1899-12-30T21:30:54"/>
    <n v="-76.652623329999997"/>
    <n v="3.3535383329999999"/>
    <n v="6"/>
    <s v="Derecho"/>
    <s v="Gustavo Rodriguez"/>
    <n v="2510"/>
    <b v="1"/>
    <m/>
    <n v="13.5"/>
    <n v="0"/>
    <n v="15"/>
    <s v="Sotobosque"/>
    <s v="Bosque Secundario"/>
    <s v="Foto 7090"/>
    <x v="17"/>
    <m/>
    <n v="1"/>
    <m/>
    <m/>
    <m/>
    <m/>
    <m/>
    <m/>
    <m/>
    <n v="-76.652656669999999"/>
    <n v="3.3534066669999998"/>
    <n v="20"/>
    <n v="0"/>
    <n v="12"/>
    <n v="-76.651994999999999"/>
    <n v="3.3534733330000002"/>
    <n v="10"/>
    <n v="0"/>
    <n v="15"/>
    <s v="Herbaceo 0.3-1.5 m"/>
    <s v="Observacion"/>
    <m/>
  </r>
  <r>
    <x v="4"/>
    <x v="2"/>
    <x v="11"/>
    <s v="FCCDT14"/>
    <x v="3"/>
    <d v="2021-10-20T00:00:00"/>
    <d v="1899-12-30T21:30:54"/>
    <n v="-76.652623329999997"/>
    <n v="3.3535383329999999"/>
    <n v="6"/>
    <s v="Izquierdo"/>
    <s v="Gustavo Rodriguez"/>
    <n v="2510"/>
    <b v="1"/>
    <m/>
    <n v="13.5"/>
    <n v="0"/>
    <n v="15"/>
    <s v="Sotobosque"/>
    <s v="Bosque Secundario"/>
    <s v="Foto 7090"/>
    <x v="17"/>
    <m/>
    <n v="1"/>
    <m/>
    <m/>
    <m/>
    <m/>
    <m/>
    <m/>
    <m/>
    <n v="-76.652656669999999"/>
    <n v="3.3534066669999998"/>
    <n v="20"/>
    <n v="0"/>
    <n v="12"/>
    <n v="-76.651994999999999"/>
    <n v="3.3534733330000002"/>
    <n v="10"/>
    <n v="0"/>
    <n v="15"/>
    <s v="Herbaceo 0.3-1.5 m"/>
    <s v="Observacion"/>
    <m/>
  </r>
  <r>
    <x v="4"/>
    <x v="2"/>
    <x v="11"/>
    <s v="FCCDT14"/>
    <x v="3"/>
    <d v="2021-10-20T00:00:00"/>
    <d v="1899-12-30T21:30:54"/>
    <n v="-76.652623329999997"/>
    <n v="3.3535383329999999"/>
    <n v="6"/>
    <s v="Izquierdo"/>
    <s v="Gustavo Rodriguez"/>
    <n v="2510"/>
    <b v="1"/>
    <m/>
    <n v="13.5"/>
    <n v="0"/>
    <n v="15"/>
    <s v="Sotobosque"/>
    <s v="Bosque Secundario"/>
    <s v="Foto 7090"/>
    <x v="17"/>
    <m/>
    <n v="1"/>
    <m/>
    <m/>
    <m/>
    <m/>
    <m/>
    <m/>
    <m/>
    <n v="-76.652656669999999"/>
    <n v="3.3534066669999998"/>
    <n v="20"/>
    <n v="0"/>
    <n v="12"/>
    <n v="-76.651994999999999"/>
    <n v="3.3534733330000002"/>
    <n v="10"/>
    <n v="0"/>
    <n v="15"/>
    <s v="Herbaceo 0.3-1.5 m"/>
    <s v="Observacion"/>
    <m/>
  </r>
  <r>
    <x v="4"/>
    <x v="2"/>
    <x v="11"/>
    <s v="FCCDT14"/>
    <x v="3"/>
    <d v="2021-10-20T00:00:00"/>
    <d v="1899-12-30T21:30:54"/>
    <n v="-76.652623329999997"/>
    <n v="3.3535383329999999"/>
    <n v="6"/>
    <s v="Derecho"/>
    <s v="Gustavo Rodriguez"/>
    <n v="2510"/>
    <b v="1"/>
    <m/>
    <n v="13.5"/>
    <n v="0"/>
    <n v="15"/>
    <s v="Sotobosque"/>
    <s v="Bosque Secundario"/>
    <s v="foto 7090"/>
    <x v="17"/>
    <m/>
    <n v="1"/>
    <m/>
    <m/>
    <m/>
    <m/>
    <m/>
    <m/>
    <m/>
    <n v="-76.652656669999999"/>
    <n v="3.3534066669999998"/>
    <n v="20"/>
    <n v="0"/>
    <n v="12"/>
    <n v="-76.651994999999999"/>
    <n v="3.3534733330000002"/>
    <n v="10"/>
    <n v="0"/>
    <n v="15"/>
    <s v="Herbaceo 0.3-1.5 m"/>
    <s v="Observacion"/>
    <m/>
  </r>
  <r>
    <x v="4"/>
    <x v="2"/>
    <x v="11"/>
    <s v="FCCDT14"/>
    <x v="3"/>
    <d v="2021-10-20T00:00:00"/>
    <d v="1899-12-30T21:46:30"/>
    <n v="-76.652203330000006"/>
    <n v="3.3533783330000002"/>
    <n v="6"/>
    <s v="Derecho"/>
    <s v="Gustavo Rodriguez"/>
    <n v="2501"/>
    <b v="1"/>
    <m/>
    <n v="13.5"/>
    <n v="0"/>
    <n v="15"/>
    <s v="Sotobosque"/>
    <s v="Bosque Secundario"/>
    <m/>
    <x v="3"/>
    <m/>
    <n v="1"/>
    <m/>
    <m/>
    <m/>
    <m/>
    <m/>
    <s v="llovizna"/>
    <m/>
    <n v="-76.652656669999999"/>
    <n v="3.3534066669999998"/>
    <n v="20"/>
    <n v="0"/>
    <n v="12"/>
    <n v="-76.651994999999999"/>
    <n v="3.3534733330000002"/>
    <n v="10"/>
    <n v="0"/>
    <n v="15"/>
    <s v="Herbaceo 0.3-1.5 m"/>
    <s v="Observacion"/>
    <m/>
  </r>
  <r>
    <x v="4"/>
    <x v="2"/>
    <x v="10"/>
    <s v="FCCDT16"/>
    <x v="0"/>
    <d v="2021-10-20T00:00:00"/>
    <d v="1899-12-30T20:37:37"/>
    <n v="-76.655315000000002"/>
    <n v="3.3540833330000002"/>
    <n v="6"/>
    <s v="Derecho"/>
    <s v="Hernan Montoya"/>
    <n v="2558"/>
    <b v="1"/>
    <m/>
    <n v="11"/>
    <n v="0"/>
    <n v="8.5"/>
    <s v="Sotobosque"/>
    <s v="Bosque Secundario"/>
    <s v="Macho"/>
    <x v="8"/>
    <m/>
    <n v="1"/>
    <m/>
    <m/>
    <m/>
    <m/>
    <m/>
    <m/>
    <m/>
    <n v="-76.655770000000004"/>
    <n v="3.3544999999999998"/>
    <n v="10"/>
    <n v="0"/>
    <n v="12"/>
    <n v="-76.655185000000003"/>
    <n v="3.3539916669999998"/>
    <n v="7"/>
    <n v="0"/>
    <n v="10"/>
    <s v="Herbaceo 0.3-1.5 m"/>
    <s v="Observacion"/>
    <m/>
  </r>
  <r>
    <x v="4"/>
    <x v="2"/>
    <x v="10"/>
    <s v="FCCDT16"/>
    <x v="0"/>
    <d v="2021-10-20T00:00:00"/>
    <d v="1899-12-30T20:37:37"/>
    <n v="-76.655315000000002"/>
    <n v="3.3540833330000002"/>
    <n v="6"/>
    <s v="Izquierdo"/>
    <s v="Andrea Huesaquillo"/>
    <n v="2558"/>
    <b v="1"/>
    <m/>
    <n v="11"/>
    <n v="0"/>
    <n v="8.5"/>
    <s v="Sotobosque"/>
    <s v="Bosque Secundario"/>
    <m/>
    <x v="10"/>
    <m/>
    <n v="1"/>
    <m/>
    <m/>
    <m/>
    <m/>
    <m/>
    <m/>
    <m/>
    <n v="-76.655770000000004"/>
    <n v="3.3544999999999998"/>
    <n v="10"/>
    <n v="0"/>
    <n v="12"/>
    <n v="-76.655185000000003"/>
    <n v="3.3539916669999998"/>
    <n v="7"/>
    <n v="0"/>
    <n v="10"/>
    <s v="Herbaceo 0.3-1.5 m"/>
    <s v="Observacion"/>
    <m/>
  </r>
  <r>
    <x v="4"/>
    <x v="2"/>
    <x v="10"/>
    <s v="FCCDT16"/>
    <x v="0"/>
    <d v="2021-10-20T00:00:00"/>
    <d v="1899-12-30T19:57:11"/>
    <n v="-76.655685000000005"/>
    <n v="3.354263333"/>
    <n v="6"/>
    <s v="Izquierdo"/>
    <s v="Andrea Huesaquillo"/>
    <n v="2562"/>
    <b v="1"/>
    <m/>
    <n v="11"/>
    <n v="0"/>
    <n v="8.5"/>
    <s v="Sotobosque"/>
    <s v="Bosque Secundario"/>
    <m/>
    <x v="3"/>
    <m/>
    <n v="1"/>
    <m/>
    <m/>
    <m/>
    <m/>
    <m/>
    <m/>
    <m/>
    <n v="-76.655770000000004"/>
    <n v="3.3544999999999998"/>
    <n v="10"/>
    <n v="0"/>
    <n v="12"/>
    <n v="-76.655185000000003"/>
    <n v="3.3539916669999998"/>
    <n v="7"/>
    <n v="0"/>
    <n v="10"/>
    <s v="Herbaceo 0.3-1.5 m"/>
    <s v="Observacion"/>
    <m/>
  </r>
  <r>
    <x v="4"/>
    <x v="2"/>
    <x v="10"/>
    <s v="FCCDT16"/>
    <x v="0"/>
    <d v="2021-10-20T00:00:00"/>
    <d v="1899-12-30T20:21:47"/>
    <n v="-76.655421669999996"/>
    <n v="3.3541016670000001"/>
    <n v="6"/>
    <s v="Izquierdo"/>
    <s v="Gustavo Rodriguez"/>
    <n v="2559"/>
    <b v="1"/>
    <m/>
    <n v="11"/>
    <n v="0"/>
    <n v="8.5"/>
    <s v="Sotobosque"/>
    <s v="Bosque Secundario"/>
    <m/>
    <x v="8"/>
    <m/>
    <n v="1"/>
    <m/>
    <m/>
    <m/>
    <m/>
    <m/>
    <m/>
    <m/>
    <n v="-76.655770000000004"/>
    <n v="3.3544999999999998"/>
    <n v="10"/>
    <n v="0"/>
    <n v="12"/>
    <n v="-76.655185000000003"/>
    <n v="3.3539916669999998"/>
    <n v="7"/>
    <n v="0"/>
    <n v="10"/>
    <s v="Herbaceo 0.3-1.5 m"/>
    <s v="Observacion"/>
    <m/>
  </r>
  <r>
    <x v="4"/>
    <x v="2"/>
    <x v="10"/>
    <s v="FCCDT16"/>
    <x v="0"/>
    <d v="2021-10-20T00:00:00"/>
    <d v="1899-12-30T20:09:57"/>
    <n v="-76.655569999999997"/>
    <n v="3.3541716670000001"/>
    <n v="6"/>
    <s v="Derecho"/>
    <s v="Hernan Montoya"/>
    <n v="2569"/>
    <b v="1"/>
    <m/>
    <n v="11"/>
    <n v="0"/>
    <n v="8.5"/>
    <s v="Sotobosque"/>
    <s v="Bosque Secundario"/>
    <m/>
    <x v="3"/>
    <m/>
    <n v="1"/>
    <m/>
    <m/>
    <m/>
    <m/>
    <m/>
    <m/>
    <m/>
    <n v="-76.655770000000004"/>
    <n v="3.3544999999999998"/>
    <n v="10"/>
    <n v="0"/>
    <n v="12"/>
    <n v="-76.655185000000003"/>
    <n v="3.3539916669999998"/>
    <n v="7"/>
    <n v="0"/>
    <n v="10"/>
    <s v="Herbaceo 0.3-1.5 m"/>
    <s v="Observacion"/>
    <m/>
  </r>
  <r>
    <x v="4"/>
    <x v="2"/>
    <x v="10"/>
    <s v="FCCDT16"/>
    <x v="0"/>
    <d v="2021-10-20T00:00:00"/>
    <d v="1899-12-30T20:03:27"/>
    <n v="-76.655661670000001"/>
    <n v="3.3541983329999998"/>
    <n v="6"/>
    <s v="Izquierdo"/>
    <s v="Andrea Huesaquillo"/>
    <n v="2565"/>
    <b v="1"/>
    <m/>
    <n v="11"/>
    <n v="0"/>
    <n v="8.5"/>
    <s v="Sotobosque"/>
    <s v="Bosque Secundario"/>
    <m/>
    <x v="8"/>
    <m/>
    <n v="1"/>
    <m/>
    <m/>
    <m/>
    <m/>
    <m/>
    <m/>
    <m/>
    <n v="-76.655770000000004"/>
    <n v="3.3544999999999998"/>
    <n v="10"/>
    <n v="0"/>
    <n v="12"/>
    <n v="-76.655185000000003"/>
    <n v="3.3539916669999998"/>
    <n v="7"/>
    <n v="0"/>
    <n v="10"/>
    <s v="Herbaceo 0.3-1.5 m"/>
    <s v="Observacion"/>
    <m/>
  </r>
  <r>
    <x v="4"/>
    <x v="2"/>
    <x v="10"/>
    <s v="FCCDT16"/>
    <x v="0"/>
    <d v="2021-10-20T00:00:00"/>
    <d v="1899-12-30T20:03:27"/>
    <n v="-76.655661670000001"/>
    <n v="3.3541983329999998"/>
    <n v="6"/>
    <s v="Derecho"/>
    <s v="Hernan Montoya"/>
    <n v="2565"/>
    <b v="1"/>
    <m/>
    <n v="11"/>
    <n v="0"/>
    <n v="8.5"/>
    <s v="Sotobosque"/>
    <s v="Bosque Secundario"/>
    <m/>
    <x v="8"/>
    <m/>
    <n v="1"/>
    <m/>
    <m/>
    <m/>
    <m/>
    <m/>
    <m/>
    <m/>
    <n v="-76.655770000000004"/>
    <n v="3.3544999999999998"/>
    <n v="10"/>
    <n v="0"/>
    <n v="12"/>
    <n v="-76.655185000000003"/>
    <n v="3.3539916669999998"/>
    <n v="7"/>
    <n v="0"/>
    <n v="10"/>
    <s v="Herbaceo 0.3-1.5 m"/>
    <s v="Observacion"/>
    <m/>
  </r>
  <r>
    <x v="4"/>
    <x v="2"/>
    <x v="10"/>
    <s v="FCCDT16"/>
    <x v="0"/>
    <d v="2021-10-20T00:00:00"/>
    <d v="1899-12-30T20:46:39"/>
    <n v="-76.655243330000005"/>
    <n v="3.3539983329999998"/>
    <n v="6"/>
    <s v="Izquierdo"/>
    <s v="Gustavo Rodriguez"/>
    <n v="2558"/>
    <b v="1"/>
    <m/>
    <n v="11"/>
    <n v="0"/>
    <n v="8.5"/>
    <s v="Sotobosque"/>
    <s v="Bosque Secundario"/>
    <m/>
    <x v="10"/>
    <m/>
    <n v="1"/>
    <m/>
    <m/>
    <m/>
    <m/>
    <m/>
    <m/>
    <m/>
    <n v="-76.655770000000004"/>
    <n v="3.3544999999999998"/>
    <n v="10"/>
    <n v="0"/>
    <n v="12"/>
    <n v="-76.655185000000003"/>
    <n v="3.3539916669999998"/>
    <n v="7"/>
    <n v="0"/>
    <n v="10"/>
    <s v="Herbaceo 0.3-1.5 m"/>
    <s v="Observacion"/>
    <m/>
  </r>
  <r>
    <x v="4"/>
    <x v="2"/>
    <x v="10"/>
    <s v="FCCDT16"/>
    <x v="0"/>
    <d v="2021-10-20T00:00:00"/>
    <d v="1899-12-30T20:46:39"/>
    <n v="-76.655243330000005"/>
    <n v="3.3539983329999998"/>
    <n v="6"/>
    <s v="Derecho"/>
    <s v="Gustavo Rodriguez"/>
    <n v="2558"/>
    <b v="1"/>
    <m/>
    <n v="11"/>
    <n v="0"/>
    <n v="8.5"/>
    <s v="Sotobosque"/>
    <s v="Bosque Secundario"/>
    <s v="Foto 7090"/>
    <x v="17"/>
    <m/>
    <n v="1"/>
    <m/>
    <m/>
    <m/>
    <m/>
    <m/>
    <m/>
    <m/>
    <n v="-76.655770000000004"/>
    <n v="3.3544999999999998"/>
    <n v="10"/>
    <n v="0"/>
    <n v="12"/>
    <n v="-76.655185000000003"/>
    <n v="3.3539916669999998"/>
    <n v="7"/>
    <n v="0"/>
    <n v="10"/>
    <s v="Herbaceo 0.3-1.5 m"/>
    <s v="Observacion"/>
    <m/>
  </r>
  <r>
    <x v="4"/>
    <x v="2"/>
    <x v="10"/>
    <s v="FCCDT16"/>
    <x v="0"/>
    <d v="2021-10-20T00:00:00"/>
    <d v="1899-12-30T20:13:22"/>
    <n v="-76.655556669999996"/>
    <n v="3.3541099999999999"/>
    <n v="6"/>
    <s v="Derecho"/>
    <s v="Gustavo Rodriguez"/>
    <n v="2564"/>
    <b v="1"/>
    <m/>
    <n v="11"/>
    <n v="0"/>
    <n v="8.5"/>
    <s v="Sotobosque"/>
    <s v="Bosque Secundario"/>
    <m/>
    <x v="8"/>
    <m/>
    <n v="1"/>
    <m/>
    <m/>
    <m/>
    <m/>
    <m/>
    <m/>
    <m/>
    <n v="-76.655770000000004"/>
    <n v="3.3544999999999998"/>
    <n v="10"/>
    <n v="0"/>
    <n v="12"/>
    <n v="-76.655185000000003"/>
    <n v="3.3539916669999998"/>
    <n v="7"/>
    <n v="0"/>
    <n v="10"/>
    <s v="Herbaceo 0.3-1.5 m"/>
    <s v="Observacion"/>
    <m/>
  </r>
  <r>
    <x v="4"/>
    <x v="2"/>
    <x v="10"/>
    <s v="FCCDT16"/>
    <x v="0"/>
    <d v="2021-10-20T00:00:00"/>
    <d v="1899-12-30T20:27:48"/>
    <n v="-76.655416669999994"/>
    <n v="3.354085"/>
    <n v="6"/>
    <s v="Derecho"/>
    <s v="Hernan Montoya"/>
    <n v="2562"/>
    <b v="1"/>
    <m/>
    <n v="11"/>
    <n v="0"/>
    <n v="8.5"/>
    <s v="Sotobosque"/>
    <s v="Bosque Secundario"/>
    <m/>
    <x v="10"/>
    <m/>
    <n v="1"/>
    <m/>
    <m/>
    <m/>
    <m/>
    <m/>
    <m/>
    <m/>
    <n v="-76.655770000000004"/>
    <n v="3.3544999999999998"/>
    <n v="10"/>
    <n v="0"/>
    <n v="12"/>
    <n v="-76.655185000000003"/>
    <n v="3.3539916669999998"/>
    <n v="7"/>
    <n v="0"/>
    <n v="10"/>
    <s v="Arbustivo 1.5-5 m"/>
    <s v="Observacion"/>
    <m/>
  </r>
  <r>
    <x v="4"/>
    <x v="2"/>
    <x v="11"/>
    <s v="FCCDT15"/>
    <x v="4"/>
    <d v="2021-10-20T00:00:00"/>
    <d v="1899-12-30T21:15:10"/>
    <n v="-76.653073329999998"/>
    <n v="3.353366667"/>
    <n v="6"/>
    <s v="Derecho"/>
    <s v="Andrea Huesaquillo"/>
    <n v="2511"/>
    <b v="1"/>
    <m/>
    <n v="12"/>
    <n v="0"/>
    <n v="30"/>
    <s v="Rio"/>
    <s v="Bosque Secundario"/>
    <m/>
    <x v="8"/>
    <m/>
    <n v="1"/>
    <m/>
    <m/>
    <m/>
    <m/>
    <m/>
    <s v="llovizna"/>
    <m/>
    <n v="-76.653538330000003"/>
    <n v="3.3532666670000002"/>
    <n v="30"/>
    <n v="0"/>
    <n v="12"/>
    <n v="-76.652914999999993"/>
    <n v="3.353408333"/>
    <n v="30"/>
    <n v="0"/>
    <n v="12"/>
    <s v="Herbaceo 0.3-1.5 m"/>
    <s v="Observacion"/>
    <m/>
  </r>
  <r>
    <x v="4"/>
    <x v="2"/>
    <x v="11"/>
    <s v="FCCDT15"/>
    <x v="4"/>
    <d v="2021-10-20T00:00:00"/>
    <d v="1899-12-30T21:22:17"/>
    <n v="-76.652914999999993"/>
    <n v="3.353408333"/>
    <n v="6"/>
    <s v="Izquierdo"/>
    <s v="Gustavo Rodriguez"/>
    <n v="2517"/>
    <b v="1"/>
    <m/>
    <n v="12"/>
    <n v="0"/>
    <n v="30"/>
    <s v="Sotobosque"/>
    <s v="Bosque Secundario"/>
    <m/>
    <x v="8"/>
    <m/>
    <n v="1"/>
    <m/>
    <m/>
    <m/>
    <m/>
    <m/>
    <s v="llovizna"/>
    <m/>
    <n v="-76.653538330000003"/>
    <n v="3.3532666670000002"/>
    <n v="30"/>
    <n v="0"/>
    <n v="12"/>
    <n v="-76.652914999999993"/>
    <n v="3.353408333"/>
    <n v="30"/>
    <n v="0"/>
    <n v="12"/>
    <s v="Arbustivo 1.5-5 m"/>
    <s v="Observacion"/>
    <m/>
  </r>
  <r>
    <x v="4"/>
    <x v="2"/>
    <x v="10"/>
    <s v="FCCCT18"/>
    <x v="2"/>
    <d v="2021-10-20T00:00:00"/>
    <d v="1899-12-30T18:47:53"/>
    <n v="-76.656268330000003"/>
    <n v="3.3553266669999999"/>
    <n v="6"/>
    <m/>
    <m/>
    <m/>
    <m/>
    <m/>
    <n v="11"/>
    <n v="0.375"/>
    <n v="15"/>
    <m/>
    <m/>
    <m/>
    <x v="0"/>
    <s v="Procesos de remoción en masa"/>
    <n v="0"/>
    <m/>
    <m/>
    <m/>
    <m/>
    <m/>
    <s v="Deslizamiento - empalizada no dejo seguir"/>
    <s v="despejado"/>
    <n v="-76.656631669999996"/>
    <n v="3.35527"/>
    <n v="5"/>
    <n v="0"/>
    <n v="10"/>
    <n v="-76.656268330000003"/>
    <n v="3.3553266669999999"/>
    <n v="25"/>
    <n v="0.75"/>
    <n v="12"/>
    <m/>
    <m/>
    <m/>
  </r>
  <r>
    <x v="4"/>
    <x v="2"/>
    <x v="11"/>
    <s v="FCCDT13"/>
    <x v="2"/>
    <d v="2021-10-20T00:00:00"/>
    <d v="1899-12-30T22:15:33"/>
    <n v="-76.649738330000005"/>
    <n v="3.3526633330000002"/>
    <n v="6"/>
    <s v="Derecho"/>
    <s v="Gustavo Rodriguez"/>
    <n v="2488"/>
    <b v="1"/>
    <m/>
    <n v="13"/>
    <n v="0"/>
    <n v="5.5"/>
    <m/>
    <s v="Bosque Secundario"/>
    <m/>
    <x v="3"/>
    <m/>
    <n v="1"/>
    <m/>
    <m/>
    <m/>
    <m/>
    <m/>
    <s v="Poca actividad"/>
    <m/>
    <n v="-76.650385"/>
    <n v="3.3529116669999999"/>
    <n v="6"/>
    <n v="0"/>
    <n v="12"/>
    <n v="-76.649550000000005"/>
    <n v="3.3526549999999999"/>
    <n v="5"/>
    <n v="0"/>
    <n v="14"/>
    <s v="Arbustivo 1.5-5 m"/>
    <s v="Auditivo"/>
    <m/>
  </r>
  <r>
    <x v="4"/>
    <x v="2"/>
    <x v="10"/>
    <s v="FCCDT17"/>
    <x v="1"/>
    <d v="2021-10-20T00:00:00"/>
    <d v="1899-12-30T19:43:09"/>
    <n v="-76.655801670000002"/>
    <n v="3.354555"/>
    <n v="6"/>
    <s v="Izquierdo"/>
    <s v="Gustavo Rodriguez"/>
    <n v="2556"/>
    <b v="1"/>
    <m/>
    <n v="13.5"/>
    <n v="0"/>
    <n v="10"/>
    <s v="Sotobosque"/>
    <s v="Bosque Secundario"/>
    <m/>
    <x v="8"/>
    <m/>
    <n v="2"/>
    <m/>
    <m/>
    <m/>
    <m/>
    <m/>
    <m/>
    <m/>
    <n v="-76.656450000000007"/>
    <n v="3.3550900000000001"/>
    <n v="5"/>
    <n v="0"/>
    <n v="15"/>
    <n v="-76.655801670000002"/>
    <n v="3.354555"/>
    <n v="15"/>
    <n v="0"/>
    <n v="12"/>
    <s v="Herbaceo 0.3-1.5 m"/>
    <s v="Observacion"/>
    <m/>
  </r>
  <r>
    <x v="4"/>
    <x v="2"/>
    <x v="10"/>
    <s v="FCCDT17"/>
    <x v="1"/>
    <d v="2021-10-20T00:00:00"/>
    <d v="1899-12-30T19:43:09"/>
    <n v="-76.655801670000002"/>
    <n v="3.354555"/>
    <n v="6"/>
    <s v="Derecho"/>
    <s v="Hernan Montoya"/>
    <n v="2556"/>
    <b v="1"/>
    <m/>
    <n v="13.5"/>
    <n v="0"/>
    <n v="10"/>
    <s v="Sotobosque"/>
    <s v="Bosque Secundario"/>
    <m/>
    <x v="8"/>
    <m/>
    <n v="2"/>
    <m/>
    <m/>
    <m/>
    <m/>
    <m/>
    <m/>
    <m/>
    <n v="-76.656450000000007"/>
    <n v="3.3550900000000001"/>
    <n v="5"/>
    <n v="0"/>
    <n v="15"/>
    <n v="-76.655801670000002"/>
    <n v="3.354555"/>
    <n v="15"/>
    <n v="0"/>
    <n v="12"/>
    <s v="Herbaceo 0.3-1.5 m"/>
    <s v="Observacion"/>
    <m/>
  </r>
  <r>
    <x v="4"/>
    <x v="2"/>
    <x v="10"/>
    <s v="FCCDT17"/>
    <x v="1"/>
    <d v="2021-10-20T00:00:00"/>
    <d v="1899-12-30T19:03:43"/>
    <n v="-76.656154999999998"/>
    <n v="3.3549150000000001"/>
    <n v="6"/>
    <s v="Izquierdo"/>
    <s v="Gustavo Rodriguez"/>
    <n v="2556"/>
    <b v="1"/>
    <m/>
    <n v="13.5"/>
    <n v="0"/>
    <n v="10"/>
    <m/>
    <s v="Bosque Secundario"/>
    <s v="auditivo"/>
    <x v="3"/>
    <m/>
    <n v="1"/>
    <m/>
    <m/>
    <m/>
    <m/>
    <m/>
    <m/>
    <m/>
    <n v="-76.656450000000007"/>
    <n v="3.3550900000000001"/>
    <n v="5"/>
    <n v="0"/>
    <n v="15"/>
    <n v="-76.655801670000002"/>
    <n v="3.354555"/>
    <n v="15"/>
    <n v="0"/>
    <n v="12"/>
    <m/>
    <s v="Auditivo"/>
    <m/>
  </r>
  <r>
    <x v="4"/>
    <x v="2"/>
    <x v="10"/>
    <s v="FCCDT17"/>
    <x v="1"/>
    <d v="2021-10-20T00:00:00"/>
    <d v="1899-12-30T19:29:40"/>
    <n v="-76.655851670000004"/>
    <n v="3.3546999999999998"/>
    <n v="6"/>
    <s v="Derecho"/>
    <s v="Gustavo Rodriguez"/>
    <n v="2556"/>
    <b v="1"/>
    <m/>
    <n v="13.5"/>
    <n v="0"/>
    <n v="10"/>
    <s v="Sotobosque"/>
    <s v="Bosque Secundario"/>
    <m/>
    <x v="8"/>
    <m/>
    <n v="1"/>
    <m/>
    <m/>
    <m/>
    <m/>
    <m/>
    <m/>
    <m/>
    <n v="-76.656450000000007"/>
    <n v="3.3550900000000001"/>
    <n v="5"/>
    <n v="0"/>
    <n v="15"/>
    <n v="-76.655801670000002"/>
    <n v="3.354555"/>
    <n v="15"/>
    <n v="0"/>
    <n v="12"/>
    <s v="Herbaceo 0.3-1.5 m"/>
    <s v="Observacion"/>
    <m/>
  </r>
  <r>
    <x v="4"/>
    <x v="2"/>
    <x v="11"/>
    <s v="FCCDT12"/>
    <x v="1"/>
    <d v="2021-10-20T00:00:00"/>
    <d v="1899-12-30T22:30:06"/>
    <n v="-76.649193330000003"/>
    <n v="3.35276"/>
    <n v="6"/>
    <s v="Izquierdo"/>
    <s v="Gustavo Rodriguez"/>
    <n v="2470"/>
    <b v="1"/>
    <m/>
    <n v="12.5"/>
    <n v="0"/>
    <n v="6"/>
    <s v="Sotobosque"/>
    <s v="Bosque Secundario"/>
    <m/>
    <x v="3"/>
    <m/>
    <n v="1"/>
    <m/>
    <m/>
    <m/>
    <m/>
    <m/>
    <s v="Poca actividad"/>
    <m/>
    <n v="-76.649413330000002"/>
    <n v="3.3526400000000001"/>
    <n v="5"/>
    <n v="0"/>
    <n v="15"/>
    <n v="-76.64864"/>
    <n v="3.3521749999999999"/>
    <n v="7"/>
    <n v="0"/>
    <n v="10"/>
    <s v="Rasante &lt;0.3 m"/>
    <s v="Observacion"/>
    <m/>
  </r>
  <r>
    <x v="4"/>
    <x v="2"/>
    <x v="11"/>
    <s v="FCCDT12"/>
    <x v="1"/>
    <d v="2021-10-20T00:00:00"/>
    <d v="1899-12-30T22:24:43"/>
    <n v="-76.649418330000003"/>
    <n v="3.3525933330000002"/>
    <n v="6"/>
    <s v="Derecho"/>
    <s v="Gustavo Rodriguez"/>
    <n v="2488"/>
    <b v="1"/>
    <m/>
    <n v="12.5"/>
    <n v="0"/>
    <n v="6"/>
    <s v="Sotobosque"/>
    <s v="Bosque Secundario"/>
    <s v="Foto 7090"/>
    <x v="17"/>
    <m/>
    <n v="1"/>
    <m/>
    <m/>
    <m/>
    <m/>
    <m/>
    <m/>
    <m/>
    <n v="-76.649413330000002"/>
    <n v="3.3526400000000001"/>
    <n v="5"/>
    <n v="0"/>
    <n v="15"/>
    <n v="-76.64864"/>
    <n v="3.3521749999999999"/>
    <n v="7"/>
    <n v="0"/>
    <n v="10"/>
    <s v="Herbaceo 0.3-1.5 m"/>
    <s v="Observacion"/>
    <m/>
  </r>
  <r>
    <x v="4"/>
    <x v="2"/>
    <x v="11"/>
    <s v="FCCDT11"/>
    <x v="0"/>
    <d v="2021-10-20T00:00:00"/>
    <d v="1899-12-30T22:51:00"/>
    <n v="-76.647988330000004"/>
    <n v="3.3522249999999998"/>
    <n v="6"/>
    <s v="Izquierdo"/>
    <s v="Andrea Huesaquillo"/>
    <n v="2446"/>
    <b v="1"/>
    <m/>
    <n v="9"/>
    <n v="0"/>
    <n v="9.5"/>
    <s v="Sotobosque"/>
    <s v="Bosque Secundario"/>
    <m/>
    <x v="3"/>
    <m/>
    <n v="1"/>
    <m/>
    <m/>
    <m/>
    <m/>
    <m/>
    <s v="Poca actividad"/>
    <m/>
    <n v="-76.648498329999995"/>
    <n v="3.3523333329999998"/>
    <n v="7"/>
    <n v="0"/>
    <n v="10"/>
    <n v="-76.647771669999997"/>
    <n v="3.3518883330000002"/>
    <n v="12"/>
    <n v="0"/>
    <n v="8"/>
    <s v="Herbaceo 0.3-1.5 m"/>
    <s v="Observacion"/>
    <m/>
  </r>
  <r>
    <x v="4"/>
    <x v="2"/>
    <x v="11"/>
    <s v="FCCDT11"/>
    <x v="0"/>
    <d v="2021-10-20T00:00:00"/>
    <d v="1899-12-30T23:16:30"/>
    <n v="-76.647988330000004"/>
    <n v="3.3523499999999999"/>
    <n v="6"/>
    <s v="Izquierdo"/>
    <s v="Gustavo Rodriguez"/>
    <n v="2460"/>
    <b v="1"/>
    <m/>
    <n v="9"/>
    <n v="0"/>
    <n v="9.5"/>
    <s v="Sotobosque"/>
    <s v="Bosque Secundario"/>
    <s v="Foto 7090"/>
    <x v="17"/>
    <m/>
    <n v="1"/>
    <m/>
    <m/>
    <m/>
    <m/>
    <m/>
    <m/>
    <m/>
    <n v="-76.648498329999995"/>
    <n v="3.3523333329999998"/>
    <n v="7"/>
    <n v="0"/>
    <n v="10"/>
    <n v="-76.647771669999997"/>
    <n v="3.3518883330000002"/>
    <n v="12"/>
    <n v="0"/>
    <n v="8"/>
    <s v="Herbaceo 0.3-1.5 m"/>
    <s v="Observacion"/>
    <m/>
  </r>
  <r>
    <x v="4"/>
    <x v="1"/>
    <x v="17"/>
    <s v="FCTDT23"/>
    <x v="2"/>
    <d v="2021-11-17T00:00:00"/>
    <d v="1899-12-30T19:58:42"/>
    <n v="-76.725880000000004"/>
    <n v="3.499316667"/>
    <n v="6"/>
    <m/>
    <m/>
    <n v="1794"/>
    <m/>
    <m/>
    <n v="6"/>
    <n v="0"/>
    <n v="9"/>
    <m/>
    <m/>
    <m/>
    <x v="0"/>
    <m/>
    <n v="0"/>
    <m/>
    <m/>
    <m/>
    <m/>
    <m/>
    <s v="Brisa fuerte"/>
    <m/>
    <n v="-76.725243329999998"/>
    <n v="3.4996866670000002"/>
    <n v="10"/>
    <n v="0"/>
    <n v="6"/>
    <n v="-76.725880000000004"/>
    <n v="3.499316667"/>
    <n v="8"/>
    <n v="0"/>
    <n v="6"/>
    <m/>
    <m/>
    <m/>
  </r>
  <r>
    <x v="4"/>
    <x v="1"/>
    <x v="17"/>
    <s v="FCTDT22"/>
    <x v="1"/>
    <d v="2021-11-17T00:00:00"/>
    <d v="1899-12-30T20:06:27"/>
    <n v="-76.726023330000004"/>
    <n v="3.4991466670000002"/>
    <n v="6"/>
    <s v="Derecho"/>
    <s v="Gustavo Rodriguez"/>
    <n v="1790"/>
    <m/>
    <b v="1"/>
    <n v="8.5"/>
    <n v="2"/>
    <n v="7.5"/>
    <s v="Sotobosque"/>
    <s v="Bosque Secundario"/>
    <m/>
    <x v="7"/>
    <m/>
    <n v="4"/>
    <m/>
    <m/>
    <m/>
    <m/>
    <m/>
    <m/>
    <s v="Brisa suave"/>
    <n v="-76.726023330000004"/>
    <n v="3.4991466670000002"/>
    <n v="5"/>
    <n v="4"/>
    <n v="9"/>
    <n v="-76.726264999999998"/>
    <n v="3.499933333"/>
    <n v="10"/>
    <n v="0"/>
    <n v="8"/>
    <s v="Arbustivo 1.5-5 m"/>
    <s v="Auditivo"/>
    <m/>
  </r>
  <r>
    <x v="4"/>
    <x v="1"/>
    <x v="17"/>
    <s v="FCTDT22"/>
    <x v="1"/>
    <d v="2021-11-17T00:00:00"/>
    <d v="1899-12-30T20:21:58"/>
    <n v="-76.726150000000004"/>
    <n v="3.4996333329999998"/>
    <n v="6"/>
    <s v="Derecho"/>
    <s v="Gustavo Rodriguez"/>
    <n v="1790"/>
    <m/>
    <b v="1"/>
    <n v="8.5"/>
    <n v="2"/>
    <n v="7.5"/>
    <s v="Sotobosque"/>
    <s v="Bosque Secundario"/>
    <m/>
    <x v="7"/>
    <m/>
    <n v="2"/>
    <m/>
    <m/>
    <m/>
    <m/>
    <m/>
    <m/>
    <s v="Luna llena"/>
    <n v="-76.726023330000004"/>
    <n v="3.4991466670000002"/>
    <n v="5"/>
    <n v="4"/>
    <n v="9"/>
    <n v="-76.726264999999998"/>
    <n v="3.499933333"/>
    <n v="10"/>
    <n v="0"/>
    <n v="8"/>
    <s v="Arbustivo 1.5-5 m"/>
    <s v="Auditivo"/>
    <m/>
  </r>
  <r>
    <x v="4"/>
    <x v="1"/>
    <x v="17"/>
    <s v="FCTDT22"/>
    <x v="1"/>
    <d v="2021-11-17T00:00:00"/>
    <d v="1899-12-30T20:42:15"/>
    <n v="-76.726264999999998"/>
    <n v="3.499933333"/>
    <n v="6"/>
    <s v="Izquierdo"/>
    <s v="Gustavo Rodriguez"/>
    <n v="1790"/>
    <b v="1"/>
    <m/>
    <n v="8.5"/>
    <n v="2"/>
    <n v="7.5"/>
    <s v="Sotobosque"/>
    <s v="Bosque Secundario"/>
    <m/>
    <x v="3"/>
    <m/>
    <n v="1"/>
    <m/>
    <m/>
    <m/>
    <m/>
    <m/>
    <m/>
    <m/>
    <n v="-76.726023330000004"/>
    <n v="3.4991466670000002"/>
    <n v="5"/>
    <n v="4"/>
    <n v="9"/>
    <n v="-76.726264999999998"/>
    <n v="3.499933333"/>
    <n v="10"/>
    <n v="0"/>
    <n v="8"/>
    <s v="Herbaceo 0.3-1.5 m"/>
    <s v="Observacion"/>
    <m/>
  </r>
  <r>
    <x v="4"/>
    <x v="0"/>
    <x v="3"/>
    <s v="FCMDT21"/>
    <x v="1"/>
    <d v="2021-11-17T00:00:00"/>
    <d v="1899-12-30T20:54:22"/>
    <n v="-76.726500000000001"/>
    <n v="3.5001600000000002"/>
    <n v="6"/>
    <s v="Izquierdo"/>
    <s v="Gustavo Rodriguez"/>
    <n v="1790"/>
    <b v="1"/>
    <m/>
    <n v="6"/>
    <n v="0"/>
    <n v="6.5"/>
    <s v="Sotobosque"/>
    <s v="Bosque Secundario"/>
    <m/>
    <x v="18"/>
    <m/>
    <n v="1"/>
    <m/>
    <m/>
    <m/>
    <m/>
    <m/>
    <m/>
    <s v="Brisa luna llena"/>
    <n v="-76.726311670000001"/>
    <n v="3.5000450000000001"/>
    <n v="5"/>
    <n v="0"/>
    <n v="8"/>
    <n v="-76.726856670000004"/>
    <n v="3.5003150000000001"/>
    <n v="8"/>
    <n v="0"/>
    <n v="4"/>
    <s v="Herbaceo 0.3-1.5 m"/>
    <s v="Observacion"/>
    <m/>
  </r>
  <r>
    <x v="4"/>
    <x v="1"/>
    <x v="5"/>
    <s v="FCTCT6"/>
    <x v="0"/>
    <d v="2021-11-18T00:00:00"/>
    <d v="1899-12-30T12:20:44"/>
    <n v="-76.723321670000004"/>
    <n v="3.4832299999999998"/>
    <n v="6"/>
    <m/>
    <m/>
    <m/>
    <m/>
    <m/>
    <n v="7"/>
    <n v="0"/>
    <n v="6"/>
    <m/>
    <m/>
    <m/>
    <x v="0"/>
    <s v="Residuos solidos"/>
    <n v="0"/>
    <m/>
    <m/>
    <m/>
    <m/>
    <m/>
    <s v="Muestreo Diurno"/>
    <m/>
    <n v="-76.723451670000003"/>
    <n v="3.4833616670000001"/>
    <n v="7"/>
    <n v="0"/>
    <n v="7"/>
    <n v="-76.72295167"/>
    <n v="3.4826516669999998"/>
    <n v="5"/>
    <n v="0"/>
    <n v="7"/>
    <m/>
    <m/>
    <m/>
  </r>
  <r>
    <x v="4"/>
    <x v="1"/>
    <x v="5"/>
    <s v="FCTCT8"/>
    <x v="2"/>
    <d v="2021-11-18T00:00:00"/>
    <d v="1899-12-30T11:26:16"/>
    <n v="-76.723218329999995"/>
    <n v="3.4839983330000002"/>
    <n v="6"/>
    <m/>
    <m/>
    <m/>
    <m/>
    <m/>
    <n v="7.5"/>
    <n v="0"/>
    <n v="5"/>
    <m/>
    <m/>
    <m/>
    <x v="0"/>
    <s v="Procesos de remoción en masa - Residuos solidos"/>
    <n v="0"/>
    <m/>
    <m/>
    <m/>
    <m/>
    <m/>
    <s v="Muestreo Diurno"/>
    <s v="llovizna fuerte"/>
    <n v="-76.723033330000007"/>
    <n v="3.4839483329999998"/>
    <n v="5"/>
    <n v="0"/>
    <n v="7"/>
    <n v="-76.723793330000007"/>
    <n v="3.485128333"/>
    <n v="5"/>
    <n v="0"/>
    <n v="8"/>
    <m/>
    <m/>
    <m/>
  </r>
  <r>
    <x v="4"/>
    <x v="1"/>
    <x v="5"/>
    <s v="FCTCT9"/>
    <x v="3"/>
    <d v="2021-11-18T00:00:00"/>
    <d v="1899-12-30T11:17:59"/>
    <n v="-76.722111670000004"/>
    <n v="3.4844650000000001"/>
    <n v="6"/>
    <m/>
    <m/>
    <n v="1986"/>
    <m/>
    <m/>
    <n v="5"/>
    <n v="0"/>
    <n v="6.5"/>
    <m/>
    <m/>
    <m/>
    <x v="0"/>
    <m/>
    <n v="0"/>
    <m/>
    <m/>
    <m/>
    <m/>
    <m/>
    <s v="Muestreo Diurno"/>
    <m/>
    <n v="-76.721393329999998"/>
    <n v="3.4849800000000002"/>
    <n v="7"/>
    <n v="0"/>
    <n v="4"/>
    <n v="-76.722111670000004"/>
    <n v="3.4844650000000001"/>
    <n v="6"/>
    <n v="0"/>
    <n v="6"/>
    <m/>
    <m/>
    <m/>
  </r>
  <r>
    <x v="4"/>
    <x v="1"/>
    <x v="5"/>
    <s v="FCTCT7"/>
    <x v="1"/>
    <d v="2021-11-18T00:00:00"/>
    <d v="1899-12-30T12:13:42"/>
    <n v="-76.72368333"/>
    <n v="3.4834933330000002"/>
    <n v="6"/>
    <s v="Izquierdo"/>
    <s v="Gustavo Rodriguez"/>
    <n v="2019"/>
    <b v="1"/>
    <m/>
    <n v="7"/>
    <n v="0"/>
    <n v="9"/>
    <s v="Hojarasca"/>
    <s v="Bosque Secundario"/>
    <m/>
    <x v="4"/>
    <m/>
    <n v="1"/>
    <m/>
    <m/>
    <m/>
    <m/>
    <m/>
    <s v="muestreo Diurno, llovizna"/>
    <m/>
    <n v="-76.72384667"/>
    <n v="3.4841583329999999"/>
    <n v="10"/>
    <n v="0"/>
    <n v="8"/>
    <n v="-76.72368333"/>
    <n v="3.4834933330000002"/>
    <n v="8"/>
    <n v="0"/>
    <n v="6"/>
    <s v="Rasante &lt;0.3 m"/>
    <s v="Observacion"/>
    <m/>
  </r>
  <r>
    <x v="4"/>
    <x v="1"/>
    <x v="7"/>
    <s v="FCTBT16"/>
    <x v="1"/>
    <d v="2021-11-17T00:00:00"/>
    <d v="1899-12-30T11:22:52"/>
    <n v="-76.714595000000003"/>
    <n v="3.4872366669999999"/>
    <n v="6"/>
    <m/>
    <m/>
    <n v="1841"/>
    <m/>
    <m/>
    <n v="8.5"/>
    <n v="3"/>
    <n v="5"/>
    <m/>
    <m/>
    <m/>
    <x v="0"/>
    <m/>
    <n v="0"/>
    <m/>
    <m/>
    <m/>
    <m/>
    <m/>
    <s v="Muestreo Diurno, actividad nula"/>
    <m/>
    <n v="-76.714236670000005"/>
    <n v="3.4876183329999999"/>
    <n v="5"/>
    <n v="2.5"/>
    <n v="9"/>
    <n v="-76.714595000000003"/>
    <n v="3.4872366669999999"/>
    <n v="5"/>
    <n v="3.5"/>
    <n v="8"/>
    <m/>
    <m/>
    <m/>
  </r>
  <r>
    <x v="4"/>
    <x v="1"/>
    <x v="7"/>
    <s v="FCTBT15"/>
    <x v="0"/>
    <d v="2021-11-17T00:00:00"/>
    <d v="1899-12-30T10:53:35"/>
    <n v="-76.713825"/>
    <n v="3.487656667"/>
    <n v="6"/>
    <m/>
    <m/>
    <m/>
    <m/>
    <m/>
    <n v="8"/>
    <n v="2.75"/>
    <n v="5"/>
    <m/>
    <m/>
    <m/>
    <x v="0"/>
    <s v="Deforestación"/>
    <n v="0"/>
    <m/>
    <m/>
    <m/>
    <m/>
    <m/>
    <s v="Limpieza de potrero y apertura de vía al lado de quebrada"/>
    <m/>
    <n v="-76.713729999999998"/>
    <n v="3.488101667"/>
    <n v="5"/>
    <n v="2.5"/>
    <n v="7"/>
    <n v="-76.713825"/>
    <n v="3.487656667"/>
    <n v="5"/>
    <n v="3"/>
    <n v="9"/>
    <m/>
    <m/>
    <m/>
  </r>
  <r>
    <x v="4"/>
    <x v="1"/>
    <x v="7"/>
    <s v="FCTBT17"/>
    <x v="2"/>
    <d v="2021-11-17T00:00:00"/>
    <d v="1899-12-30T11:31:31"/>
    <n v="-76.714714999999998"/>
    <n v="3.4870716669999999"/>
    <n v="6"/>
    <m/>
    <m/>
    <m/>
    <m/>
    <m/>
    <n v="7.5"/>
    <n v="1.5"/>
    <n v="6"/>
    <m/>
    <m/>
    <m/>
    <x v="0"/>
    <s v="Residuos solidos"/>
    <n v="0"/>
    <m/>
    <m/>
    <m/>
    <m/>
    <m/>
    <s v="Muestreo Diurno"/>
    <m/>
    <n v="-76.714659999999995"/>
    <n v="3.4872083329999999"/>
    <n v="5"/>
    <n v="3"/>
    <n v="10"/>
    <n v="-76.714948329999999"/>
    <n v="3.4870049999999999"/>
    <n v="7"/>
    <n v="0"/>
    <n v="5"/>
    <m/>
    <m/>
    <m/>
  </r>
  <r>
    <x v="4"/>
    <x v="0"/>
    <x v="3"/>
    <s v="FCMDT20"/>
    <x v="0"/>
    <d v="2021-10-27T00:00:00"/>
    <d v="1899-12-30T21:25:10"/>
    <n v="-76.678449999999998"/>
    <n v="3.401878333"/>
    <n v="6"/>
    <s v="Derecho"/>
    <s v="Gustavo Rodriguez"/>
    <n v="3017"/>
    <b v="1"/>
    <m/>
    <n v="10"/>
    <n v="0"/>
    <n v="31"/>
    <s v="Sotobosque"/>
    <s v="Bosque Primario"/>
    <m/>
    <x v="12"/>
    <m/>
    <n v="1"/>
    <m/>
    <m/>
    <m/>
    <m/>
    <m/>
    <m/>
    <m/>
    <n v="-76.678436669999996"/>
    <n v="3.4016316670000002"/>
    <n v="5"/>
    <n v="0"/>
    <n v="12"/>
    <n v="-76.67801"/>
    <n v="3.4023666669999999"/>
    <n v="57"/>
    <n v="0"/>
    <n v="8"/>
    <s v="Herbaceo 0.3-1.5 m"/>
    <s v="Observacion"/>
    <m/>
  </r>
  <r>
    <x v="4"/>
    <x v="0"/>
    <x v="3"/>
    <s v="FCMDT20"/>
    <x v="0"/>
    <d v="2021-10-27T00:00:00"/>
    <d v="1899-12-30T21:34:29"/>
    <n v="-76.678078330000005"/>
    <n v="3.4023783330000001"/>
    <n v="6"/>
    <s v="Izquierdo"/>
    <s v="Danny Mora"/>
    <n v="3029"/>
    <b v="1"/>
    <m/>
    <n v="10"/>
    <n v="0"/>
    <n v="31"/>
    <s v="Sotobosque"/>
    <s v="Bosque Primario"/>
    <m/>
    <x v="12"/>
    <m/>
    <n v="1"/>
    <m/>
    <m/>
    <m/>
    <m/>
    <m/>
    <m/>
    <s v="despejado"/>
    <n v="-76.678436669999996"/>
    <n v="3.4016316670000002"/>
    <n v="5"/>
    <n v="0"/>
    <n v="12"/>
    <n v="-76.67801"/>
    <n v="3.4023666669999999"/>
    <n v="57"/>
    <n v="0"/>
    <n v="8"/>
    <s v="Herbaceo 0.3-1.5 m"/>
    <s v="Observacion"/>
    <m/>
  </r>
  <r>
    <x v="4"/>
    <x v="0"/>
    <x v="2"/>
    <s v="FCMDT17"/>
    <x v="0"/>
    <d v="2021-10-27T00:00:00"/>
    <d v="1899-12-30T19:43:31"/>
    <n v="-76.680458329999993"/>
    <n v="3.4013100000000001"/>
    <n v="6"/>
    <s v="Izquierdo"/>
    <s v="Gustavo Rodriguez"/>
    <n v="3033"/>
    <m/>
    <b v="1"/>
    <n v="11"/>
    <n v="0"/>
    <n v="12.5"/>
    <s v="Epifita"/>
    <s v="Bosque Primario"/>
    <m/>
    <x v="41"/>
    <m/>
    <n v="1"/>
    <m/>
    <m/>
    <m/>
    <m/>
    <m/>
    <m/>
    <m/>
    <n v="-76.680926670000005"/>
    <n v="3.40157"/>
    <n v="15"/>
    <n v="0"/>
    <n v="12"/>
    <n v="-76.680329999999998"/>
    <n v="3.4011049999999998"/>
    <n v="10"/>
    <n v="0"/>
    <n v="10"/>
    <s v="Subarboreo 5-12 m"/>
    <s v="Auditivo"/>
    <m/>
  </r>
  <r>
    <x v="4"/>
    <x v="0"/>
    <x v="2"/>
    <s v="FCMDT17"/>
    <x v="0"/>
    <d v="2021-10-27T00:00:00"/>
    <d v="1899-12-30T19:28:24"/>
    <n v="-76.680390000000003"/>
    <n v="3.4012199999999999"/>
    <n v="6"/>
    <s v="Derecho"/>
    <s v="Gustavo Rodriguez"/>
    <n v="3033"/>
    <b v="1"/>
    <m/>
    <n v="11"/>
    <n v="0"/>
    <n v="12.5"/>
    <s v="Sotobosque"/>
    <s v="Bosque Primario"/>
    <m/>
    <x v="10"/>
    <m/>
    <n v="1"/>
    <m/>
    <m/>
    <m/>
    <m/>
    <m/>
    <m/>
    <m/>
    <n v="-76.680926670000005"/>
    <n v="3.40157"/>
    <n v="15"/>
    <n v="0"/>
    <n v="12"/>
    <n v="-76.680329999999998"/>
    <n v="3.4011049999999998"/>
    <n v="10"/>
    <n v="0"/>
    <n v="10"/>
    <s v="Herbaceo 0.3-1.5 m"/>
    <s v="Observacion"/>
    <m/>
  </r>
  <r>
    <x v="4"/>
    <x v="0"/>
    <x v="2"/>
    <s v="FCMDT17"/>
    <x v="0"/>
    <d v="2021-10-27T00:00:00"/>
    <d v="1899-12-30T19:51:10"/>
    <n v="-76.680329999999998"/>
    <n v="3.4011049999999998"/>
    <n v="6"/>
    <s v="Izquierdo"/>
    <s v="Danny Mora"/>
    <n v="3037"/>
    <b v="1"/>
    <m/>
    <n v="11"/>
    <n v="0"/>
    <n v="12.5"/>
    <s v="Sotobosque"/>
    <s v="Bosque Primario"/>
    <m/>
    <x v="13"/>
    <m/>
    <n v="1"/>
    <m/>
    <m/>
    <m/>
    <m/>
    <m/>
    <m/>
    <m/>
    <n v="-76.680926670000005"/>
    <n v="3.40157"/>
    <n v="15"/>
    <n v="0"/>
    <n v="12"/>
    <n v="-76.680329999999998"/>
    <n v="3.4011049999999998"/>
    <n v="10"/>
    <n v="0"/>
    <n v="10"/>
    <s v="Rasante &lt;0.3 m"/>
    <s v="Observacion"/>
    <m/>
  </r>
  <r>
    <x v="4"/>
    <x v="0"/>
    <x v="2"/>
    <s v="FCMDT17"/>
    <x v="0"/>
    <d v="2021-10-27T00:00:00"/>
    <d v="1899-12-30T19:51:10"/>
    <n v="-76.680329999999998"/>
    <n v="3.4011049999999998"/>
    <n v="6"/>
    <s v="Izquierdo"/>
    <s v="Danny Mora"/>
    <n v="3037"/>
    <b v="1"/>
    <m/>
    <n v="11"/>
    <n v="0"/>
    <n v="12.5"/>
    <s v="Sotobosque"/>
    <s v="Bosque Primario"/>
    <m/>
    <x v="13"/>
    <m/>
    <n v="1"/>
    <m/>
    <m/>
    <m/>
    <m/>
    <m/>
    <m/>
    <m/>
    <n v="-76.680926670000005"/>
    <n v="3.40157"/>
    <n v="15"/>
    <n v="0"/>
    <n v="12"/>
    <n v="-76.680329999999998"/>
    <n v="3.4011049999999998"/>
    <n v="10"/>
    <n v="0"/>
    <n v="10"/>
    <s v="Herbaceo 0.3-1.5 m"/>
    <s v="Observacion"/>
    <m/>
  </r>
  <r>
    <x v="4"/>
    <x v="0"/>
    <x v="2"/>
    <s v="FCMDT19"/>
    <x v="2"/>
    <d v="2021-10-27T00:00:00"/>
    <d v="1899-12-30T20:47:33"/>
    <n v="-76.678974999999994"/>
    <n v="3.4006916669999998"/>
    <n v="6"/>
    <s v="Izquierdo"/>
    <s v="Danny Mora"/>
    <n v="3004"/>
    <m/>
    <b v="1"/>
    <n v="9"/>
    <n v="0"/>
    <n v="11"/>
    <s v="Sotobosque"/>
    <s v="Bosque Primario"/>
    <m/>
    <x v="41"/>
    <m/>
    <n v="2"/>
    <m/>
    <m/>
    <m/>
    <m/>
    <m/>
    <m/>
    <m/>
    <n v="-76.679086670000004"/>
    <n v="3.4007450000000001"/>
    <n v="15"/>
    <n v="0"/>
    <n v="8"/>
    <n v="-76.678691670000006"/>
    <n v="3.4014766669999998"/>
    <n v="7"/>
    <n v="0"/>
    <n v="10"/>
    <s v="Herbaceo 0.3-1.5 m"/>
    <s v="Observacion"/>
    <m/>
  </r>
  <r>
    <x v="4"/>
    <x v="0"/>
    <x v="2"/>
    <s v="FCMDT19"/>
    <x v="2"/>
    <d v="2021-10-27T00:00:00"/>
    <d v="1899-12-30T21:15:31"/>
    <n v="-76.678711669999998"/>
    <n v="3.4011816669999999"/>
    <n v="6"/>
    <s v="Derecho"/>
    <s v="Danny Mora"/>
    <n v="3004"/>
    <b v="1"/>
    <m/>
    <n v="9"/>
    <n v="0"/>
    <n v="11"/>
    <s v="Sotobosque"/>
    <s v="Bosque Primario"/>
    <s v="Revisar foto 7116"/>
    <x v="12"/>
    <m/>
    <n v="1"/>
    <m/>
    <m/>
    <m/>
    <m/>
    <m/>
    <m/>
    <m/>
    <n v="-76.679086670000004"/>
    <n v="3.4007450000000001"/>
    <n v="15"/>
    <n v="0"/>
    <n v="8"/>
    <n v="-76.678691670000006"/>
    <n v="3.4014766669999998"/>
    <n v="7"/>
    <n v="0"/>
    <n v="10"/>
    <s v="Herbaceo 0.3-1.5 m"/>
    <s v="Observacion"/>
    <m/>
  </r>
  <r>
    <x v="4"/>
    <x v="0"/>
    <x v="2"/>
    <s v="FCMDT18"/>
    <x v="1"/>
    <d v="2021-10-27T00:00:00"/>
    <d v="1899-12-30T20:09:06"/>
    <n v="-76.679869999999994"/>
    <n v="3.400658333"/>
    <n v="6"/>
    <s v="Derecho"/>
    <s v="Gustavo Rodriguez"/>
    <n v="3033"/>
    <b v="1"/>
    <m/>
    <n v="14"/>
    <n v="0"/>
    <n v="7.5"/>
    <s v="Sotobosque"/>
    <s v="Bosque Primario"/>
    <m/>
    <x v="12"/>
    <m/>
    <n v="1"/>
    <m/>
    <m/>
    <m/>
    <m/>
    <m/>
    <m/>
    <m/>
    <n v="-76.680168330000001"/>
    <n v="3.4010983330000002"/>
    <n v="5"/>
    <n v="0"/>
    <n v="18"/>
    <n v="-76.679281669999995"/>
    <n v="3.4007033330000001"/>
    <n v="10"/>
    <n v="0"/>
    <n v="10"/>
    <s v="Herbaceo 0.3-1.5 m"/>
    <s v="Observacion"/>
    <m/>
  </r>
  <r>
    <x v="4"/>
    <x v="0"/>
    <x v="2"/>
    <s v="FCMDT18"/>
    <x v="1"/>
    <d v="2021-10-27T00:00:00"/>
    <d v="1899-12-30T20:15:39"/>
    <n v="-76.679834999999997"/>
    <n v="3.4008883330000002"/>
    <n v="6"/>
    <s v="Derecho"/>
    <s v="Danny Mora"/>
    <n v="3009"/>
    <b v="1"/>
    <m/>
    <n v="14"/>
    <n v="0"/>
    <n v="7.5"/>
    <s v="Sotobosque"/>
    <s v="Bosque Primario"/>
    <m/>
    <x v="10"/>
    <m/>
    <n v="2"/>
    <m/>
    <m/>
    <m/>
    <m/>
    <m/>
    <m/>
    <m/>
    <n v="-76.680168330000001"/>
    <n v="3.4010983330000002"/>
    <n v="5"/>
    <n v="0"/>
    <n v="18"/>
    <n v="-76.679281669999995"/>
    <n v="3.4007033330000001"/>
    <n v="10"/>
    <n v="0"/>
    <n v="10"/>
    <s v="Herbaceo 0.3-1.5 m"/>
    <s v="Observacion"/>
    <m/>
  </r>
  <r>
    <x v="4"/>
    <x v="0"/>
    <x v="2"/>
    <s v="FCMDT18"/>
    <x v="1"/>
    <d v="2021-10-27T00:00:00"/>
    <d v="1899-12-30T20:27:53"/>
    <n v="-76.679318330000001"/>
    <n v="3.4008099999999999"/>
    <n v="6"/>
    <s v="Derecho"/>
    <s v="Gustavo Rodriguez"/>
    <n v="3007"/>
    <b v="1"/>
    <m/>
    <n v="14"/>
    <n v="0"/>
    <n v="7.5"/>
    <s v="Sotobosque"/>
    <s v="Bosque Primario"/>
    <m/>
    <x v="12"/>
    <m/>
    <n v="1"/>
    <m/>
    <m/>
    <m/>
    <m/>
    <m/>
    <m/>
    <m/>
    <n v="-76.680168330000001"/>
    <n v="3.4010983330000002"/>
    <n v="5"/>
    <n v="0"/>
    <n v="18"/>
    <n v="-76.679281669999995"/>
    <n v="3.4007033330000001"/>
    <n v="10"/>
    <n v="0"/>
    <n v="10"/>
    <s v="Herbaceo 0.3-1.5 m"/>
    <s v="Observacion"/>
    <m/>
  </r>
  <r>
    <x v="4"/>
    <x v="0"/>
    <x v="2"/>
    <s v="FCMDT18"/>
    <x v="1"/>
    <d v="2021-10-27T00:00:00"/>
    <d v="1899-12-30T20:27:53"/>
    <n v="-76.679318330000001"/>
    <n v="3.4008099999999999"/>
    <n v="6"/>
    <s v="Derecho"/>
    <s v="Danny Mora"/>
    <n v="3007"/>
    <b v="1"/>
    <m/>
    <n v="14"/>
    <n v="0"/>
    <n v="7.5"/>
    <s v="Sotobosque"/>
    <s v="Bosque Primario"/>
    <m/>
    <x v="12"/>
    <m/>
    <n v="1"/>
    <m/>
    <m/>
    <m/>
    <m/>
    <m/>
    <m/>
    <m/>
    <n v="-76.680168330000001"/>
    <n v="3.4010983330000002"/>
    <n v="5"/>
    <n v="0"/>
    <n v="18"/>
    <n v="-76.679281669999995"/>
    <n v="3.4007033330000001"/>
    <n v="10"/>
    <n v="0"/>
    <n v="10"/>
    <s v="Herbaceo 0.3-1.5 m"/>
    <s v="Observacion"/>
    <m/>
  </r>
  <r>
    <x v="4"/>
    <x v="0"/>
    <x v="3"/>
    <s v="FCMDT21"/>
    <x v="1"/>
    <d v="2021-10-27T00:00:00"/>
    <d v="1899-12-30T21:39:11"/>
    <n v="-76.67788333"/>
    <n v="3.4025150000000002"/>
    <n v="6"/>
    <s v="Izquierdo"/>
    <s v="Danny Mora"/>
    <n v="3032"/>
    <b v="1"/>
    <m/>
    <n v="6"/>
    <n v="0"/>
    <n v="6.5"/>
    <s v="Sotobosque"/>
    <s v="Bosque Primario"/>
    <m/>
    <x v="12"/>
    <m/>
    <n v="1"/>
    <m/>
    <m/>
    <m/>
    <m/>
    <m/>
    <m/>
    <m/>
    <n v="-76.726311670000001"/>
    <n v="3.5000450000000001"/>
    <n v="5"/>
    <n v="0"/>
    <n v="8"/>
    <n v="-76.726856670000004"/>
    <n v="3.5003150000000001"/>
    <n v="8"/>
    <n v="0"/>
    <n v="4"/>
    <s v="Arbustivo 1.5-5 m"/>
    <s v="Observacion"/>
    <m/>
  </r>
  <r>
    <x v="4"/>
    <x v="0"/>
    <x v="3"/>
    <s v="FCMDT22"/>
    <x v="2"/>
    <d v="2021-10-27T00:00:00"/>
    <d v="1899-12-30T22:02:37"/>
    <n v="-76.676271670000006"/>
    <n v="3.4021083330000002"/>
    <n v="6"/>
    <s v="Derecho"/>
    <s v="Danny Mora"/>
    <n v="2987"/>
    <m/>
    <b v="1"/>
    <n v="9"/>
    <n v="0.3"/>
    <n v="5"/>
    <s v="Sotobosque"/>
    <s v="Bosque Primario"/>
    <m/>
    <x v="10"/>
    <s v="Procesos de remoción en masa"/>
    <n v="1"/>
    <m/>
    <m/>
    <m/>
    <m/>
    <m/>
    <m/>
    <m/>
    <n v="-76.676884999999999"/>
    <n v="3.40259"/>
    <n v="5"/>
    <n v="0"/>
    <n v="8"/>
    <n v="-76.676271670000006"/>
    <n v="3.4021083330000002"/>
    <n v="5"/>
    <n v="0.6"/>
    <n v="10"/>
    <s v="Herbaceo 0.3-1.5 m"/>
    <s v="Observacion"/>
    <m/>
  </r>
  <r>
    <x v="4"/>
    <x v="2"/>
    <x v="8"/>
    <s v="FCCBT6"/>
    <x v="1"/>
    <d v="2021-10-21T00:00:00"/>
    <d v="1899-12-30T20:34:26"/>
    <n v="-76.643213329999995"/>
    <n v="3.3496233329999998"/>
    <n v="6"/>
    <m/>
    <m/>
    <n v="2375"/>
    <b v="1"/>
    <m/>
    <n v="16.5"/>
    <n v="0"/>
    <n v="25"/>
    <m/>
    <s v="Bosque Primario"/>
    <m/>
    <x v="0"/>
    <m/>
    <n v="0"/>
    <m/>
    <m/>
    <m/>
    <m/>
    <m/>
    <s v="mucho árbol caído sin generación de remoción en masa"/>
    <m/>
    <n v="-76.643036670000001"/>
    <n v="3.34918"/>
    <n v="25"/>
    <n v="0"/>
    <n v="15"/>
    <n v="-76.643213329999995"/>
    <n v="3.3496233329999998"/>
    <n v="25"/>
    <n v="0"/>
    <n v="18"/>
    <m/>
    <m/>
    <m/>
  </r>
  <r>
    <x v="4"/>
    <x v="2"/>
    <x v="19"/>
    <s v="FCCBT8"/>
    <x v="0"/>
    <d v="2021-10-21T00:00:00"/>
    <d v="1899-12-30T19:35:22"/>
    <n v="-76.642165000000006"/>
    <n v="3.349681667"/>
    <n v="6"/>
    <s v="Derecho"/>
    <s v="Gustavo Rodriguez"/>
    <n v="2315"/>
    <b v="1"/>
    <m/>
    <n v="16"/>
    <n v="0"/>
    <n v="7.5"/>
    <s v="Sotobosque"/>
    <s v="Bosque Primario"/>
    <m/>
    <x v="3"/>
    <m/>
    <n v="1"/>
    <m/>
    <m/>
    <m/>
    <m/>
    <m/>
    <m/>
    <s v="Poca actividad"/>
    <n v="-76.641149999999996"/>
    <n v="3.3498049999999999"/>
    <n v="5"/>
    <n v="0"/>
    <n v="15"/>
    <n v="-76.642165000000006"/>
    <n v="3.349681667"/>
    <n v="10"/>
    <n v="0"/>
    <n v="17"/>
    <s v="Herbaceo 0.3-1.5 m"/>
    <s v="Observacion"/>
    <m/>
  </r>
  <r>
    <x v="4"/>
    <x v="2"/>
    <x v="19"/>
    <s v="FCCBT8"/>
    <x v="0"/>
    <d v="2021-10-21T00:00:00"/>
    <d v="1899-12-30T19:21:23"/>
    <n v="-76.641554999999997"/>
    <n v="3.3497783330000002"/>
    <n v="6"/>
    <s v="Izquierdo"/>
    <s v="Andrea Huesaquillo"/>
    <n v="2344"/>
    <b v="1"/>
    <m/>
    <n v="16"/>
    <n v="0"/>
    <n v="7.5"/>
    <s v="Sotobosque"/>
    <s v="Bosque Primario"/>
    <m/>
    <x v="3"/>
    <m/>
    <n v="1"/>
    <m/>
    <m/>
    <m/>
    <m/>
    <m/>
    <m/>
    <m/>
    <n v="-76.641149999999996"/>
    <n v="3.3498049999999999"/>
    <n v="5"/>
    <n v="0"/>
    <n v="15"/>
    <n v="-76.642165000000006"/>
    <n v="3.349681667"/>
    <n v="10"/>
    <n v="0"/>
    <n v="17"/>
    <s v="Herbaceo 0.3-1.5 m"/>
    <s v="Observacion"/>
    <m/>
  </r>
  <r>
    <x v="4"/>
    <x v="2"/>
    <x v="19"/>
    <s v="FCCBT8"/>
    <x v="0"/>
    <d v="2021-10-21T00:00:00"/>
    <d v="1899-12-30T19:26:45"/>
    <n v="-76.641706670000005"/>
    <n v="3.3496933329999998"/>
    <n v="6"/>
    <s v="Derecho"/>
    <s v="Gustavo Rodriguez"/>
    <n v="2334"/>
    <b v="1"/>
    <m/>
    <n v="16"/>
    <n v="0"/>
    <n v="7.5"/>
    <s v="Sotobosque"/>
    <s v="Bosque Primario"/>
    <m/>
    <x v="3"/>
    <s v="Procesos de remoción en masa"/>
    <n v="1"/>
    <m/>
    <m/>
    <m/>
    <m/>
    <m/>
    <s v="Árbol grande caído"/>
    <s v="llovizna"/>
    <n v="-76.641149999999996"/>
    <n v="3.3498049999999999"/>
    <n v="5"/>
    <n v="0"/>
    <n v="15"/>
    <n v="-76.642165000000006"/>
    <n v="3.349681667"/>
    <n v="10"/>
    <n v="0"/>
    <n v="17"/>
    <s v="Herbaceo 0.3-1.5 m"/>
    <s v="Observacion"/>
    <m/>
  </r>
  <r>
    <x v="4"/>
    <x v="2"/>
    <x v="19"/>
    <s v="FCCBT8"/>
    <x v="0"/>
    <d v="2021-10-21T00:00:00"/>
    <d v="1899-12-30T19:18:00"/>
    <n v="-76.641445000000004"/>
    <n v="3.3498716669999999"/>
    <n v="6"/>
    <s v="Derecho"/>
    <s v="Gustavo Rodriguez"/>
    <n v="2340"/>
    <b v="1"/>
    <m/>
    <n v="16"/>
    <n v="0"/>
    <n v="7.5"/>
    <s v="Sotobosque"/>
    <s v="Bosque Primario"/>
    <m/>
    <x v="3"/>
    <m/>
    <n v="1"/>
    <m/>
    <m/>
    <m/>
    <m/>
    <m/>
    <m/>
    <m/>
    <n v="-76.641149999999996"/>
    <n v="3.3498049999999999"/>
    <n v="5"/>
    <n v="0"/>
    <n v="15"/>
    <n v="-76.642165000000006"/>
    <n v="3.349681667"/>
    <n v="10"/>
    <n v="0"/>
    <n v="17"/>
    <s v="Herbaceo 0.3-1.5 m"/>
    <s v="Observacion"/>
    <m/>
  </r>
  <r>
    <x v="4"/>
    <x v="2"/>
    <x v="8"/>
    <s v="FCCBT7"/>
    <x v="2"/>
    <d v="2021-10-21T00:00:00"/>
    <d v="1899-12-30T19:49:42"/>
    <n v="-76.642523330000003"/>
    <n v="3.349373333"/>
    <n v="6"/>
    <s v="Izquierdo"/>
    <s v="Andrea Huesaquillo"/>
    <n v="2324"/>
    <b v="1"/>
    <m/>
    <n v="9"/>
    <n v="0"/>
    <n v="17.5"/>
    <s v="Sotobosque"/>
    <s v="Bosque Primario"/>
    <m/>
    <x v="3"/>
    <m/>
    <n v="1"/>
    <m/>
    <m/>
    <m/>
    <m/>
    <m/>
    <m/>
    <m/>
    <n v="-76.642433330000003"/>
    <n v="3.3494766669999998"/>
    <n v="25"/>
    <n v="0"/>
    <n v="8"/>
    <n v="-76.642838330000004"/>
    <n v="3.3490483329999998"/>
    <n v="10"/>
    <n v="0"/>
    <n v="10"/>
    <s v="Arbustivo 1.5-5 m"/>
    <s v="Observacion"/>
    <m/>
  </r>
  <r>
    <x v="4"/>
    <x v="2"/>
    <x v="8"/>
    <s v="FCCBT7"/>
    <x v="2"/>
    <d v="2021-10-21T00:00:00"/>
    <d v="1899-12-30T19:55:20"/>
    <n v="-76.642473330000001"/>
    <n v="3.3491616670000002"/>
    <n v="6"/>
    <s v="Derecho"/>
    <s v="Andrea Huesaquillo"/>
    <n v="2334"/>
    <b v="1"/>
    <m/>
    <n v="9"/>
    <n v="0"/>
    <n v="17.5"/>
    <s v="Sotobosque"/>
    <s v="Bosque Primario"/>
    <m/>
    <x v="3"/>
    <m/>
    <n v="1"/>
    <m/>
    <m/>
    <m/>
    <m/>
    <m/>
    <m/>
    <m/>
    <n v="-76.642433330000003"/>
    <n v="3.3494766669999998"/>
    <n v="25"/>
    <n v="0"/>
    <n v="8"/>
    <n v="-76.642838330000004"/>
    <n v="3.3490483329999998"/>
    <n v="10"/>
    <n v="0"/>
    <n v="10"/>
    <s v="Herbaceo 0.3-1.5 m"/>
    <s v="Observacion"/>
    <m/>
  </r>
  <r>
    <x v="4"/>
    <x v="2"/>
    <x v="19"/>
    <s v="FCCBT9"/>
    <x v="1"/>
    <d v="2021-10-21T00:00:00"/>
    <d v="1899-12-30T19:00:29"/>
    <n v="-76.64076"/>
    <n v="3.3500700000000001"/>
    <n v="6"/>
    <s v="Derecho"/>
    <s v="Gustavo Rodriguez"/>
    <n v="2339"/>
    <b v="1"/>
    <m/>
    <n v="11.5"/>
    <n v="0"/>
    <n v="17.5"/>
    <s v="Sotobosque"/>
    <s v="Bosque Primario"/>
    <m/>
    <x v="3"/>
    <m/>
    <n v="1"/>
    <m/>
    <m/>
    <m/>
    <m/>
    <m/>
    <s v="Poca actividad despues de lluvia fuerte"/>
    <m/>
    <n v="-76.640358329999998"/>
    <n v="3.3503383329999998"/>
    <n v="20"/>
    <n v="0"/>
    <n v="8"/>
    <n v="-76.641093330000004"/>
    <n v="3.3498766670000002"/>
    <n v="15"/>
    <n v="0"/>
    <n v="15"/>
    <s v="Herbaceo 0.3-1.5 m"/>
    <s v="Observacion"/>
    <m/>
  </r>
  <r>
    <x v="4"/>
    <x v="2"/>
    <x v="9"/>
    <s v="FCCBT3"/>
    <x v="2"/>
    <d v="2021-10-21T00:00:00"/>
    <d v="1899-12-30T22:11:27"/>
    <n v="-76.646711670000002"/>
    <n v="3.3497650000000001"/>
    <n v="6"/>
    <m/>
    <m/>
    <n v="2403"/>
    <m/>
    <m/>
    <n v="2.5"/>
    <n v="0"/>
    <n v="7.5"/>
    <m/>
    <m/>
    <m/>
    <x v="0"/>
    <m/>
    <n v="0"/>
    <m/>
    <m/>
    <m/>
    <m/>
    <m/>
    <s v="no actividad"/>
    <m/>
    <n v="-76.645799999999994"/>
    <n v="3.3495983329999999"/>
    <n v="10"/>
    <n v="0"/>
    <n v="2"/>
    <n v="-76.646711670000002"/>
    <n v="3.3497650000000001"/>
    <n v="5"/>
    <n v="0"/>
    <n v="3"/>
    <m/>
    <m/>
    <m/>
  </r>
  <r>
    <x v="4"/>
    <x v="2"/>
    <x v="19"/>
    <s v="FCCBT10"/>
    <x v="2"/>
    <d v="2021-10-21T00:00:00"/>
    <d v="1899-12-30T18:38:55"/>
    <n v="-76.639696670000006"/>
    <n v="3.3507766669999999"/>
    <n v="6"/>
    <s v="Derecho"/>
    <s v="Gustavo Rodriguez"/>
    <n v="2349"/>
    <b v="1"/>
    <m/>
    <n v="13.5"/>
    <n v="0"/>
    <n v="10"/>
    <s v="Sotobosque"/>
    <s v="Bosque Primario"/>
    <s v="Foto 7090"/>
    <x v="17"/>
    <m/>
    <n v="1"/>
    <m/>
    <m/>
    <m/>
    <m/>
    <m/>
    <m/>
    <m/>
    <n v="-76.639368329999996"/>
    <n v="3.3508783329999998"/>
    <n v="15"/>
    <n v="0"/>
    <n v="15"/>
    <n v="-76.640253329999993"/>
    <n v="3.3506100000000001"/>
    <n v="5"/>
    <n v="0"/>
    <n v="12"/>
    <s v="Herbaceo 0.3-1.5 m"/>
    <s v="Observacion"/>
    <m/>
  </r>
  <r>
    <x v="4"/>
    <x v="2"/>
    <x v="19"/>
    <s v="FCCBT10"/>
    <x v="2"/>
    <d v="2021-10-21T00:00:00"/>
    <d v="1899-12-30T18:50:30"/>
    <n v="-76.640253329999993"/>
    <n v="3.3506100000000001"/>
    <n v="6"/>
    <s v="Izquierdo"/>
    <s v="Andrea Huesaquillo"/>
    <n v="2340"/>
    <b v="1"/>
    <m/>
    <n v="13.5"/>
    <n v="0"/>
    <n v="10"/>
    <s v="Sotobosque"/>
    <s v="Bosque Primario"/>
    <m/>
    <x v="3"/>
    <m/>
    <n v="1"/>
    <m/>
    <m/>
    <m/>
    <m/>
    <m/>
    <m/>
    <m/>
    <n v="-76.639368329999996"/>
    <n v="3.3508783329999998"/>
    <n v="15"/>
    <n v="0"/>
    <n v="15"/>
    <n v="-76.640253329999993"/>
    <n v="3.3506100000000001"/>
    <n v="5"/>
    <n v="0"/>
    <n v="12"/>
    <s v="Herbaceo 0.3-1.5 m"/>
    <s v="Observacion"/>
    <m/>
  </r>
  <r>
    <x v="4"/>
    <x v="2"/>
    <x v="19"/>
    <s v="FCCBT10"/>
    <x v="2"/>
    <d v="2021-10-21T00:00:00"/>
    <d v="1899-12-30T18:34:37"/>
    <n v="-76.639403329999993"/>
    <n v="3.3507799999999999"/>
    <n v="6"/>
    <s v="Derecho"/>
    <s v="Gustavo Rodriguez"/>
    <n v="2346"/>
    <b v="1"/>
    <m/>
    <n v="13.5"/>
    <n v="0"/>
    <n v="10"/>
    <s v="Sotobosque"/>
    <s v="Bosque Primario"/>
    <m/>
    <x v="3"/>
    <s v="Procesos de remoción en masa"/>
    <n v="1"/>
    <m/>
    <m/>
    <m/>
    <m/>
    <m/>
    <s v="remoción reciente"/>
    <m/>
    <n v="-76.639368329999996"/>
    <n v="3.3508783329999998"/>
    <n v="15"/>
    <n v="0"/>
    <n v="15"/>
    <n v="-76.640253329999993"/>
    <n v="3.3506100000000001"/>
    <n v="5"/>
    <n v="0"/>
    <n v="12"/>
    <s v="Herbaceo 0.3-1.5 m"/>
    <s v="Observacion"/>
    <m/>
  </r>
  <r>
    <x v="4"/>
    <x v="2"/>
    <x v="9"/>
    <s v="FCCBT4"/>
    <x v="3"/>
    <d v="2021-10-21T00:00:00"/>
    <d v="1899-12-30T21:57:55"/>
    <n v="-76.645433330000003"/>
    <n v="3.349675"/>
    <n v="6"/>
    <s v="Derecho"/>
    <s v="Gustavo Rodriguez"/>
    <n v="2435"/>
    <b v="1"/>
    <m/>
    <n v="4.5"/>
    <n v="0"/>
    <n v="7"/>
    <s v="Sotobosque"/>
    <s v="Arbustal"/>
    <m/>
    <x v="18"/>
    <m/>
    <n v="1"/>
    <m/>
    <m/>
    <m/>
    <m/>
    <m/>
    <s v="no actividad"/>
    <m/>
    <n v="-76.644673330000003"/>
    <n v="3.3496600000000001"/>
    <n v="7"/>
    <n v="0"/>
    <n v="6"/>
    <n v="-76.645433330000003"/>
    <n v="3.349675"/>
    <n v="7"/>
    <n v="0"/>
    <n v="3"/>
    <s v="Herbaceo 0.3-1.5 m"/>
    <s v="Auditivo"/>
    <m/>
  </r>
  <r>
    <x v="4"/>
    <x v="2"/>
    <x v="8"/>
    <s v="FCCBT5"/>
    <x v="0"/>
    <d v="2021-10-21T00:00:00"/>
    <d v="1899-12-30T21:37:00"/>
    <n v="-76.643691669999995"/>
    <n v="3.3495599999999999"/>
    <n v="6"/>
    <s v="Derecho"/>
    <s v="Gustavo Rodriguez"/>
    <n v="2447"/>
    <b v="1"/>
    <m/>
    <n v="13.5"/>
    <n v="0"/>
    <n v="11"/>
    <s v="Sotobosque"/>
    <s v="Bosque Primario"/>
    <m/>
    <x v="3"/>
    <m/>
    <n v="1"/>
    <m/>
    <m/>
    <m/>
    <m/>
    <m/>
    <s v="Poca actividad"/>
    <m/>
    <n v="-76.643535"/>
    <n v="3.3494816670000001"/>
    <n v="15"/>
    <n v="0"/>
    <n v="15"/>
    <n v="-76.644324999999995"/>
    <n v="3.3495400000000002"/>
    <n v="7"/>
    <n v="0"/>
    <n v="12"/>
    <s v="Herbaceo 0.3-1.5 m"/>
    <s v="Observacion"/>
    <m/>
  </r>
  <r>
    <x v="4"/>
    <x v="2"/>
    <x v="8"/>
    <s v="FCCBT5"/>
    <x v="0"/>
    <d v="2021-10-21T00:00:00"/>
    <d v="1899-12-30T21:21:21"/>
    <n v="-76.643649999999994"/>
    <n v="3.3494833329999998"/>
    <n v="6"/>
    <s v="Derecho"/>
    <s v="Gustavo Rodriguez"/>
    <n v="2444"/>
    <b v="1"/>
    <m/>
    <n v="13.5"/>
    <n v="0"/>
    <n v="11"/>
    <s v="Sotobosque"/>
    <s v="Bosque Primario"/>
    <m/>
    <x v="6"/>
    <m/>
    <n v="1"/>
    <m/>
    <m/>
    <m/>
    <m/>
    <m/>
    <m/>
    <m/>
    <n v="-76.643535"/>
    <n v="3.3494816670000001"/>
    <n v="15"/>
    <n v="0"/>
    <n v="15"/>
    <n v="-76.644324999999995"/>
    <n v="3.3495400000000002"/>
    <n v="7"/>
    <n v="0"/>
    <n v="12"/>
    <s v="Herbaceo 0.3-1.5 m"/>
    <s v="Observacion"/>
    <m/>
  </r>
  <r>
    <x v="4"/>
    <x v="2"/>
    <x v="8"/>
    <s v="FCCBT5"/>
    <x v="0"/>
    <d v="2021-10-21T00:00:00"/>
    <d v="1899-12-30T21:21:21"/>
    <n v="-76.643649999999994"/>
    <n v="3.3494833329999998"/>
    <n v="6"/>
    <s v="Derecho"/>
    <s v="Gustavo Rodriguez"/>
    <n v="2444"/>
    <b v="1"/>
    <m/>
    <n v="13.5"/>
    <n v="0"/>
    <n v="11"/>
    <s v="Sotobosque"/>
    <s v="Bosque Primario"/>
    <s v="Foto 7090"/>
    <x v="17"/>
    <m/>
    <n v="1"/>
    <m/>
    <m/>
    <m/>
    <m/>
    <m/>
    <m/>
    <m/>
    <n v="-76.643535"/>
    <n v="3.3494816670000001"/>
    <n v="15"/>
    <n v="0"/>
    <n v="15"/>
    <n v="-76.644324999999995"/>
    <n v="3.3495400000000002"/>
    <n v="7"/>
    <n v="0"/>
    <n v="12"/>
    <s v="Arbustivo 1.5-5 m"/>
    <s v="Observacion"/>
    <m/>
  </r>
  <r>
    <x v="4"/>
    <x v="2"/>
    <x v="8"/>
    <s v="FCCBT5"/>
    <x v="0"/>
    <d v="2021-10-21T00:00:00"/>
    <d v="1899-12-30T21:33:38"/>
    <n v="-76.643743330000007"/>
    <n v="3.3496266669999999"/>
    <n v="6"/>
    <s v="Izquierdo"/>
    <s v="Andrea Huesaquillo"/>
    <n v="2446"/>
    <b v="1"/>
    <m/>
    <n v="13.5"/>
    <n v="0"/>
    <n v="11"/>
    <s v="Sotobosque"/>
    <s v="Bosque Primario"/>
    <m/>
    <x v="3"/>
    <m/>
    <n v="1"/>
    <m/>
    <m/>
    <m/>
    <m/>
    <m/>
    <m/>
    <m/>
    <n v="-76.643535"/>
    <n v="3.3494816670000001"/>
    <n v="15"/>
    <n v="0"/>
    <n v="15"/>
    <n v="-76.644324999999995"/>
    <n v="3.3495400000000002"/>
    <n v="7"/>
    <n v="0"/>
    <n v="12"/>
    <s v="Herbaceo 0.3-1.5 m"/>
    <s v="Observacion"/>
    <m/>
  </r>
  <r>
    <x v="4"/>
    <x v="2"/>
    <x v="9"/>
    <s v="FCCAT2"/>
    <x v="1"/>
    <d v="2021-10-19T00:00:00"/>
    <d v="1899-12-30T20:06:36"/>
    <n v="-76.647133330000003"/>
    <n v="3.3495750000000002"/>
    <n v="6"/>
    <s v="Derecho"/>
    <s v="Gustavo Rodriguez"/>
    <n v="2394"/>
    <m/>
    <b v="1"/>
    <n v="5.5"/>
    <n v="0.2"/>
    <n v="10"/>
    <s v="Sotobosque"/>
    <s v="Bosque ribereño"/>
    <s v="Macho"/>
    <x v="9"/>
    <m/>
    <n v="1"/>
    <m/>
    <m/>
    <m/>
    <m/>
    <m/>
    <s v="quebrada luna llena"/>
    <s v="despejado"/>
    <n v="-76.647313330000003"/>
    <n v="3.3498766670000002"/>
    <n v="10"/>
    <n v="0"/>
    <n v="5"/>
    <n v="-76.647035000000002"/>
    <n v="3.3490000000000002"/>
    <n v="10"/>
    <n v="0.4"/>
    <n v="6"/>
    <s v="Herbaceo 0.3-1.5 m"/>
    <s v="Observacion"/>
    <m/>
  </r>
  <r>
    <x v="4"/>
    <x v="2"/>
    <x v="9"/>
    <s v="FCCAT2"/>
    <x v="1"/>
    <d v="2021-10-19T00:00:00"/>
    <d v="1899-12-30T20:06:36"/>
    <n v="-76.647133330000003"/>
    <n v="3.3495750000000002"/>
    <n v="6"/>
    <s v="Izquierdo"/>
    <s v="Gustavo Rodriguez"/>
    <n v="2394"/>
    <m/>
    <b v="1"/>
    <n v="5.5"/>
    <n v="0.2"/>
    <n v="10"/>
    <s v="Sotobosque"/>
    <s v="Bosque ribereño"/>
    <s v="Hembra"/>
    <x v="18"/>
    <m/>
    <n v="1"/>
    <m/>
    <m/>
    <m/>
    <m/>
    <m/>
    <m/>
    <m/>
    <n v="-76.647313330000003"/>
    <n v="3.3498766670000002"/>
    <n v="10"/>
    <n v="0"/>
    <n v="5"/>
    <n v="-76.647035000000002"/>
    <n v="3.3490000000000002"/>
    <n v="10"/>
    <n v="0.4"/>
    <n v="6"/>
    <s v="Herbaceo 0.3-1.5 m"/>
    <s v="Observacion"/>
    <m/>
  </r>
  <r>
    <x v="4"/>
    <x v="2"/>
    <x v="9"/>
    <s v="FCCAT1"/>
    <x v="0"/>
    <d v="2021-10-19T00:00:00"/>
    <d v="1899-12-30T20:56:28"/>
    <n v="-76.647544999999994"/>
    <n v="3.3481666670000001"/>
    <n v="6"/>
    <m/>
    <m/>
    <m/>
    <m/>
    <m/>
    <n v="5.5"/>
    <n v="0.5"/>
    <n v="17.5"/>
    <m/>
    <m/>
    <m/>
    <x v="0"/>
    <m/>
    <n v="0"/>
    <m/>
    <m/>
    <m/>
    <m/>
    <m/>
    <s v="Luna llena"/>
    <s v="Truenos"/>
    <n v="-76.647046669999995"/>
    <n v="3.3489616670000002"/>
    <n v="20"/>
    <n v="0.4"/>
    <n v="6"/>
    <n v="-76.647544999999994"/>
    <n v="3.3481666670000001"/>
    <n v="15"/>
    <n v="0.6"/>
    <n v="5"/>
    <m/>
    <m/>
    <m/>
  </r>
  <r>
    <x v="5"/>
    <x v="3"/>
    <x v="16"/>
    <s v="FCACT8"/>
    <x v="3"/>
    <d v="2022-12-13T00:00:00"/>
    <d v="1899-12-30T17:02:14"/>
    <n v="-76.880313330000007"/>
    <n v="3.5793683330000001"/>
    <n v="7"/>
    <s v="Izquierdo"/>
    <s v="Luis Mamian"/>
    <n v="630"/>
    <b v="1"/>
    <m/>
    <n v="19"/>
    <n v="0"/>
    <n v="20"/>
    <s v="Hojas y/o Ramas"/>
    <s v="Bosque Primario"/>
    <m/>
    <x v="14"/>
    <m/>
    <n v="1"/>
    <m/>
    <m/>
    <m/>
    <m/>
    <m/>
    <m/>
    <m/>
    <n v="-76.880468329999999"/>
    <n v="3.5789650000000002"/>
    <n v="30"/>
    <n v="0"/>
    <n v="20"/>
    <n v="-76.880390000000006"/>
    <n v="3.57965"/>
    <n v="10"/>
    <n v="0"/>
    <n v="18"/>
    <s v="Rasante &lt;0.3 m"/>
    <s v="Auditivo"/>
    <s v="WCS"/>
  </r>
  <r>
    <x v="5"/>
    <x v="3"/>
    <x v="16"/>
    <s v="FCACT8"/>
    <x v="3"/>
    <d v="2022-12-13T00:00:00"/>
    <d v="1899-12-30T16:51:19"/>
    <n v="-76.880463329999998"/>
    <n v="3.578906667"/>
    <n v="7"/>
    <s v="Derecho"/>
    <s v="Gustavo González"/>
    <n v="620"/>
    <b v="1"/>
    <m/>
    <n v="19"/>
    <n v="0"/>
    <n v="20"/>
    <s v="Hojarasca"/>
    <s v="Bosque Primario"/>
    <m/>
    <x v="14"/>
    <m/>
    <n v="1"/>
    <m/>
    <m/>
    <m/>
    <m/>
    <m/>
    <m/>
    <m/>
    <n v="-76.880468329999999"/>
    <n v="3.5789650000000002"/>
    <n v="30"/>
    <n v="0"/>
    <n v="20"/>
    <n v="-76.880390000000006"/>
    <n v="3.57965"/>
    <n v="10"/>
    <n v="0"/>
    <n v="18"/>
    <s v="Rasante &lt;0.3 m"/>
    <s v="Observacion"/>
    <s v="WCS"/>
  </r>
  <r>
    <x v="5"/>
    <x v="3"/>
    <x v="16"/>
    <s v="FCACT8"/>
    <x v="3"/>
    <d v="2022-12-13T00:00:00"/>
    <d v="1899-12-30T17:17:21"/>
    <n v="-76.880448329999993"/>
    <n v="3.579681667"/>
    <n v="7"/>
    <s v="Izquierdo"/>
    <s v="Gustavo Rodriguez"/>
    <n v="620"/>
    <b v="1"/>
    <m/>
    <n v="19"/>
    <n v="0"/>
    <n v="20"/>
    <s v="Hojarasca"/>
    <s v="Bosque Primario"/>
    <m/>
    <x v="14"/>
    <m/>
    <n v="2"/>
    <m/>
    <m/>
    <m/>
    <m/>
    <m/>
    <m/>
    <m/>
    <n v="-76.880468329999999"/>
    <n v="3.5789650000000002"/>
    <n v="30"/>
    <n v="0"/>
    <n v="20"/>
    <n v="-76.880390000000006"/>
    <n v="3.57965"/>
    <n v="10"/>
    <n v="0"/>
    <n v="18"/>
    <s v="Rasante &lt;0.3 m"/>
    <s v="Auditivo"/>
    <s v="WCS"/>
  </r>
  <r>
    <x v="5"/>
    <x v="0"/>
    <x v="1"/>
    <s v="FCMCT14"/>
    <x v="1"/>
    <d v="2022-11-04T00:00:00"/>
    <d v="1899-12-30T19:11:26"/>
    <n v="-76.689008329999993"/>
    <n v="3.4076616670000002"/>
    <n v="7"/>
    <m/>
    <s v="Oscar Cuellar"/>
    <m/>
    <m/>
    <m/>
    <n v="6"/>
    <n v="0"/>
    <n v="5"/>
    <m/>
    <m/>
    <m/>
    <x v="0"/>
    <m/>
    <n v="0"/>
    <m/>
    <m/>
    <m/>
    <m/>
    <m/>
    <m/>
    <s v="Tormenta"/>
    <n v="-76.689729999999997"/>
    <n v="3.407203333"/>
    <n v="5"/>
    <n v="0"/>
    <n v="8"/>
    <n v="-76.689008329999993"/>
    <n v="3.4076616670000002"/>
    <n v="5"/>
    <n v="0"/>
    <n v="4"/>
    <m/>
    <m/>
    <s v="Univalle"/>
  </r>
  <r>
    <x v="5"/>
    <x v="0"/>
    <x v="1"/>
    <s v="FCMCT13"/>
    <x v="0"/>
    <d v="2022-11-04T00:00:00"/>
    <d v="1899-12-30T19:18:01"/>
    <n v="-76.688731669999996"/>
    <n v="3.4073883330000001"/>
    <n v="7"/>
    <s v="Derecho"/>
    <s v="Oscar Cuellar"/>
    <n v="3383"/>
    <b v="1"/>
    <m/>
    <n v="6"/>
    <n v="0"/>
    <n v="5"/>
    <s v="Sotobosque"/>
    <s v="Bosque Primario"/>
    <m/>
    <x v="13"/>
    <m/>
    <n v="2"/>
    <m/>
    <m/>
    <m/>
    <m/>
    <m/>
    <m/>
    <s v="Tormenta"/>
    <n v="-76.688936670000004"/>
    <n v="3.4077216670000001"/>
    <n v="5"/>
    <n v="0"/>
    <n v="4"/>
    <n v="-76.688393329999997"/>
    <n v="3.4079766669999998"/>
    <n v="5"/>
    <n v="0"/>
    <n v="8"/>
    <s v="Rasante &lt;0.3 m"/>
    <s v="Auditivo"/>
    <s v="Univalle"/>
  </r>
  <r>
    <x v="5"/>
    <x v="0"/>
    <x v="1"/>
    <s v="FCMCT16"/>
    <x v="3"/>
    <d v="2022-11-04T00:00:00"/>
    <d v="1899-12-30T18:23:17"/>
    <n v="-76.690686670000005"/>
    <n v="3.4061883329999998"/>
    <n v="7"/>
    <s v="Izquierdo"/>
    <s v="Oscar Cuellar"/>
    <n v="3383"/>
    <b v="1"/>
    <m/>
    <n v="3.5"/>
    <n v="0"/>
    <n v="15"/>
    <s v="Sotobosque"/>
    <s v="Arbustal"/>
    <m/>
    <x v="2"/>
    <m/>
    <n v="3"/>
    <m/>
    <m/>
    <m/>
    <m/>
    <m/>
    <m/>
    <m/>
    <n v="-76.690753330000007"/>
    <n v="3.4060166669999998"/>
    <n v="20"/>
    <n v="0"/>
    <n v="2"/>
    <n v="-76.690614999999994"/>
    <n v="3.4064999999999999"/>
    <n v="10"/>
    <n v="0"/>
    <n v="5"/>
    <s v="Herbaceo 0.3-1.5 m"/>
    <s v="Observacion"/>
    <s v="Univalle"/>
  </r>
  <r>
    <x v="5"/>
    <x v="0"/>
    <x v="1"/>
    <s v="FCMCT16"/>
    <x v="3"/>
    <d v="2022-11-04T00:00:00"/>
    <d v="1899-12-30T18:33:52"/>
    <n v="-76.690645000000004"/>
    <n v="3.4063050000000001"/>
    <n v="7"/>
    <s v="Derecho"/>
    <s v="Oscar Cuellar"/>
    <m/>
    <b v="1"/>
    <m/>
    <n v="3.5"/>
    <n v="0"/>
    <n v="15"/>
    <s v="Sotobosque"/>
    <s v="Arbustal"/>
    <m/>
    <x v="2"/>
    <m/>
    <n v="1"/>
    <m/>
    <m/>
    <m/>
    <m/>
    <m/>
    <m/>
    <m/>
    <n v="-76.690753330000007"/>
    <n v="3.4060166669999998"/>
    <n v="20"/>
    <n v="0"/>
    <n v="2"/>
    <n v="-76.690614999999994"/>
    <n v="3.4064999999999999"/>
    <n v="10"/>
    <n v="0"/>
    <n v="5"/>
    <s v="Herbaceo 0.3-1.5 m"/>
    <s v="Observacion"/>
    <s v="Univalle"/>
  </r>
  <r>
    <x v="5"/>
    <x v="0"/>
    <x v="1"/>
    <s v="FCMCT16"/>
    <x v="3"/>
    <d v="2022-11-04T00:00:00"/>
    <d v="1899-12-30T18:33:52"/>
    <n v="-76.690645000000004"/>
    <n v="3.4063050000000001"/>
    <n v="7"/>
    <s v="Derecho"/>
    <s v="Oscar Cuellar"/>
    <n v="3383"/>
    <b v="1"/>
    <m/>
    <n v="3.5"/>
    <n v="0"/>
    <n v="15"/>
    <s v="Sotobosque"/>
    <s v="Arbustal"/>
    <m/>
    <x v="13"/>
    <m/>
    <n v="1"/>
    <m/>
    <m/>
    <m/>
    <m/>
    <m/>
    <m/>
    <m/>
    <n v="-76.690753330000007"/>
    <n v="3.4060166669999998"/>
    <n v="20"/>
    <n v="0"/>
    <n v="2"/>
    <n v="-76.690614999999994"/>
    <n v="3.4064999999999999"/>
    <n v="10"/>
    <n v="0"/>
    <n v="5"/>
    <s v="Herbaceo 0.3-1.5 m"/>
    <s v="Auditivo"/>
    <s v="Univalle"/>
  </r>
  <r>
    <x v="5"/>
    <x v="0"/>
    <x v="1"/>
    <s v="FCMCT16"/>
    <x v="3"/>
    <d v="2022-11-04T00:00:00"/>
    <d v="1899-12-30T18:45:09"/>
    <n v="-76.690578329999994"/>
    <n v="3.406463333"/>
    <n v="7"/>
    <s v="Izquierdo"/>
    <s v="Oscar Cuellar"/>
    <n v="3383"/>
    <b v="1"/>
    <m/>
    <n v="3.5"/>
    <n v="0"/>
    <n v="15"/>
    <s v="Sotobosque"/>
    <s v="Arbustal"/>
    <m/>
    <x v="2"/>
    <m/>
    <n v="3"/>
    <m/>
    <m/>
    <m/>
    <m/>
    <m/>
    <m/>
    <s v="Nublado"/>
    <n v="-76.690753330000007"/>
    <n v="3.4060166669999998"/>
    <n v="20"/>
    <n v="0"/>
    <n v="2"/>
    <n v="-76.690614999999994"/>
    <n v="3.4064999999999999"/>
    <n v="10"/>
    <n v="0"/>
    <n v="5"/>
    <s v="Herbaceo 0.3-1.5 m"/>
    <s v="Auditivo"/>
    <s v="Univalle"/>
  </r>
  <r>
    <x v="5"/>
    <x v="0"/>
    <x v="1"/>
    <s v="FCMCT15"/>
    <x v="2"/>
    <d v="2022-11-04T00:00:00"/>
    <d v="1899-12-30T18:54:22"/>
    <n v="-76.690568330000005"/>
    <n v="3.406656667"/>
    <n v="7"/>
    <s v="Derecho"/>
    <s v="Oscar Cuellar"/>
    <n v="3383"/>
    <b v="1"/>
    <m/>
    <n v="8"/>
    <n v="0"/>
    <n v="5"/>
    <s v="Sotobosque"/>
    <s v="Bosque Primario"/>
    <m/>
    <x v="13"/>
    <m/>
    <n v="1"/>
    <m/>
    <m/>
    <m/>
    <m/>
    <m/>
    <m/>
    <s v="Tormenta"/>
    <n v="-76.690593329999999"/>
    <n v="3.4065650000000001"/>
    <n v="5"/>
    <n v="0"/>
    <n v="8"/>
    <n v="-76.689711669999994"/>
    <n v="3.4071633330000002"/>
    <n v="5"/>
    <n v="0"/>
    <n v="8"/>
    <s v="Rasante &lt;0.3 m"/>
    <s v="Auditivo"/>
    <s v="Univalle"/>
  </r>
  <r>
    <x v="5"/>
    <x v="1"/>
    <x v="6"/>
    <s v="FCTAT2"/>
    <x v="1"/>
    <d v="2022-12-03T00:00:00"/>
    <d v="1899-12-30T19:38:56"/>
    <n v="-76.722443330000004"/>
    <n v="3.4774366670000001"/>
    <n v="7"/>
    <s v="Izquierdo"/>
    <s v="Gustavo Rodriguez"/>
    <m/>
    <b v="1"/>
    <m/>
    <n v="11.5"/>
    <n v="0"/>
    <n v="9"/>
    <s v="Sotobosque"/>
    <s v="Bosque Primario"/>
    <m/>
    <x v="34"/>
    <m/>
    <n v="1"/>
    <m/>
    <m/>
    <m/>
    <m/>
    <m/>
    <m/>
    <m/>
    <n v="-76.722443330000004"/>
    <n v="3.4774366670000001"/>
    <n v="8"/>
    <n v="0"/>
    <n v="15"/>
    <n v="-76.722831670000005"/>
    <n v="3.4779966670000002"/>
    <n v="10"/>
    <n v="0"/>
    <n v="8"/>
    <s v="Herbaceo 0.3-1.5 m"/>
    <s v="Observacion"/>
    <m/>
  </r>
  <r>
    <x v="5"/>
    <x v="1"/>
    <x v="6"/>
    <s v="FCTAT2"/>
    <x v="1"/>
    <d v="2022-12-03T00:00:00"/>
    <d v="1899-12-30T19:38:56"/>
    <n v="-76.722443330000004"/>
    <n v="3.4774366670000001"/>
    <n v="7"/>
    <s v="Izquierdo"/>
    <s v="Alvaro Fierro"/>
    <m/>
    <b v="1"/>
    <m/>
    <n v="11.5"/>
    <n v="0"/>
    <n v="9"/>
    <s v="Sotobosque"/>
    <s v="Bosque Primario"/>
    <m/>
    <x v="6"/>
    <m/>
    <n v="1"/>
    <m/>
    <m/>
    <m/>
    <m/>
    <m/>
    <m/>
    <m/>
    <n v="-76.722443330000004"/>
    <n v="3.4774366670000001"/>
    <n v="8"/>
    <n v="0"/>
    <n v="15"/>
    <n v="-76.722831670000005"/>
    <n v="3.4779966670000002"/>
    <n v="10"/>
    <n v="0"/>
    <n v="8"/>
    <s v="Herbaceo 0.3-1.5 m"/>
    <s v="Observacion"/>
    <m/>
  </r>
  <r>
    <x v="5"/>
    <x v="1"/>
    <x v="6"/>
    <s v="FCTAT2"/>
    <x v="1"/>
    <d v="2022-12-03T00:00:00"/>
    <d v="1899-12-30T19:57:23"/>
    <n v="-76.722478330000001"/>
    <n v="3.4775450000000001"/>
    <n v="7"/>
    <s v="Derecho"/>
    <m/>
    <n v="2100"/>
    <b v="1"/>
    <m/>
    <n v="11.5"/>
    <n v="0"/>
    <n v="9"/>
    <s v="Sotobosque"/>
    <s v="Bosque Primario"/>
    <m/>
    <x v="34"/>
    <m/>
    <n v="1"/>
    <m/>
    <m/>
    <m/>
    <m/>
    <m/>
    <m/>
    <m/>
    <n v="-76.722443330000004"/>
    <n v="3.4774366670000001"/>
    <n v="8"/>
    <n v="0"/>
    <n v="15"/>
    <n v="-76.722831670000005"/>
    <n v="3.4779966670000002"/>
    <n v="10"/>
    <n v="0"/>
    <n v="8"/>
    <s v="Herbaceo 0.3-1.5 m"/>
    <s v="Observacion"/>
    <m/>
  </r>
  <r>
    <x v="5"/>
    <x v="1"/>
    <x v="6"/>
    <s v="FCTAT2"/>
    <x v="1"/>
    <d v="2022-12-03T00:00:00"/>
    <d v="1899-12-30T19:53:33"/>
    <n v="-76.722498329999993"/>
    <n v="3.4775466669999999"/>
    <n v="7"/>
    <s v="Izquierdo"/>
    <s v="Oscar Cuellar"/>
    <n v="2100"/>
    <b v="1"/>
    <m/>
    <n v="11.5"/>
    <n v="0"/>
    <n v="9"/>
    <s v="Sotobosque"/>
    <s v="Bosque Primario"/>
    <m/>
    <x v="5"/>
    <m/>
    <n v="1"/>
    <m/>
    <m/>
    <m/>
    <m/>
    <m/>
    <m/>
    <m/>
    <n v="-76.722443330000004"/>
    <n v="3.4774366670000001"/>
    <n v="8"/>
    <n v="0"/>
    <n v="15"/>
    <n v="-76.722831670000005"/>
    <n v="3.4779966670000002"/>
    <n v="10"/>
    <n v="0"/>
    <n v="8"/>
    <s v="Herbaceo 0.3-1.5 m"/>
    <s v="Observacion"/>
    <m/>
  </r>
  <r>
    <x v="5"/>
    <x v="1"/>
    <x v="6"/>
    <s v="FCTAT2"/>
    <x v="1"/>
    <d v="2022-12-03T00:00:00"/>
    <d v="1899-12-30T20:07:26"/>
    <n v="-76.722656670000006"/>
    <n v="3.4776850000000001"/>
    <n v="7"/>
    <s v="Izquierdo"/>
    <s v="Gustavo Rodriguez"/>
    <n v="2100"/>
    <b v="1"/>
    <m/>
    <n v="11.5"/>
    <n v="0"/>
    <n v="9"/>
    <s v="Sotobosque"/>
    <s v="Bosque Primario"/>
    <m/>
    <x v="6"/>
    <m/>
    <n v="2"/>
    <m/>
    <m/>
    <m/>
    <m/>
    <m/>
    <m/>
    <m/>
    <n v="-76.722443330000004"/>
    <n v="3.4774366670000001"/>
    <n v="8"/>
    <n v="0"/>
    <n v="15"/>
    <n v="-76.722831670000005"/>
    <n v="3.4779966670000002"/>
    <n v="10"/>
    <n v="0"/>
    <n v="8"/>
    <s v="Herbaceo 0.3-1.5 m"/>
    <s v="Observacion"/>
    <m/>
  </r>
  <r>
    <x v="5"/>
    <x v="1"/>
    <x v="6"/>
    <s v="FCTAT2"/>
    <x v="1"/>
    <d v="2022-12-03T00:00:00"/>
    <d v="1899-12-30T20:19:03"/>
    <n v="-76.722831670000005"/>
    <n v="3.4779966670000002"/>
    <n v="7"/>
    <s v="Derecho"/>
    <s v="Oscar Cuellar"/>
    <n v="2100"/>
    <b v="1"/>
    <m/>
    <n v="11.5"/>
    <n v="0"/>
    <n v="9"/>
    <s v="Sotobosque"/>
    <s v="Bosque Primario"/>
    <m/>
    <x v="5"/>
    <m/>
    <n v="2"/>
    <m/>
    <m/>
    <m/>
    <m/>
    <m/>
    <m/>
    <m/>
    <n v="-76.722443330000004"/>
    <n v="3.4774366670000001"/>
    <n v="8"/>
    <n v="0"/>
    <n v="15"/>
    <n v="-76.722831670000005"/>
    <n v="3.4779966670000002"/>
    <n v="10"/>
    <n v="0"/>
    <n v="8"/>
    <s v="Herbaceo 0.3-1.5 m"/>
    <s v="Observacion"/>
    <m/>
  </r>
  <r>
    <x v="5"/>
    <x v="1"/>
    <x v="6"/>
    <s v="FCTAT2"/>
    <x v="1"/>
    <d v="2022-12-03T00:00:00"/>
    <d v="1899-12-30T20:02:02"/>
    <n v="-76.722539999999995"/>
    <n v="3.477668333"/>
    <n v="7"/>
    <s v="Derecho"/>
    <m/>
    <n v="2100"/>
    <b v="1"/>
    <m/>
    <n v="11.5"/>
    <n v="0"/>
    <n v="9"/>
    <s v="Sotobosque"/>
    <s v="Bosque Primario"/>
    <m/>
    <x v="34"/>
    <m/>
    <n v="1"/>
    <m/>
    <m/>
    <m/>
    <m/>
    <m/>
    <m/>
    <m/>
    <n v="-76.722443330000004"/>
    <n v="3.4774366670000001"/>
    <n v="8"/>
    <n v="0"/>
    <n v="15"/>
    <n v="-76.722831670000005"/>
    <n v="3.4779966670000002"/>
    <n v="10"/>
    <n v="0"/>
    <n v="8"/>
    <s v="Herbaceo 0.3-1.5 m"/>
    <s v="Observacion"/>
    <m/>
  </r>
  <r>
    <x v="5"/>
    <x v="1"/>
    <x v="6"/>
    <s v="FCTAT2"/>
    <x v="1"/>
    <d v="2022-12-03T00:00:00"/>
    <d v="1899-12-30T19:52:24"/>
    <n v="-76.722498329999993"/>
    <n v="3.4775466669999999"/>
    <n v="7"/>
    <s v="Izquierdo"/>
    <s v="Oscar Cuellar"/>
    <m/>
    <b v="1"/>
    <m/>
    <n v="11.5"/>
    <n v="0"/>
    <n v="9"/>
    <s v="Sotobosque"/>
    <s v="Bosque Primario"/>
    <m/>
    <x v="6"/>
    <m/>
    <n v="2"/>
    <m/>
    <m/>
    <m/>
    <m/>
    <m/>
    <m/>
    <m/>
    <n v="-76.722443330000004"/>
    <n v="3.4774366670000001"/>
    <n v="8"/>
    <n v="0"/>
    <n v="15"/>
    <n v="-76.722831670000005"/>
    <n v="3.4779966670000002"/>
    <n v="10"/>
    <n v="0"/>
    <n v="8"/>
    <s v="Herbaceo 0.3-1.5 m"/>
    <s v="Observacion"/>
    <m/>
  </r>
  <r>
    <x v="5"/>
    <x v="1"/>
    <x v="6"/>
    <s v="FCTAT2"/>
    <x v="1"/>
    <d v="2022-12-03T00:00:00"/>
    <d v="1899-12-30T19:52:24"/>
    <n v="-76.722498329999993"/>
    <n v="3.4775466669999999"/>
    <n v="7"/>
    <s v="Izquierdo"/>
    <m/>
    <m/>
    <b v="1"/>
    <m/>
    <n v="11.5"/>
    <n v="0"/>
    <n v="9"/>
    <s v="Sotobosque"/>
    <s v="Bosque Primario"/>
    <m/>
    <x v="34"/>
    <m/>
    <n v="2"/>
    <m/>
    <m/>
    <m/>
    <m/>
    <m/>
    <m/>
    <m/>
    <n v="-76.722443330000004"/>
    <n v="3.4774366670000001"/>
    <n v="8"/>
    <n v="0"/>
    <n v="15"/>
    <n v="-76.722831670000005"/>
    <n v="3.4779966670000002"/>
    <n v="10"/>
    <n v="0"/>
    <n v="8"/>
    <s v="Herbaceo 0.3-1.5 m"/>
    <s v="Auditivo"/>
    <m/>
  </r>
  <r>
    <x v="5"/>
    <x v="1"/>
    <x v="6"/>
    <s v="FCTAT2"/>
    <x v="1"/>
    <d v="2022-12-03T00:00:00"/>
    <d v="1899-12-30T19:40:31"/>
    <n v="-76.722431670000006"/>
    <n v="3.4774383329999998"/>
    <n v="7"/>
    <s v="Derecho"/>
    <s v="Alvaro Fierro"/>
    <n v="2100"/>
    <b v="1"/>
    <m/>
    <n v="11.5"/>
    <n v="0"/>
    <n v="9"/>
    <s v="Sotobosque"/>
    <s v="Bosque Primario"/>
    <m/>
    <x v="6"/>
    <m/>
    <n v="1"/>
    <m/>
    <m/>
    <m/>
    <m/>
    <m/>
    <m/>
    <m/>
    <n v="-76.722443330000004"/>
    <n v="3.4774366670000001"/>
    <n v="8"/>
    <n v="0"/>
    <n v="15"/>
    <n v="-76.722831670000005"/>
    <n v="3.4779966670000002"/>
    <n v="10"/>
    <n v="0"/>
    <n v="8"/>
    <s v="Herbaceo 0.3-1.5 m"/>
    <s v="Observacion"/>
    <m/>
  </r>
  <r>
    <x v="5"/>
    <x v="1"/>
    <x v="6"/>
    <s v="FCTAT3"/>
    <x v="2"/>
    <d v="2022-12-03T00:00:00"/>
    <d v="1899-12-30T20:54:01"/>
    <n v="-76.72286167"/>
    <n v="3.478411667"/>
    <n v="7"/>
    <s v="Derecho"/>
    <s v="Oscar Cuellar"/>
    <n v="2100"/>
    <b v="1"/>
    <m/>
    <n v="12.5"/>
    <n v="0"/>
    <n v="10"/>
    <s v="Sotobosque"/>
    <s v="Bosque Primario"/>
    <m/>
    <x v="35"/>
    <m/>
    <n v="1"/>
    <m/>
    <m/>
    <m/>
    <m/>
    <m/>
    <m/>
    <m/>
    <n v="-76.722821670000002"/>
    <n v="3.4779583330000001"/>
    <n v="12"/>
    <n v="0"/>
    <n v="10"/>
    <n v="-76.722941669999997"/>
    <n v="3.4790033330000001"/>
    <n v="8"/>
    <n v="0"/>
    <n v="15"/>
    <s v="Herbaceo 0.3-1.5 m"/>
    <s v="Observacion"/>
    <s v="Univalle"/>
  </r>
  <r>
    <x v="5"/>
    <x v="1"/>
    <x v="6"/>
    <s v="FCTAT3"/>
    <x v="2"/>
    <d v="2022-12-03T00:00:00"/>
    <d v="1899-12-30T21:38:30"/>
    <n v="-76.722813329999994"/>
    <n v="3.4785033329999999"/>
    <n v="7"/>
    <s v="Derecho"/>
    <s v="Oscar Cuellar"/>
    <n v="2100"/>
    <b v="1"/>
    <m/>
    <n v="12.5"/>
    <n v="0"/>
    <n v="10"/>
    <s v="Sotobosque"/>
    <s v="Bosque Primario"/>
    <m/>
    <x v="4"/>
    <m/>
    <n v="1"/>
    <m/>
    <m/>
    <m/>
    <m/>
    <m/>
    <m/>
    <m/>
    <n v="-76.722821670000002"/>
    <n v="3.4779583330000001"/>
    <n v="12"/>
    <n v="0"/>
    <n v="10"/>
    <n v="-76.722941669999997"/>
    <n v="3.4790033330000001"/>
    <n v="8"/>
    <n v="0"/>
    <n v="15"/>
    <s v="Rasante &lt;0.3 m"/>
    <s v="Auditivo"/>
    <s v="Univalle"/>
  </r>
  <r>
    <x v="5"/>
    <x v="1"/>
    <x v="6"/>
    <s v="FCTAT3"/>
    <x v="2"/>
    <d v="2022-12-03T00:00:00"/>
    <d v="1899-12-30T21:17:06"/>
    <n v="-76.722825"/>
    <n v="3.4785466669999998"/>
    <n v="7"/>
    <s v="Izquierdo"/>
    <s v="Gustavo Rodriguez"/>
    <n v="2100"/>
    <b v="1"/>
    <m/>
    <n v="12.5"/>
    <n v="0"/>
    <n v="10"/>
    <s v="Sotobosque"/>
    <s v="Bosque Primario"/>
    <m/>
    <x v="33"/>
    <m/>
    <n v="1"/>
    <m/>
    <m/>
    <m/>
    <m/>
    <m/>
    <m/>
    <m/>
    <n v="-76.722821670000002"/>
    <n v="3.4779583330000001"/>
    <n v="12"/>
    <n v="0"/>
    <n v="10"/>
    <n v="-76.722941669999997"/>
    <n v="3.4790033330000001"/>
    <n v="8"/>
    <n v="0"/>
    <n v="15"/>
    <s v="Rasante &lt;0.3 m"/>
    <s v="Observacion"/>
    <m/>
  </r>
  <r>
    <x v="5"/>
    <x v="1"/>
    <x v="6"/>
    <s v="FCTAT3"/>
    <x v="2"/>
    <d v="2022-12-03T00:00:00"/>
    <d v="1899-12-30T20:50:11"/>
    <n v="-76.722803330000005"/>
    <n v="3.4783183329999998"/>
    <n v="7"/>
    <s v="Izquierdo"/>
    <s v="Oscar Cuellar"/>
    <n v="2100"/>
    <b v="1"/>
    <m/>
    <n v="12.5"/>
    <n v="0"/>
    <n v="10"/>
    <s v="Sotobosque"/>
    <s v="Bosque Primario"/>
    <m/>
    <x v="4"/>
    <m/>
    <n v="1"/>
    <m/>
    <m/>
    <m/>
    <m/>
    <m/>
    <m/>
    <m/>
    <n v="-76.722821670000002"/>
    <n v="3.4779583330000001"/>
    <n v="12"/>
    <n v="0"/>
    <n v="10"/>
    <n v="-76.722941669999997"/>
    <n v="3.4790033330000001"/>
    <n v="8"/>
    <n v="0"/>
    <n v="15"/>
    <s v="Rasante &lt;0.3 m"/>
    <s v="Auditivo"/>
    <s v="Univalle"/>
  </r>
  <r>
    <x v="5"/>
    <x v="1"/>
    <x v="6"/>
    <s v="FCTAT3"/>
    <x v="2"/>
    <d v="2022-12-03T00:00:00"/>
    <d v="1899-12-30T20:50:11"/>
    <n v="-76.722803330000005"/>
    <n v="3.4783183329999998"/>
    <n v="7"/>
    <s v="Derecho"/>
    <s v="Gustavo Rodriguez"/>
    <n v="2100"/>
    <b v="1"/>
    <m/>
    <n v="12.5"/>
    <n v="0"/>
    <n v="10"/>
    <s v="Sotobosque"/>
    <s v="Bosque Primario"/>
    <m/>
    <x v="32"/>
    <m/>
    <n v="2"/>
    <m/>
    <m/>
    <m/>
    <m/>
    <m/>
    <m/>
    <m/>
    <n v="-76.722821670000002"/>
    <n v="3.4779583330000001"/>
    <n v="12"/>
    <n v="0"/>
    <n v="10"/>
    <n v="-76.722941669999997"/>
    <n v="3.4790033330000001"/>
    <n v="8"/>
    <n v="0"/>
    <n v="15"/>
    <s v="Herbaceo 0.3-1.5 m"/>
    <s v="Auditivo"/>
    <m/>
  </r>
  <r>
    <x v="5"/>
    <x v="1"/>
    <x v="6"/>
    <s v="FCTAT3"/>
    <x v="2"/>
    <d v="2022-12-03T00:00:00"/>
    <d v="1899-12-30T20:33:16"/>
    <n v="-76.72277167"/>
    <n v="3.4781200000000001"/>
    <n v="7"/>
    <s v="Izquierdo"/>
    <s v="Alvaro Fierro"/>
    <n v="2100"/>
    <b v="1"/>
    <m/>
    <n v="12.5"/>
    <n v="0"/>
    <n v="10"/>
    <s v="Sotobosque"/>
    <s v="Bosque Primario"/>
    <m/>
    <x v="34"/>
    <m/>
    <n v="1"/>
    <m/>
    <m/>
    <m/>
    <m/>
    <m/>
    <m/>
    <m/>
    <n v="-76.722821670000002"/>
    <n v="3.4779583330000001"/>
    <n v="12"/>
    <n v="0"/>
    <n v="10"/>
    <n v="-76.722941669999997"/>
    <n v="3.4790033330000001"/>
    <n v="8"/>
    <n v="0"/>
    <n v="15"/>
    <s v="Arbustivo 1.5-5 m"/>
    <s v="Observacion"/>
    <m/>
  </r>
  <r>
    <x v="5"/>
    <x v="1"/>
    <x v="6"/>
    <s v="FCTAT3"/>
    <x v="2"/>
    <d v="2022-12-03T00:00:00"/>
    <d v="1899-12-30T20:34:54"/>
    <n v="-76.722755000000006"/>
    <n v="3.4779849999999999"/>
    <n v="7"/>
    <s v="Izquierdo"/>
    <s v="Oscar Cuellar"/>
    <n v="2100"/>
    <b v="1"/>
    <m/>
    <n v="12.5"/>
    <n v="0"/>
    <n v="10"/>
    <s v="Sotobosque"/>
    <s v="Bosque Primario"/>
    <m/>
    <x v="5"/>
    <m/>
    <n v="1"/>
    <m/>
    <m/>
    <m/>
    <m/>
    <m/>
    <m/>
    <m/>
    <n v="-76.722821670000002"/>
    <n v="3.4779583330000001"/>
    <n v="12"/>
    <n v="0"/>
    <n v="10"/>
    <n v="-76.722941669999997"/>
    <n v="3.4790033330000001"/>
    <n v="8"/>
    <n v="0"/>
    <n v="15"/>
    <s v="Herbaceo 0.3-1.5 m"/>
    <s v="Observacion"/>
    <s v="Univalle"/>
  </r>
  <r>
    <x v="5"/>
    <x v="1"/>
    <x v="6"/>
    <s v="FCTAT3"/>
    <x v="2"/>
    <d v="2022-12-03T00:00:00"/>
    <d v="1899-12-30T21:13:54"/>
    <n v="-76.722876670000005"/>
    <n v="3.478443333"/>
    <n v="7"/>
    <s v="Derecho"/>
    <s v="Gustavo Rodriguez"/>
    <n v="2100"/>
    <b v="1"/>
    <m/>
    <n v="12.5"/>
    <n v="0"/>
    <n v="10"/>
    <s v="Sotobosque"/>
    <s v="Bosque Primario"/>
    <m/>
    <x v="32"/>
    <m/>
    <n v="1"/>
    <m/>
    <m/>
    <m/>
    <m/>
    <m/>
    <m/>
    <m/>
    <n v="-76.722821670000002"/>
    <n v="3.4779583330000001"/>
    <n v="12"/>
    <n v="0"/>
    <n v="10"/>
    <n v="-76.722941669999997"/>
    <n v="3.4790033330000001"/>
    <n v="8"/>
    <n v="0"/>
    <n v="15"/>
    <s v="Herbaceo 0.3-1.5 m"/>
    <s v="Observacion"/>
    <m/>
  </r>
  <r>
    <x v="5"/>
    <x v="1"/>
    <x v="6"/>
    <s v="FCTAT3"/>
    <x v="2"/>
    <d v="2022-12-03T00:00:00"/>
    <d v="1899-12-30T21:55:53"/>
    <n v="-76.722841669999994"/>
    <n v="3.4785499999999998"/>
    <n v="7"/>
    <s v="Izquierdo"/>
    <s v="Alvaro Fierro"/>
    <n v="2100"/>
    <b v="1"/>
    <m/>
    <n v="12.5"/>
    <n v="0"/>
    <n v="10"/>
    <s v="Sotobosque"/>
    <s v="Bosque Primario"/>
    <m/>
    <x v="5"/>
    <m/>
    <n v="1"/>
    <m/>
    <m/>
    <m/>
    <m/>
    <m/>
    <m/>
    <m/>
    <n v="-76.722821670000002"/>
    <n v="3.4779583330000001"/>
    <n v="12"/>
    <n v="0"/>
    <n v="10"/>
    <n v="-76.722941669999997"/>
    <n v="3.4790033330000001"/>
    <n v="8"/>
    <n v="0"/>
    <n v="15"/>
    <s v="Herbaceo 0.3-1.5 m"/>
    <s v="Observacion"/>
    <m/>
  </r>
  <r>
    <x v="5"/>
    <x v="1"/>
    <x v="5"/>
    <s v="FCTCT6"/>
    <x v="0"/>
    <d v="2022-12-03T00:00:00"/>
    <d v="1899-12-30T23:12:00"/>
    <n v="-76.723218329999995"/>
    <n v="3.4831249999999998"/>
    <n v="7"/>
    <s v="Derecho"/>
    <s v="Alvaro Fierro"/>
    <n v="2100"/>
    <b v="1"/>
    <m/>
    <n v="9"/>
    <n v="0"/>
    <n v="15"/>
    <s v="Sotobosque"/>
    <s v="Bosque Secundario"/>
    <m/>
    <x v="3"/>
    <m/>
    <n v="1"/>
    <m/>
    <m/>
    <m/>
    <m/>
    <m/>
    <m/>
    <m/>
    <n v="-76.722986669999997"/>
    <n v="3.4827900000000001"/>
    <n v="15"/>
    <n v="0"/>
    <n v="8"/>
    <n v="-76.723496670000003"/>
    <n v="3.48339"/>
    <n v="15"/>
    <n v="0"/>
    <n v="10"/>
    <s v="Herbaceo 0.3-1.5 m"/>
    <s v="Observacion"/>
    <m/>
  </r>
  <r>
    <x v="5"/>
    <x v="1"/>
    <x v="5"/>
    <s v="FCTCT6"/>
    <x v="0"/>
    <d v="2022-12-03T00:00:00"/>
    <d v="1899-12-30T23:07:44"/>
    <n v="-76.723050000000001"/>
    <n v="3.4828749999999999"/>
    <n v="7"/>
    <s v="Izquierdo"/>
    <s v="Alvaro Fierro"/>
    <n v="2100"/>
    <b v="1"/>
    <m/>
    <n v="9"/>
    <n v="0"/>
    <n v="15"/>
    <s v="Sotobosque"/>
    <s v="Bosque Secundario"/>
    <m/>
    <x v="3"/>
    <m/>
    <n v="2"/>
    <m/>
    <m/>
    <m/>
    <m/>
    <m/>
    <m/>
    <m/>
    <n v="-76.722986669999997"/>
    <n v="3.4827900000000001"/>
    <n v="15"/>
    <n v="0"/>
    <n v="8"/>
    <n v="-76.723496670000003"/>
    <n v="3.48339"/>
    <n v="15"/>
    <n v="0"/>
    <n v="10"/>
    <s v="Herbaceo 0.3-1.5 m"/>
    <s v="Observacion"/>
    <m/>
  </r>
  <r>
    <x v="5"/>
    <x v="1"/>
    <x v="5"/>
    <s v="FCTCT6"/>
    <x v="0"/>
    <d v="2022-12-03T00:00:00"/>
    <d v="1899-12-30T23:07:44"/>
    <n v="-76.723050000000001"/>
    <n v="3.4828749999999999"/>
    <n v="7"/>
    <s v="Derecho"/>
    <s v="Gustavo Rodriguez"/>
    <n v="2100"/>
    <b v="1"/>
    <m/>
    <n v="9"/>
    <n v="0"/>
    <n v="15"/>
    <s v="Sotobosque"/>
    <s v="Bosque Secundario"/>
    <m/>
    <x v="3"/>
    <m/>
    <n v="1"/>
    <m/>
    <m/>
    <m/>
    <m/>
    <m/>
    <m/>
    <m/>
    <n v="-76.722986669999997"/>
    <n v="3.4827900000000001"/>
    <n v="15"/>
    <n v="0"/>
    <n v="8"/>
    <n v="-76.723496670000003"/>
    <n v="3.48339"/>
    <n v="15"/>
    <n v="0"/>
    <n v="10"/>
    <s v="Herbaceo 0.3-1.5 m"/>
    <s v="Observacion"/>
    <m/>
  </r>
  <r>
    <x v="5"/>
    <x v="1"/>
    <x v="5"/>
    <s v="FCTCT6"/>
    <x v="0"/>
    <d v="2022-12-03T00:00:00"/>
    <d v="1899-12-30T23:16:47"/>
    <n v="-76.723496670000003"/>
    <n v="3.48339"/>
    <n v="7"/>
    <s v="Izquierdo"/>
    <s v="Oscar Cuellar"/>
    <n v="2100"/>
    <b v="1"/>
    <m/>
    <n v="9"/>
    <n v="0"/>
    <n v="15"/>
    <s v="Sotobosque"/>
    <s v="Bosque Secundario"/>
    <m/>
    <x v="3"/>
    <m/>
    <n v="1"/>
    <m/>
    <m/>
    <m/>
    <m/>
    <m/>
    <m/>
    <m/>
    <n v="-76.722986669999997"/>
    <n v="3.4827900000000001"/>
    <n v="15"/>
    <n v="0"/>
    <n v="8"/>
    <n v="-76.723496670000003"/>
    <n v="3.48339"/>
    <n v="15"/>
    <n v="0"/>
    <n v="10"/>
    <s v="Herbaceo 0.3-1.5 m"/>
    <s v="Observacion"/>
    <s v="Univalle"/>
  </r>
  <r>
    <x v="5"/>
    <x v="1"/>
    <x v="5"/>
    <s v="FCTCT6"/>
    <x v="0"/>
    <d v="2022-12-03T00:00:00"/>
    <d v="1899-12-30T23:10:23"/>
    <n v="-76.723159999999993"/>
    <n v="3.4830333329999998"/>
    <n v="7"/>
    <s v="Derecho"/>
    <s v="Oscar Cuellar"/>
    <n v="2100"/>
    <b v="1"/>
    <m/>
    <n v="9"/>
    <n v="0"/>
    <n v="15"/>
    <s v="Sotobosque"/>
    <s v="Bosque Secundario"/>
    <m/>
    <x v="3"/>
    <m/>
    <n v="1"/>
    <m/>
    <m/>
    <m/>
    <m/>
    <m/>
    <m/>
    <m/>
    <n v="-76.722986669999997"/>
    <n v="3.4827900000000001"/>
    <n v="15"/>
    <n v="0"/>
    <n v="8"/>
    <n v="-76.723496670000003"/>
    <n v="3.48339"/>
    <n v="15"/>
    <n v="0"/>
    <n v="10"/>
    <s v="Herbaceo 0.3-1.5 m"/>
    <s v="Observacion"/>
    <s v="Univalle"/>
  </r>
  <r>
    <x v="5"/>
    <x v="1"/>
    <x v="5"/>
    <s v="FCTCT8"/>
    <x v="2"/>
    <d v="2022-12-03T00:00:00"/>
    <d v="1899-12-30T23:30:51"/>
    <n v="-76.72363833"/>
    <n v="3.484343333"/>
    <n v="7"/>
    <m/>
    <s v="Oscar Cuellar"/>
    <m/>
    <m/>
    <m/>
    <n v="7"/>
    <n v="0"/>
    <n v="7.5"/>
    <m/>
    <m/>
    <m/>
    <x v="0"/>
    <m/>
    <n v="0"/>
    <m/>
    <m/>
    <m/>
    <m/>
    <m/>
    <m/>
    <m/>
    <n v="-76.723363329999998"/>
    <n v="3.4838133330000001"/>
    <n v="10"/>
    <n v="0"/>
    <n v="8"/>
    <n v="-76.723518330000005"/>
    <n v="3.4849033330000001"/>
    <n v="5"/>
    <n v="0"/>
    <n v="6"/>
    <m/>
    <m/>
    <s v="Univalle"/>
  </r>
  <r>
    <x v="5"/>
    <x v="1"/>
    <x v="6"/>
    <s v="FCTAT5"/>
    <x v="4"/>
    <d v="2022-12-03T00:00:00"/>
    <d v="1899-12-30T22:40:13"/>
    <n v="-76.723198330000002"/>
    <n v="3.4810266670000001"/>
    <n v="7"/>
    <s v="Izquierdo"/>
    <s v="Oscar Cuellar"/>
    <n v="2100"/>
    <b v="1"/>
    <m/>
    <n v="15"/>
    <n v="0"/>
    <n v="9"/>
    <s v="Sotobosque"/>
    <s v="Bosque Primario"/>
    <m/>
    <x v="5"/>
    <m/>
    <n v="1"/>
    <m/>
    <m/>
    <m/>
    <m/>
    <m/>
    <m/>
    <m/>
    <n v="-76.723145000000002"/>
    <n v="3.480276667"/>
    <n v="8"/>
    <n v="0"/>
    <n v="15"/>
    <n v="-76.723198330000002"/>
    <n v="3.4810266670000001"/>
    <n v="10"/>
    <n v="0"/>
    <n v="15"/>
    <s v="Herbaceo 0.3-1.5 m"/>
    <s v="Observacion"/>
    <s v="Univalle"/>
  </r>
  <r>
    <x v="5"/>
    <x v="1"/>
    <x v="6"/>
    <s v="FCTAT5"/>
    <x v="4"/>
    <d v="2022-12-03T00:00:00"/>
    <d v="1899-12-30T22:34:37"/>
    <n v="-76.723325000000003"/>
    <n v="3.4808783330000002"/>
    <n v="7"/>
    <s v="Izquierdo"/>
    <s v="Oscar Cuellar"/>
    <n v="2100"/>
    <b v="1"/>
    <m/>
    <n v="15"/>
    <n v="0"/>
    <n v="9"/>
    <s v="Sotobosque"/>
    <s v="Bosque Primario"/>
    <m/>
    <x v="5"/>
    <m/>
    <n v="1"/>
    <m/>
    <m/>
    <m/>
    <m/>
    <m/>
    <m/>
    <m/>
    <n v="-76.723145000000002"/>
    <n v="3.480276667"/>
    <n v="8"/>
    <n v="0"/>
    <n v="15"/>
    <n v="-76.723198330000002"/>
    <n v="3.4810266670000001"/>
    <n v="10"/>
    <n v="0"/>
    <n v="15"/>
    <s v="Herbaceo 0.3-1.5 m"/>
    <s v="Observacion"/>
    <s v="Univalle"/>
  </r>
  <r>
    <x v="5"/>
    <x v="1"/>
    <x v="6"/>
    <s v="FCTAT5"/>
    <x v="4"/>
    <d v="2022-12-03T00:00:00"/>
    <d v="1899-12-30T22:37:27"/>
    <n v="-76.723150000000004"/>
    <n v="3.480823333"/>
    <n v="7"/>
    <s v="Derecho"/>
    <s v="Oscar Cuellar"/>
    <n v="2100"/>
    <b v="1"/>
    <m/>
    <n v="15"/>
    <n v="0"/>
    <n v="9"/>
    <s v="Sotobosque"/>
    <s v="Bosque Primario"/>
    <m/>
    <x v="5"/>
    <m/>
    <n v="1"/>
    <m/>
    <m/>
    <m/>
    <m/>
    <m/>
    <m/>
    <m/>
    <n v="-76.723145000000002"/>
    <n v="3.480276667"/>
    <n v="8"/>
    <n v="0"/>
    <n v="15"/>
    <n v="-76.723198330000002"/>
    <n v="3.4810266670000001"/>
    <n v="10"/>
    <n v="0"/>
    <n v="15"/>
    <s v="Herbaceo 0.3-1.5 m"/>
    <s v="Observacion"/>
    <s v="Univalle"/>
  </r>
  <r>
    <x v="5"/>
    <x v="1"/>
    <x v="6"/>
    <s v="FCTAT5"/>
    <x v="4"/>
    <d v="2022-12-03T00:00:00"/>
    <d v="1899-12-30T22:25:20"/>
    <n v="-76.723183329999998"/>
    <n v="3.4803483329999998"/>
    <n v="7"/>
    <s v="Izquierdo"/>
    <s v="Oscar Cuellar"/>
    <n v="2100"/>
    <m/>
    <m/>
    <n v="15"/>
    <n v="0"/>
    <n v="9"/>
    <s v="Sotobosque"/>
    <s v="Bosque Primario"/>
    <m/>
    <x v="4"/>
    <m/>
    <n v="1"/>
    <m/>
    <m/>
    <m/>
    <m/>
    <m/>
    <m/>
    <m/>
    <n v="-76.723145000000002"/>
    <n v="3.480276667"/>
    <n v="8"/>
    <n v="0"/>
    <n v="15"/>
    <n v="-76.723198330000002"/>
    <n v="3.4810266670000001"/>
    <n v="10"/>
    <n v="0"/>
    <n v="15"/>
    <s v="Rasante &lt;0.3 m"/>
    <s v="Auditivo"/>
    <s v="Univalle"/>
  </r>
  <r>
    <x v="5"/>
    <x v="1"/>
    <x v="6"/>
    <s v="FCTAT5"/>
    <x v="4"/>
    <d v="2022-12-03T00:00:00"/>
    <d v="1899-12-30T22:25:20"/>
    <n v="-76.723183329999998"/>
    <n v="3.4803483329999998"/>
    <n v="7"/>
    <s v="Izquierdo"/>
    <s v="Gustavo Rodriguez"/>
    <n v="2100"/>
    <b v="1"/>
    <m/>
    <n v="15"/>
    <n v="0"/>
    <n v="9"/>
    <s v="Sotobosque"/>
    <s v="Bosque Primario"/>
    <m/>
    <x v="32"/>
    <m/>
    <n v="3"/>
    <m/>
    <m/>
    <m/>
    <m/>
    <m/>
    <m/>
    <m/>
    <n v="-76.723145000000002"/>
    <n v="3.480276667"/>
    <n v="8"/>
    <n v="0"/>
    <n v="15"/>
    <n v="-76.723198330000002"/>
    <n v="3.4810266670000001"/>
    <n v="10"/>
    <n v="0"/>
    <n v="15"/>
    <s v="Herbaceo 0.3-1.5 m"/>
    <s v="Auditivo"/>
    <m/>
  </r>
  <r>
    <x v="5"/>
    <x v="1"/>
    <x v="6"/>
    <s v="FCTAT5"/>
    <x v="4"/>
    <d v="2022-12-03T00:00:00"/>
    <d v="1899-12-30T22:30:28"/>
    <n v="-76.723238330000001"/>
    <n v="3.48062"/>
    <n v="7"/>
    <s v="Izquierdo"/>
    <s v="Gustavo Rodriguez"/>
    <m/>
    <b v="1"/>
    <m/>
    <n v="15"/>
    <n v="0"/>
    <n v="9"/>
    <s v="Hojarasca"/>
    <s v="Bosque Primario"/>
    <m/>
    <x v="4"/>
    <m/>
    <n v="1"/>
    <m/>
    <m/>
    <m/>
    <m/>
    <m/>
    <m/>
    <m/>
    <n v="-76.723145000000002"/>
    <n v="3.480276667"/>
    <n v="8"/>
    <n v="0"/>
    <n v="15"/>
    <n v="-76.723198330000002"/>
    <n v="3.4810266670000001"/>
    <n v="10"/>
    <n v="0"/>
    <n v="15"/>
    <s v="Rasante &lt;0.3 m"/>
    <s v="Observacion"/>
    <m/>
  </r>
  <r>
    <x v="5"/>
    <x v="1"/>
    <x v="6"/>
    <s v="FCTAT4"/>
    <x v="3"/>
    <d v="2022-12-03T00:00:00"/>
    <d v="1899-12-30T22:07:06"/>
    <n v="-76.723048329999997"/>
    <n v="3.4791949999999998"/>
    <n v="7"/>
    <s v="Izquierdo"/>
    <s v="Alvaro Fierro"/>
    <n v="2100"/>
    <b v="1"/>
    <m/>
    <n v="15"/>
    <n v="0"/>
    <n v="9"/>
    <s v="Sotobosque"/>
    <s v="Bosque Primario"/>
    <m/>
    <x v="5"/>
    <m/>
    <n v="1"/>
    <m/>
    <m/>
    <m/>
    <m/>
    <m/>
    <m/>
    <m/>
    <n v="-76.723048329999997"/>
    <n v="3.4791949999999998"/>
    <n v="10"/>
    <n v="0"/>
    <n v="15"/>
    <n v="-76.723145000000002"/>
    <n v="3.480276667"/>
    <n v="8"/>
    <n v="0"/>
    <n v="15"/>
    <s v="Herbaceo 0.3-1.5 m"/>
    <s v="Observacion"/>
    <m/>
  </r>
  <r>
    <x v="5"/>
    <x v="1"/>
    <x v="6"/>
    <s v="FCTAT4"/>
    <x v="3"/>
    <d v="2022-12-03T00:00:00"/>
    <d v="1899-12-30T22:15:08"/>
    <n v="-76.723073330000005"/>
    <n v="3.4795466670000001"/>
    <n v="7"/>
    <s v="Izquierdo"/>
    <s v="Oscar Cuellar"/>
    <n v="2100"/>
    <b v="1"/>
    <m/>
    <n v="15"/>
    <n v="0"/>
    <n v="9"/>
    <s v="Sotobosque"/>
    <s v="Bosque Primario"/>
    <m/>
    <x v="5"/>
    <m/>
    <n v="1"/>
    <m/>
    <m/>
    <m/>
    <m/>
    <m/>
    <m/>
    <m/>
    <n v="-76.723048329999997"/>
    <n v="3.4791949999999998"/>
    <n v="10"/>
    <n v="0"/>
    <n v="15"/>
    <n v="-76.723145000000002"/>
    <n v="3.480276667"/>
    <n v="8"/>
    <n v="0"/>
    <n v="15"/>
    <s v="Herbaceo 0.3-1.5 m"/>
    <s v="Observacion"/>
    <s v="Univalle"/>
  </r>
  <r>
    <x v="5"/>
    <x v="1"/>
    <x v="6"/>
    <s v="FCTAT4"/>
    <x v="3"/>
    <d v="2022-12-03T00:00:00"/>
    <d v="1899-12-30T22:15:08"/>
    <n v="-76.723073330000005"/>
    <n v="3.4795466670000001"/>
    <n v="7"/>
    <s v="Derecho"/>
    <s v="Gustavo Rodriguez"/>
    <n v="2100"/>
    <b v="1"/>
    <m/>
    <n v="15"/>
    <n v="0"/>
    <n v="9"/>
    <s v="Sotobosque"/>
    <s v="Bosque Primario"/>
    <m/>
    <x v="5"/>
    <m/>
    <n v="1"/>
    <m/>
    <m/>
    <m/>
    <m/>
    <m/>
    <m/>
    <m/>
    <n v="-76.723048329999997"/>
    <n v="3.4791949999999998"/>
    <n v="10"/>
    <n v="0"/>
    <n v="15"/>
    <n v="-76.723145000000002"/>
    <n v="3.480276667"/>
    <n v="8"/>
    <n v="0"/>
    <n v="15"/>
    <s v="Herbaceo 0.3-1.5 m"/>
    <s v="Observacion"/>
    <m/>
  </r>
  <r>
    <x v="5"/>
    <x v="1"/>
    <x v="5"/>
    <s v="FCTCT7"/>
    <x v="1"/>
    <d v="2022-12-03T00:00:00"/>
    <d v="1899-12-30T23:21:47"/>
    <n v="-76.72345833"/>
    <n v="3.483691667"/>
    <n v="7"/>
    <s v="Derecho"/>
    <m/>
    <m/>
    <b v="1"/>
    <m/>
    <n v="8"/>
    <n v="0"/>
    <n v="10"/>
    <s v="Hojarasca"/>
    <s v="Bosque Secundario"/>
    <m/>
    <x v="3"/>
    <m/>
    <n v="1"/>
    <m/>
    <m/>
    <m/>
    <m/>
    <m/>
    <m/>
    <m/>
    <n v="-76.723583329999997"/>
    <n v="3.4834533329999999"/>
    <n v="10"/>
    <n v="0"/>
    <n v="8"/>
    <n v="-76.723363329999998"/>
    <n v="3.4838133330000001"/>
    <n v="10"/>
    <n v="0"/>
    <n v="8"/>
    <s v="Herbaceo 0.3-1.5 m"/>
    <s v="Observacion"/>
    <m/>
  </r>
  <r>
    <x v="5"/>
    <x v="2"/>
    <x v="8"/>
    <s v="FCCBT6"/>
    <x v="1"/>
    <d v="2022-11-17T00:00:00"/>
    <d v="1899-12-30T21:03:09"/>
    <n v="-76.643013330000002"/>
    <n v="3.3496083329999999"/>
    <n v="7"/>
    <s v="Izquierdo"/>
    <s v="Diana Murillo"/>
    <n v="2369"/>
    <b v="1"/>
    <m/>
    <n v="9"/>
    <n v="0"/>
    <n v="12.5"/>
    <s v="Hojas y/o Ramas"/>
    <s v="Bosque Primario"/>
    <m/>
    <x v="3"/>
    <m/>
    <n v="1"/>
    <m/>
    <m/>
    <m/>
    <m/>
    <m/>
    <m/>
    <m/>
    <n v="-76.642979999999994"/>
    <n v="3.3492250000000001"/>
    <n v="15"/>
    <n v="0"/>
    <n v="10"/>
    <n v="-76.643304999999998"/>
    <n v="3.3496583329999998"/>
    <n v="10"/>
    <n v="0"/>
    <n v="8"/>
    <s v="Herbaceo 0.3-1.5 m"/>
    <s v="Observacion"/>
    <m/>
  </r>
  <r>
    <x v="5"/>
    <x v="2"/>
    <x v="8"/>
    <s v="FCCBT6"/>
    <x v="1"/>
    <d v="2022-11-17T00:00:00"/>
    <d v="1899-12-30T20:58:50"/>
    <n v="-76.642908329999997"/>
    <n v="3.3493283329999999"/>
    <n v="7"/>
    <s v="Derecho"/>
    <s v="Andrea Guazaquillo"/>
    <n v="2369"/>
    <b v="1"/>
    <m/>
    <n v="9"/>
    <n v="0"/>
    <n v="12.5"/>
    <s v="Hojas y/o Ramas"/>
    <s v="Bosque Primario"/>
    <m/>
    <x v="3"/>
    <m/>
    <n v="1"/>
    <m/>
    <m/>
    <m/>
    <m/>
    <m/>
    <m/>
    <m/>
    <n v="-76.642979999999994"/>
    <n v="3.3492250000000001"/>
    <n v="15"/>
    <n v="0"/>
    <n v="10"/>
    <n v="-76.643304999999998"/>
    <n v="3.3496583329999998"/>
    <n v="10"/>
    <n v="0"/>
    <n v="8"/>
    <s v="Herbaceo 0.3-1.5 m"/>
    <s v="Observacion"/>
    <m/>
  </r>
  <r>
    <x v="5"/>
    <x v="2"/>
    <x v="8"/>
    <s v="FCCBT6"/>
    <x v="1"/>
    <d v="2022-11-17T00:00:00"/>
    <d v="1899-12-30T21:12:05"/>
    <n v="-76.643021669999996"/>
    <n v="3.3496166669999998"/>
    <n v="7"/>
    <s v="Izquierdo"/>
    <s v="Diana Murillo"/>
    <n v="2369"/>
    <b v="1"/>
    <m/>
    <n v="9"/>
    <n v="0"/>
    <n v="12.5"/>
    <s v="Hojas y/o Ramas"/>
    <s v="Bosque Primario"/>
    <m/>
    <x v="3"/>
    <m/>
    <n v="2"/>
    <m/>
    <m/>
    <m/>
    <m/>
    <m/>
    <m/>
    <m/>
    <n v="-76.642979999999994"/>
    <n v="3.3492250000000001"/>
    <n v="15"/>
    <n v="0"/>
    <n v="10"/>
    <n v="-76.643304999999998"/>
    <n v="3.3496583329999998"/>
    <n v="10"/>
    <n v="0"/>
    <n v="8"/>
    <s v="Herbaceo 0.3-1.5 m"/>
    <s v="Observacion"/>
    <m/>
  </r>
  <r>
    <x v="5"/>
    <x v="2"/>
    <x v="8"/>
    <s v="FCCBT6"/>
    <x v="1"/>
    <d v="2022-11-17T00:00:00"/>
    <d v="1899-12-30T21:15:51"/>
    <n v="-76.642705000000007"/>
    <n v="3.34931"/>
    <n v="7"/>
    <s v="Derecho"/>
    <s v="Gustavo Rodriguez"/>
    <n v="2369"/>
    <b v="1"/>
    <m/>
    <n v="9"/>
    <n v="0"/>
    <n v="12.5"/>
    <s v="Hojas y/o Ramas"/>
    <s v="Bosque Primario"/>
    <m/>
    <x v="3"/>
    <m/>
    <n v="1"/>
    <m/>
    <m/>
    <m/>
    <m/>
    <m/>
    <m/>
    <m/>
    <n v="-76.642979999999994"/>
    <n v="3.3492250000000001"/>
    <n v="15"/>
    <n v="0"/>
    <n v="10"/>
    <n v="-76.643304999999998"/>
    <n v="3.3496583329999998"/>
    <n v="10"/>
    <n v="0"/>
    <n v="8"/>
    <s v="Herbaceo 0.3-1.5 m"/>
    <s v="Observacion"/>
    <m/>
  </r>
  <r>
    <x v="5"/>
    <x v="2"/>
    <x v="8"/>
    <s v="FCCBT6"/>
    <x v="1"/>
    <d v="2022-11-17T00:00:00"/>
    <d v="1899-12-30T21:09:20"/>
    <n v="-76.643036670000001"/>
    <n v="3.3495783330000002"/>
    <n v="7"/>
    <s v="Derecho"/>
    <s v="Andrea Guazaquillo"/>
    <n v="2369"/>
    <b v="1"/>
    <m/>
    <n v="9"/>
    <n v="0"/>
    <n v="12.5"/>
    <s v="Hojas y/o Ramas"/>
    <s v="Bosque Primario"/>
    <m/>
    <x v="17"/>
    <m/>
    <n v="1"/>
    <m/>
    <m/>
    <s v="Procesos de remoción en masa"/>
    <m/>
    <m/>
    <m/>
    <m/>
    <n v="-76.642979999999994"/>
    <n v="3.3492250000000001"/>
    <n v="15"/>
    <n v="0"/>
    <n v="10"/>
    <n v="-76.643304999999998"/>
    <n v="3.3496583329999998"/>
    <n v="10"/>
    <n v="0"/>
    <n v="8"/>
    <s v="Herbaceo 0.3-1.5 m"/>
    <s v="Observacion"/>
    <m/>
  </r>
  <r>
    <x v="5"/>
    <x v="2"/>
    <x v="19"/>
    <s v="FCCBT8"/>
    <x v="0"/>
    <d v="2022-11-17T00:00:00"/>
    <d v="1899-12-30T19:57:43"/>
    <n v="-76.642153329999999"/>
    <n v="3.3496766670000002"/>
    <n v="7"/>
    <s v="Derecho"/>
    <s v="Andrea Guazaquillo"/>
    <n v="2369"/>
    <b v="1"/>
    <m/>
    <n v="17.5"/>
    <n v="0"/>
    <n v="20"/>
    <s v="Hojas y/o Ramas"/>
    <s v="Bosque Primario"/>
    <m/>
    <x v="3"/>
    <m/>
    <n v="1"/>
    <m/>
    <m/>
    <m/>
    <m/>
    <m/>
    <m/>
    <m/>
    <n v="-76.641183330000004"/>
    <n v="3.3499099999999999"/>
    <n v="10"/>
    <n v="0"/>
    <n v="20"/>
    <n v="-76.642153329999999"/>
    <n v="3.3496766670000002"/>
    <n v="30"/>
    <n v="0"/>
    <n v="15"/>
    <s v="Rasante &lt;0.3 m"/>
    <s v="Observacion"/>
    <m/>
  </r>
  <r>
    <x v="5"/>
    <x v="2"/>
    <x v="19"/>
    <s v="FCCBT8"/>
    <x v="0"/>
    <d v="2022-11-17T00:00:00"/>
    <d v="1899-12-30T19:35:52"/>
    <n v="-76.641151669999999"/>
    <n v="3.3498549999999998"/>
    <n v="7"/>
    <s v="Derecho"/>
    <s v="Gustavo Rodriguez"/>
    <n v="2369"/>
    <b v="1"/>
    <m/>
    <n v="17.5"/>
    <n v="0"/>
    <n v="20"/>
    <s v="Hojas y/o Ramas"/>
    <s v="Bosque Primario"/>
    <m/>
    <x v="3"/>
    <m/>
    <n v="1"/>
    <m/>
    <m/>
    <m/>
    <m/>
    <m/>
    <m/>
    <m/>
    <n v="-76.641183330000004"/>
    <n v="3.3499099999999999"/>
    <n v="10"/>
    <n v="0"/>
    <n v="20"/>
    <n v="-76.642153329999999"/>
    <n v="3.3496766670000002"/>
    <n v="30"/>
    <n v="0"/>
    <n v="15"/>
    <s v="Herbaceo 0.3-1.5 m"/>
    <s v="Observacion"/>
    <m/>
  </r>
  <r>
    <x v="5"/>
    <x v="2"/>
    <x v="19"/>
    <s v="FCCBT8"/>
    <x v="0"/>
    <d v="2022-11-17T00:00:00"/>
    <d v="1899-12-30T19:45:51"/>
    <n v="-76.641673330000003"/>
    <n v="3.3497599999999998"/>
    <n v="7"/>
    <s v="Izquierdo"/>
    <s v="Diana Murillo"/>
    <n v="2369"/>
    <b v="1"/>
    <m/>
    <n v="17.5"/>
    <n v="0"/>
    <n v="20"/>
    <s v="Hojas y/o Ramas"/>
    <s v="Bosque Primario"/>
    <m/>
    <x v="3"/>
    <m/>
    <n v="1"/>
    <m/>
    <m/>
    <m/>
    <m/>
    <m/>
    <m/>
    <m/>
    <n v="-76.641183330000004"/>
    <n v="3.3499099999999999"/>
    <n v="10"/>
    <n v="0"/>
    <n v="20"/>
    <n v="-76.642153329999999"/>
    <n v="3.3496766670000002"/>
    <n v="30"/>
    <n v="0"/>
    <n v="15"/>
    <s v="Herbaceo 0.3-1.5 m"/>
    <s v="Observacion"/>
    <m/>
  </r>
  <r>
    <x v="5"/>
    <x v="2"/>
    <x v="19"/>
    <s v="FCCBT8"/>
    <x v="0"/>
    <d v="2022-11-17T00:00:00"/>
    <d v="1899-12-30T19:34:15"/>
    <n v="-76.641183330000004"/>
    <n v="3.3499099999999999"/>
    <n v="7"/>
    <s v="Izquierdo"/>
    <s v="Diana Murillo"/>
    <n v="2369"/>
    <b v="1"/>
    <m/>
    <n v="17.5"/>
    <n v="0"/>
    <n v="20"/>
    <s v="Hojas y/o Ramas"/>
    <s v="Bosque Primario"/>
    <m/>
    <x v="3"/>
    <m/>
    <n v="1"/>
    <m/>
    <m/>
    <m/>
    <m/>
    <m/>
    <m/>
    <m/>
    <n v="-76.641183330000004"/>
    <n v="3.3499099999999999"/>
    <n v="10"/>
    <n v="0"/>
    <n v="20"/>
    <n v="-76.642153329999999"/>
    <n v="3.3496766670000002"/>
    <n v="30"/>
    <n v="0"/>
    <n v="15"/>
    <s v="Herbaceo 0.3-1.5 m"/>
    <s v="Observacion"/>
    <m/>
  </r>
  <r>
    <x v="5"/>
    <x v="2"/>
    <x v="19"/>
    <s v="FCCBT8"/>
    <x v="0"/>
    <d v="2022-11-17T00:00:00"/>
    <d v="1899-12-30T19:51:49"/>
    <n v="-76.642004999999997"/>
    <n v="3.3495983329999999"/>
    <n v="7"/>
    <s v="Derecho"/>
    <s v="Gustavo Rodriguez"/>
    <n v="2369"/>
    <b v="1"/>
    <m/>
    <n v="17.5"/>
    <n v="0"/>
    <n v="20"/>
    <s v="Hojas y/o Ramas"/>
    <s v="Bosque Primario"/>
    <m/>
    <x v="9"/>
    <m/>
    <n v="1"/>
    <m/>
    <m/>
    <m/>
    <m/>
    <m/>
    <m/>
    <m/>
    <n v="-76.641183330000004"/>
    <n v="3.3499099999999999"/>
    <n v="10"/>
    <n v="0"/>
    <n v="20"/>
    <n v="-76.642153329999999"/>
    <n v="3.3496766670000002"/>
    <n v="30"/>
    <n v="0"/>
    <n v="15"/>
    <s v="Herbaceo 0.3-1.5 m"/>
    <s v="Observacion"/>
    <m/>
  </r>
  <r>
    <x v="5"/>
    <x v="2"/>
    <x v="8"/>
    <s v="FCCBT7"/>
    <x v="2"/>
    <d v="2022-11-17T00:00:00"/>
    <d v="1899-12-30T20:18:07"/>
    <n v="-76.642256669999995"/>
    <n v="3.3494799999999998"/>
    <n v="7"/>
    <s v="Izquierdo"/>
    <s v="Diana Murillo"/>
    <n v="2369"/>
    <b v="1"/>
    <m/>
    <n v="10"/>
    <n v="0"/>
    <n v="25"/>
    <s v="Hojas y/o Ramas"/>
    <s v="Bosque Primario"/>
    <m/>
    <x v="3"/>
    <m/>
    <n v="1"/>
    <m/>
    <m/>
    <m/>
    <m/>
    <m/>
    <m/>
    <m/>
    <n v="-76.642178329999993"/>
    <n v="3.3494666670000002"/>
    <n v="20"/>
    <n v="0"/>
    <n v="10"/>
    <n v="-76.642859999999999"/>
    <n v="3.3491516670000001"/>
    <n v="30"/>
    <n v="0"/>
    <n v="10"/>
    <s v="Herbaceo 0.3-1.5 m"/>
    <s v="Observacion"/>
    <m/>
  </r>
  <r>
    <x v="5"/>
    <x v="2"/>
    <x v="8"/>
    <s v="FCCBT7"/>
    <x v="2"/>
    <d v="2022-11-17T00:00:00"/>
    <d v="1899-12-30T20:48:05"/>
    <n v="-76.642690000000002"/>
    <n v="3.3491399999999998"/>
    <n v="7"/>
    <s v="Izquierdo"/>
    <s v="Diana Murillo"/>
    <m/>
    <b v="1"/>
    <m/>
    <n v="10"/>
    <n v="0"/>
    <n v="25"/>
    <s v="Hojas y/o Ramas"/>
    <s v="Bosque Primario"/>
    <m/>
    <x v="12"/>
    <m/>
    <n v="2"/>
    <m/>
    <m/>
    <m/>
    <m/>
    <m/>
    <m/>
    <m/>
    <n v="-76.642178329999993"/>
    <n v="3.3494666670000002"/>
    <n v="20"/>
    <n v="0"/>
    <n v="10"/>
    <n v="-76.642859999999999"/>
    <n v="3.3491516670000001"/>
    <n v="30"/>
    <n v="0"/>
    <n v="10"/>
    <s v="Herbaceo 0.3-1.5 m"/>
    <s v="Observacion"/>
    <m/>
  </r>
  <r>
    <x v="5"/>
    <x v="2"/>
    <x v="8"/>
    <s v="FCCBT7"/>
    <x v="2"/>
    <d v="2022-11-17T00:00:00"/>
    <d v="1899-12-30T20:17:22"/>
    <n v="-76.642210000000006"/>
    <n v="3.3495266670000001"/>
    <n v="7"/>
    <s v="Izquierdo"/>
    <s v="Gustavo Rodriguez"/>
    <n v="2369"/>
    <b v="1"/>
    <m/>
    <n v="10"/>
    <n v="0"/>
    <n v="25"/>
    <s v="Hojas y/o Ramas"/>
    <s v="Bosque Primario"/>
    <s v="Cantando"/>
    <x v="9"/>
    <m/>
    <n v="4"/>
    <m/>
    <m/>
    <m/>
    <m/>
    <m/>
    <m/>
    <m/>
    <n v="-76.642178329999993"/>
    <n v="3.3494666670000002"/>
    <n v="20"/>
    <n v="0"/>
    <n v="10"/>
    <n v="-76.642859999999999"/>
    <n v="3.3491516670000001"/>
    <n v="30"/>
    <n v="0"/>
    <n v="10"/>
    <s v="Herbaceo 0.3-1.5 m"/>
    <s v="Observacion"/>
    <m/>
  </r>
  <r>
    <x v="5"/>
    <x v="2"/>
    <x v="8"/>
    <s v="FCCBT7"/>
    <x v="2"/>
    <d v="2022-11-17T00:00:00"/>
    <d v="1899-12-30T20:44:37"/>
    <n v="-76.642515000000003"/>
    <n v="3.349135"/>
    <n v="7"/>
    <s v="Izquierdo"/>
    <s v="Diana Murillo"/>
    <n v="2369"/>
    <b v="1"/>
    <m/>
    <n v="10"/>
    <n v="0"/>
    <n v="25"/>
    <s v="Hojas y/o Ramas"/>
    <s v="Bosque Primario"/>
    <m/>
    <x v="12"/>
    <m/>
    <n v="2"/>
    <m/>
    <m/>
    <m/>
    <m/>
    <m/>
    <m/>
    <m/>
    <n v="-76.642178329999993"/>
    <n v="3.3494666670000002"/>
    <n v="20"/>
    <n v="0"/>
    <n v="10"/>
    <n v="-76.642859999999999"/>
    <n v="3.3491516670000001"/>
    <n v="30"/>
    <n v="0"/>
    <n v="10"/>
    <s v="Herbaceo 0.3-1.5 m"/>
    <s v="Observacion"/>
    <m/>
  </r>
  <r>
    <x v="5"/>
    <x v="2"/>
    <x v="8"/>
    <s v="FCCBT7"/>
    <x v="2"/>
    <d v="2022-11-17T00:00:00"/>
    <d v="1899-12-30T20:39:15"/>
    <n v="-76.642366670000001"/>
    <n v="3.3492866669999999"/>
    <n v="7"/>
    <s v="Derecho"/>
    <s v="Gustavo Rodriguez"/>
    <n v="2369"/>
    <b v="1"/>
    <m/>
    <n v="10"/>
    <n v="0"/>
    <n v="25"/>
    <s v="Hojas y/o Ramas"/>
    <s v="Bosque Primario"/>
    <m/>
    <x v="3"/>
    <m/>
    <n v="1"/>
    <m/>
    <m/>
    <m/>
    <m/>
    <m/>
    <m/>
    <m/>
    <n v="-76.642178329999993"/>
    <n v="3.3494666670000002"/>
    <n v="20"/>
    <n v="0"/>
    <n v="10"/>
    <n v="-76.642859999999999"/>
    <n v="3.3491516670000001"/>
    <n v="30"/>
    <n v="0"/>
    <n v="10"/>
    <s v="Herbaceo 0.3-1.5 m"/>
    <s v="Observacion"/>
    <m/>
  </r>
  <r>
    <x v="5"/>
    <x v="2"/>
    <x v="8"/>
    <s v="FCCBT7"/>
    <x v="2"/>
    <d v="2022-11-17T00:00:00"/>
    <d v="1899-12-30T20:02:51"/>
    <n v="-76.642178329999993"/>
    <n v="3.3494666670000002"/>
    <n v="7"/>
    <s v="Izquierdo"/>
    <s v="Diana Murillo"/>
    <n v="2369"/>
    <b v="1"/>
    <m/>
    <n v="10"/>
    <n v="0"/>
    <n v="25"/>
    <s v="Hojas y/o Ramas"/>
    <s v="Bosque Primario"/>
    <m/>
    <x v="3"/>
    <m/>
    <n v="1"/>
    <m/>
    <m/>
    <m/>
    <m/>
    <m/>
    <m/>
    <m/>
    <n v="-76.642178329999993"/>
    <n v="3.3494666670000002"/>
    <n v="20"/>
    <n v="0"/>
    <n v="10"/>
    <n v="-76.642859999999999"/>
    <n v="3.3491516670000001"/>
    <n v="30"/>
    <n v="0"/>
    <n v="10"/>
    <s v="Herbaceo 0.3-1.5 m"/>
    <s v="Observacion"/>
    <m/>
  </r>
  <r>
    <x v="5"/>
    <x v="2"/>
    <x v="8"/>
    <s v="FCCBT7"/>
    <x v="2"/>
    <d v="2022-11-17T00:00:00"/>
    <d v="1899-12-30T20:41:43"/>
    <n v="-76.642461670000003"/>
    <n v="3.3492483329999998"/>
    <n v="7"/>
    <s v="Izquierdo"/>
    <s v="Diana Murillo"/>
    <n v="2369"/>
    <b v="1"/>
    <m/>
    <n v="10"/>
    <n v="0"/>
    <n v="25"/>
    <s v="Hojas y/o Ramas"/>
    <s v="Bosque Primario"/>
    <m/>
    <x v="3"/>
    <m/>
    <n v="1"/>
    <m/>
    <m/>
    <m/>
    <m/>
    <m/>
    <m/>
    <m/>
    <n v="-76.642178329999993"/>
    <n v="3.3494666670000002"/>
    <n v="20"/>
    <n v="0"/>
    <n v="10"/>
    <n v="-76.642859999999999"/>
    <n v="3.3491516670000001"/>
    <n v="30"/>
    <n v="0"/>
    <n v="10"/>
    <s v="Herbaceo 0.3-1.5 m"/>
    <s v="Observacion"/>
    <m/>
  </r>
  <r>
    <x v="5"/>
    <x v="2"/>
    <x v="8"/>
    <s v="FCCBT7"/>
    <x v="2"/>
    <d v="2022-11-17T00:00:00"/>
    <d v="1899-12-30T20:34:43"/>
    <n v="-76.642184999999998"/>
    <n v="3.3492999999999999"/>
    <n v="7"/>
    <s v="Derecho"/>
    <s v="Gustavo Rodriguez"/>
    <n v="2369"/>
    <b v="1"/>
    <m/>
    <n v="10"/>
    <n v="0"/>
    <n v="25"/>
    <s v="Hojas y/o Ramas"/>
    <s v="Bosque Primario"/>
    <m/>
    <x v="12"/>
    <m/>
    <n v="1"/>
    <m/>
    <m/>
    <m/>
    <m/>
    <m/>
    <m/>
    <m/>
    <n v="-76.642178329999993"/>
    <n v="3.3494666670000002"/>
    <n v="20"/>
    <n v="0"/>
    <n v="10"/>
    <n v="-76.642859999999999"/>
    <n v="3.3491516670000001"/>
    <n v="30"/>
    <n v="0"/>
    <n v="10"/>
    <s v="Herbaceo 0.3-1.5 m"/>
    <s v="Observacion"/>
    <m/>
  </r>
  <r>
    <x v="5"/>
    <x v="2"/>
    <x v="19"/>
    <s v="FCCBT9"/>
    <x v="1"/>
    <d v="2022-11-17T00:00:00"/>
    <d v="1899-12-30T19:22:22"/>
    <n v="-76.640833330000007"/>
    <n v="3.3501249999999998"/>
    <n v="7"/>
    <s v="Izquierdo"/>
    <s v="Gustavo Rodriguez"/>
    <n v="2369"/>
    <b v="1"/>
    <m/>
    <n v="13.5"/>
    <n v="0"/>
    <n v="12.5"/>
    <s v="Hojas y/o Ramas"/>
    <s v="Bosque Primario"/>
    <m/>
    <x v="3"/>
    <m/>
    <n v="1"/>
    <m/>
    <m/>
    <m/>
    <m/>
    <m/>
    <m/>
    <m/>
    <n v="-76.64040833"/>
    <n v="3.3504616669999998"/>
    <n v="10"/>
    <n v="0"/>
    <n v="12"/>
    <n v="-76.640976670000001"/>
    <n v="3.3498716669999999"/>
    <n v="15"/>
    <n v="0"/>
    <n v="15"/>
    <s v="Herbaceo 0.3-1.5 m"/>
    <s v="Observacion"/>
    <m/>
  </r>
  <r>
    <x v="5"/>
    <x v="2"/>
    <x v="19"/>
    <s v="FCCBT9"/>
    <x v="1"/>
    <d v="2022-11-17T00:00:00"/>
    <d v="1899-12-30T19:18:22"/>
    <n v="-76.640559999999994"/>
    <n v="3.3502233330000002"/>
    <n v="7"/>
    <s v="Derecho"/>
    <s v="Gustavo Rodriguez"/>
    <n v="2369"/>
    <b v="1"/>
    <m/>
    <n v="13.5"/>
    <n v="0"/>
    <n v="12.5"/>
    <s v="Hojas y/o Ramas"/>
    <s v="Bosque Primario"/>
    <m/>
    <x v="3"/>
    <m/>
    <n v="2"/>
    <m/>
    <m/>
    <m/>
    <m/>
    <m/>
    <m/>
    <m/>
    <n v="-76.64040833"/>
    <n v="3.3504616669999998"/>
    <n v="10"/>
    <n v="0"/>
    <n v="12"/>
    <n v="-76.640976670000001"/>
    <n v="3.3498716669999999"/>
    <n v="15"/>
    <n v="0"/>
    <n v="15"/>
    <s v="Herbaceo 0.3-1.5 m"/>
    <s v="Observacion"/>
    <m/>
  </r>
  <r>
    <x v="5"/>
    <x v="2"/>
    <x v="19"/>
    <s v="FCCBT9"/>
    <x v="1"/>
    <d v="2022-11-17T00:00:00"/>
    <d v="1899-12-30T19:27:06"/>
    <n v="-76.640898329999999"/>
    <n v="3.3498966669999999"/>
    <n v="7"/>
    <s v="Izquierdo"/>
    <s v="Diana Murillo"/>
    <n v="2369"/>
    <b v="1"/>
    <m/>
    <n v="13.5"/>
    <n v="0"/>
    <n v="12.5"/>
    <s v="Hojas y/o Ramas"/>
    <s v="Bosque Primario"/>
    <m/>
    <x v="3"/>
    <m/>
    <n v="1"/>
    <m/>
    <m/>
    <m/>
    <m/>
    <m/>
    <m/>
    <m/>
    <n v="-76.64040833"/>
    <n v="3.3504616669999998"/>
    <n v="10"/>
    <n v="0"/>
    <n v="12"/>
    <n v="-76.640976670000001"/>
    <n v="3.3498716669999999"/>
    <n v="15"/>
    <n v="0"/>
    <n v="15"/>
    <s v="Rasante &lt;0.3 m"/>
    <s v="Observacion"/>
    <m/>
  </r>
  <r>
    <x v="5"/>
    <x v="2"/>
    <x v="9"/>
    <s v="FCCBT3"/>
    <x v="2"/>
    <d v="2022-11-17T00:00:00"/>
    <d v="1899-12-30T22:06:51"/>
    <n v="-76.646671670000003"/>
    <n v="3.3497966670000001"/>
    <n v="7"/>
    <m/>
    <m/>
    <n v="2369"/>
    <m/>
    <m/>
    <n v="3.5"/>
    <n v="0"/>
    <n v="10"/>
    <m/>
    <m/>
    <m/>
    <x v="0"/>
    <m/>
    <n v="0"/>
    <m/>
    <m/>
    <m/>
    <m/>
    <m/>
    <s v="Pastizal"/>
    <m/>
    <n v="-76.645840000000007"/>
    <n v="3.3496616669999999"/>
    <n v="10"/>
    <n v="0"/>
    <n v="4"/>
    <n v="-76.646671670000003"/>
    <n v="3.3497966670000001"/>
    <n v="10"/>
    <n v="0"/>
    <n v="3"/>
    <m/>
    <m/>
    <m/>
  </r>
  <r>
    <x v="5"/>
    <x v="2"/>
    <x v="19"/>
    <s v="FCCBT10"/>
    <x v="2"/>
    <d v="2022-11-17T00:00:00"/>
    <d v="1899-12-30T19:05:27"/>
    <n v="-76.640083329999996"/>
    <n v="3.3505799999999999"/>
    <n v="7"/>
    <s v="Derecho"/>
    <s v="Andrea Guazaquillo"/>
    <n v="2369"/>
    <b v="1"/>
    <m/>
    <n v="13.5"/>
    <n v="0"/>
    <n v="9"/>
    <s v="Hojas y/o Ramas"/>
    <s v="Arbustal"/>
    <m/>
    <x v="3"/>
    <m/>
    <n v="1"/>
    <m/>
    <m/>
    <m/>
    <m/>
    <m/>
    <m/>
    <m/>
    <n v="-76.639300000000006"/>
    <n v="3.3506683330000002"/>
    <n v="10"/>
    <n v="0"/>
    <n v="15"/>
    <n v="-76.640204999999995"/>
    <n v="3.3504900000000002"/>
    <n v="8"/>
    <n v="0"/>
    <n v="12"/>
    <s v="Herbaceo 0.3-1.5 m"/>
    <s v="Observacion"/>
    <m/>
  </r>
  <r>
    <x v="5"/>
    <x v="2"/>
    <x v="19"/>
    <s v="FCCBT10"/>
    <x v="2"/>
    <d v="2022-11-17T00:00:00"/>
    <d v="1899-12-30T18:43:24"/>
    <n v="-76.639706669999995"/>
    <n v="3.35087"/>
    <n v="7"/>
    <s v="Derecho"/>
    <s v="Andrea Guazaquillo"/>
    <n v="2369"/>
    <b v="1"/>
    <m/>
    <n v="13.5"/>
    <n v="0"/>
    <n v="9"/>
    <s v="Hojarasca"/>
    <s v="Bosque Primario"/>
    <m/>
    <x v="3"/>
    <m/>
    <n v="2"/>
    <m/>
    <m/>
    <m/>
    <m/>
    <m/>
    <m/>
    <m/>
    <n v="-76.639300000000006"/>
    <n v="3.3506683330000002"/>
    <n v="10"/>
    <n v="0"/>
    <n v="15"/>
    <n v="-76.640204999999995"/>
    <n v="3.3504900000000002"/>
    <n v="8"/>
    <n v="0"/>
    <n v="12"/>
    <s v="Rasante &lt;0.3 m"/>
    <s v="Observacion"/>
    <m/>
  </r>
  <r>
    <x v="5"/>
    <x v="2"/>
    <x v="19"/>
    <s v="FCCBT10"/>
    <x v="2"/>
    <d v="2022-11-17T00:00:00"/>
    <d v="1899-12-30T18:45:40"/>
    <n v="-76.639683329999997"/>
    <n v="3.3508849999999999"/>
    <n v="7"/>
    <s v="Derecho"/>
    <s v="Gustavo Rodriguez"/>
    <n v="2369"/>
    <b v="1"/>
    <m/>
    <n v="13.5"/>
    <n v="0"/>
    <n v="9"/>
    <s v="Hojas y/o Ramas"/>
    <s v="Bosque Primario"/>
    <m/>
    <x v="3"/>
    <m/>
    <n v="1"/>
    <m/>
    <m/>
    <m/>
    <m/>
    <m/>
    <m/>
    <m/>
    <n v="-76.639300000000006"/>
    <n v="3.3506683330000002"/>
    <n v="10"/>
    <n v="0"/>
    <n v="15"/>
    <n v="-76.640204999999995"/>
    <n v="3.3504900000000002"/>
    <n v="8"/>
    <n v="0"/>
    <n v="12"/>
    <s v="Herbaceo 0.3-1.5 m"/>
    <s v="Observacion"/>
    <m/>
  </r>
  <r>
    <x v="5"/>
    <x v="2"/>
    <x v="19"/>
    <s v="FCCBT10"/>
    <x v="2"/>
    <d v="2022-11-17T00:00:00"/>
    <d v="1899-12-30T18:57:53"/>
    <n v="-76.640006670000005"/>
    <n v="3.3508116669999999"/>
    <n v="7"/>
    <s v="Derecho"/>
    <s v="Andrea Guazaquillo"/>
    <n v="2369"/>
    <b v="1"/>
    <m/>
    <n v="13.5"/>
    <n v="0"/>
    <n v="9"/>
    <s v="Hojas y/o Ramas"/>
    <s v="Bosque Primario"/>
    <m/>
    <x v="12"/>
    <m/>
    <n v="1"/>
    <m/>
    <m/>
    <m/>
    <m/>
    <m/>
    <m/>
    <m/>
    <n v="-76.639300000000006"/>
    <n v="3.3506683330000002"/>
    <n v="10"/>
    <n v="0"/>
    <n v="15"/>
    <n v="-76.640204999999995"/>
    <n v="3.3504900000000002"/>
    <n v="8"/>
    <n v="0"/>
    <n v="12"/>
    <s v="Herbaceo 0.3-1.5 m"/>
    <s v="Observacion"/>
    <m/>
  </r>
  <r>
    <x v="5"/>
    <x v="2"/>
    <x v="19"/>
    <s v="FCCBT10"/>
    <x v="2"/>
    <d v="2022-11-17T00:00:00"/>
    <d v="1899-12-30T18:47:36"/>
    <n v="-76.639731670000003"/>
    <n v="3.3508100000000001"/>
    <n v="7"/>
    <s v="Derecho"/>
    <s v="Andrea Guazaquillo"/>
    <n v="2369"/>
    <b v="1"/>
    <m/>
    <n v="13.5"/>
    <n v="0"/>
    <n v="9"/>
    <s v="Hojarasca"/>
    <s v="Bosque Primario"/>
    <m/>
    <x v="3"/>
    <m/>
    <n v="1"/>
    <m/>
    <m/>
    <m/>
    <m/>
    <m/>
    <m/>
    <m/>
    <n v="-76.639300000000006"/>
    <n v="3.3506683330000002"/>
    <n v="10"/>
    <n v="0"/>
    <n v="15"/>
    <n v="-76.640204999999995"/>
    <n v="3.3504900000000002"/>
    <n v="8"/>
    <n v="0"/>
    <n v="12"/>
    <s v="Rasante &lt;0.3 m"/>
    <s v="Observacion"/>
    <m/>
  </r>
  <r>
    <x v="5"/>
    <x v="2"/>
    <x v="19"/>
    <s v="FCCBT10"/>
    <x v="2"/>
    <d v="2022-11-17T00:00:00"/>
    <d v="1899-12-30T19:02:17"/>
    <n v="-76.640020000000007"/>
    <n v="3.3506749999999998"/>
    <n v="7"/>
    <s v="Izquierdo"/>
    <s v="Diana Murillo"/>
    <n v="2369"/>
    <b v="1"/>
    <m/>
    <n v="13.5"/>
    <n v="0"/>
    <n v="9"/>
    <s v="Hojas y/o Ramas"/>
    <s v="Bosque Primario"/>
    <m/>
    <x v="3"/>
    <m/>
    <n v="1"/>
    <m/>
    <m/>
    <m/>
    <m/>
    <m/>
    <m/>
    <m/>
    <n v="-76.639300000000006"/>
    <n v="3.3506683330000002"/>
    <n v="10"/>
    <n v="0"/>
    <n v="15"/>
    <n v="-76.640204999999995"/>
    <n v="3.3504900000000002"/>
    <n v="8"/>
    <n v="0"/>
    <n v="12"/>
    <s v="Herbaceo 0.3-1.5 m"/>
    <s v="Observacion"/>
    <m/>
  </r>
  <r>
    <x v="5"/>
    <x v="2"/>
    <x v="19"/>
    <s v="FCCBT10"/>
    <x v="2"/>
    <d v="2022-11-17T00:00:00"/>
    <d v="1899-12-30T19:02:17"/>
    <n v="-76.640020000000007"/>
    <n v="3.3506749999999998"/>
    <n v="7"/>
    <s v="Derecho"/>
    <s v="Andrea Guazaquillo"/>
    <n v="2369"/>
    <b v="1"/>
    <m/>
    <n v="13.5"/>
    <n v="0"/>
    <n v="9"/>
    <s v="Hojas y/o Ramas"/>
    <s v="Bosque Primario"/>
    <m/>
    <x v="12"/>
    <m/>
    <n v="1"/>
    <m/>
    <m/>
    <m/>
    <m/>
    <m/>
    <m/>
    <m/>
    <n v="-76.639300000000006"/>
    <n v="3.3506683330000002"/>
    <n v="10"/>
    <n v="0"/>
    <n v="15"/>
    <n v="-76.640204999999995"/>
    <n v="3.3504900000000002"/>
    <n v="8"/>
    <n v="0"/>
    <n v="12"/>
    <s v="Herbaceo 0.3-1.5 m"/>
    <s v="Observacion"/>
    <m/>
  </r>
  <r>
    <x v="5"/>
    <x v="2"/>
    <x v="19"/>
    <s v="FCCBT10"/>
    <x v="2"/>
    <d v="2022-11-17T00:00:00"/>
    <d v="1899-12-30T18:40:10"/>
    <n v="-76.639611669999994"/>
    <n v="3.3509000000000002"/>
    <n v="7"/>
    <s v="Derecho"/>
    <s v="Andrea Guazaquillo"/>
    <n v="2369"/>
    <b v="1"/>
    <m/>
    <n v="13.5"/>
    <n v="0"/>
    <n v="9"/>
    <s v="Hojas y/o Ramas"/>
    <s v="Bosque Primario"/>
    <m/>
    <x v="3"/>
    <m/>
    <n v="1"/>
    <m/>
    <m/>
    <m/>
    <m/>
    <m/>
    <m/>
    <m/>
    <n v="-76.639300000000006"/>
    <n v="3.3506683330000002"/>
    <n v="10"/>
    <n v="0"/>
    <n v="15"/>
    <n v="-76.640204999999995"/>
    <n v="3.3504900000000002"/>
    <n v="8"/>
    <n v="0"/>
    <n v="12"/>
    <s v="Herbaceo 0.3-1.5 m"/>
    <s v="Observacion"/>
    <m/>
  </r>
  <r>
    <x v="5"/>
    <x v="2"/>
    <x v="9"/>
    <s v="FCCBT4"/>
    <x v="3"/>
    <d v="2022-11-17T00:00:00"/>
    <d v="1899-12-30T21:58:05"/>
    <n v="-76.645431669999994"/>
    <n v="3.349751667"/>
    <n v="7"/>
    <m/>
    <m/>
    <n v="2369"/>
    <m/>
    <m/>
    <n v="5"/>
    <n v="0"/>
    <n v="10"/>
    <m/>
    <m/>
    <m/>
    <x v="0"/>
    <m/>
    <n v="0"/>
    <m/>
    <m/>
    <m/>
    <m/>
    <m/>
    <m/>
    <m/>
    <n v="-76.644633330000005"/>
    <n v="3.3496450000000002"/>
    <n v="5"/>
    <n v="0"/>
    <n v="6"/>
    <n v="-76.645431669999994"/>
    <n v="3.349751667"/>
    <n v="15"/>
    <n v="0"/>
    <n v="4"/>
    <m/>
    <m/>
    <m/>
  </r>
  <r>
    <x v="5"/>
    <x v="2"/>
    <x v="8"/>
    <s v="FCCBT5"/>
    <x v="0"/>
    <d v="2022-11-17T00:00:00"/>
    <d v="1899-12-30T21:33:15"/>
    <n v="-76.643531670000002"/>
    <n v="3.3495300000000001"/>
    <n v="7"/>
    <s v="Izquierdo"/>
    <s v="Diana Murillo"/>
    <n v="2369"/>
    <b v="1"/>
    <m/>
    <n v="12.5"/>
    <n v="0"/>
    <n v="8"/>
    <s v="Hojas y/o Ramas"/>
    <s v="Bosque Primario"/>
    <m/>
    <x v="12"/>
    <m/>
    <n v="1"/>
    <m/>
    <m/>
    <m/>
    <m/>
    <m/>
    <m/>
    <m/>
    <n v="-76.643531670000002"/>
    <n v="3.3495300000000001"/>
    <n v="8"/>
    <n v="0"/>
    <n v="10"/>
    <n v="-76.644268330000003"/>
    <n v="3.3495200000000001"/>
    <n v="8"/>
    <n v="0"/>
    <n v="15"/>
    <s v="Herbaceo 0.3-1.5 m"/>
    <s v="Observacion"/>
    <m/>
  </r>
  <r>
    <x v="5"/>
    <x v="2"/>
    <x v="8"/>
    <s v="FCCBT5"/>
    <x v="0"/>
    <d v="2022-11-17T00:00:00"/>
    <d v="1899-12-30T21:41:26"/>
    <n v="-76.64384167"/>
    <n v="3.3497333330000001"/>
    <n v="7"/>
    <s v="Izquierdo"/>
    <s v="Diana Murillo"/>
    <n v="2369"/>
    <b v="1"/>
    <m/>
    <n v="12.5"/>
    <n v="0"/>
    <n v="8"/>
    <s v="Hojas y/o Ramas"/>
    <s v="Bosque Primario"/>
    <m/>
    <x v="3"/>
    <m/>
    <n v="1"/>
    <m/>
    <m/>
    <m/>
    <m/>
    <m/>
    <m/>
    <m/>
    <n v="-76.643531670000002"/>
    <n v="3.3495300000000001"/>
    <n v="8"/>
    <n v="0"/>
    <n v="10"/>
    <n v="-76.644268330000003"/>
    <n v="3.3495200000000001"/>
    <n v="8"/>
    <n v="0"/>
    <n v="15"/>
    <s v="Herbaceo 0.3-1.5 m"/>
    <s v="Observacion"/>
    <m/>
  </r>
  <r>
    <x v="5"/>
    <x v="2"/>
    <x v="8"/>
    <s v="FCCBT5"/>
    <x v="0"/>
    <d v="2022-11-17T00:00:00"/>
    <d v="1899-12-30T21:41:26"/>
    <n v="-76.64384167"/>
    <n v="3.3497333330000001"/>
    <n v="7"/>
    <s v="Izquierdo"/>
    <s v="Gustavo Rodriguez"/>
    <n v="2369"/>
    <b v="1"/>
    <m/>
    <n v="12.5"/>
    <n v="0"/>
    <n v="8"/>
    <s v="Hojas y/o Ramas"/>
    <s v="Bosque Primario"/>
    <m/>
    <x v="8"/>
    <m/>
    <n v="1"/>
    <m/>
    <m/>
    <m/>
    <m/>
    <m/>
    <m/>
    <m/>
    <n v="-76.643531670000002"/>
    <n v="3.3495300000000001"/>
    <n v="8"/>
    <n v="0"/>
    <n v="10"/>
    <n v="-76.644268330000003"/>
    <n v="3.3495200000000001"/>
    <n v="8"/>
    <n v="0"/>
    <n v="15"/>
    <s v="Herbaceo 0.3-1.5 m"/>
    <s v="Auditivo"/>
    <m/>
  </r>
  <r>
    <x v="5"/>
    <x v="2"/>
    <x v="8"/>
    <s v="FCCBT5"/>
    <x v="0"/>
    <d v="2022-11-17T00:00:00"/>
    <d v="1899-12-30T21:43:16"/>
    <n v="-76.643969999999996"/>
    <n v="3.3497383329999999"/>
    <n v="7"/>
    <s v="Derecho"/>
    <s v="Andrea Guazaquillo"/>
    <n v="2369"/>
    <b v="1"/>
    <m/>
    <n v="12.5"/>
    <n v="0"/>
    <n v="8"/>
    <s v="Hojas y/o Ramas"/>
    <s v="Bosque Primario"/>
    <m/>
    <x v="3"/>
    <m/>
    <n v="1"/>
    <m/>
    <m/>
    <m/>
    <m/>
    <m/>
    <m/>
    <m/>
    <n v="-76.643531670000002"/>
    <n v="3.3495300000000001"/>
    <n v="8"/>
    <n v="0"/>
    <n v="10"/>
    <n v="-76.644268330000003"/>
    <n v="3.3495200000000001"/>
    <n v="8"/>
    <n v="0"/>
    <n v="15"/>
    <s v="Herbaceo 0.3-1.5 m"/>
    <s v="Observacion"/>
    <m/>
  </r>
  <r>
    <x v="5"/>
    <x v="2"/>
    <x v="8"/>
    <s v="FCCBT5"/>
    <x v="0"/>
    <d v="2022-11-17T00:00:00"/>
    <d v="1899-12-30T21:48:08"/>
    <n v="-76.644211670000004"/>
    <n v="3.3496450000000002"/>
    <n v="7"/>
    <s v="Derecho"/>
    <s v="Andrea Guazaquillo"/>
    <n v="2369"/>
    <b v="1"/>
    <m/>
    <n v="12.5"/>
    <n v="0"/>
    <n v="8"/>
    <s v="Hojas y/o Ramas"/>
    <s v="Bosque Primario"/>
    <m/>
    <x v="3"/>
    <m/>
    <n v="1"/>
    <m/>
    <m/>
    <m/>
    <m/>
    <m/>
    <m/>
    <m/>
    <n v="-76.643531670000002"/>
    <n v="3.3495300000000001"/>
    <n v="8"/>
    <n v="0"/>
    <n v="10"/>
    <n v="-76.644268330000003"/>
    <n v="3.3495200000000001"/>
    <n v="8"/>
    <n v="0"/>
    <n v="15"/>
    <s v="Herbaceo 0.3-1.5 m"/>
    <s v="Observacion"/>
    <m/>
  </r>
  <r>
    <x v="5"/>
    <x v="2"/>
    <x v="11"/>
    <s v="FCCDT14"/>
    <x v="3"/>
    <d v="2022-11-16T00:00:00"/>
    <d v="1899-12-30T20:24:25"/>
    <n v="-76.652805000000001"/>
    <n v="3.353611667"/>
    <n v="7"/>
    <s v="Derecho"/>
    <s v="Gustavo Rodriguez"/>
    <n v="2523"/>
    <b v="1"/>
    <m/>
    <n v="12.5"/>
    <n v="0"/>
    <n v="17.5"/>
    <s v="Hojas y/o Ramas"/>
    <s v="Bosque Secundario"/>
    <m/>
    <x v="25"/>
    <m/>
    <n v="1"/>
    <m/>
    <m/>
    <s v="Procesos de remoción en masa"/>
    <m/>
    <m/>
    <s v="Cerca a un nacimiento"/>
    <m/>
    <n v="-76.653173330000001"/>
    <n v="3.353653333"/>
    <n v="30"/>
    <n v="0"/>
    <n v="10"/>
    <n v="-76.652068330000006"/>
    <n v="3.3534199999999998"/>
    <n v="5"/>
    <n v="0"/>
    <n v="15"/>
    <s v="Herbaceo 0.3-1.5 m"/>
    <s v="Observacion"/>
    <m/>
  </r>
  <r>
    <x v="5"/>
    <x v="2"/>
    <x v="11"/>
    <s v="FCCDT14"/>
    <x v="3"/>
    <d v="2022-11-16T00:00:00"/>
    <d v="1899-12-30T20:42:30"/>
    <n v="-76.652068330000006"/>
    <n v="3.3534199999999998"/>
    <n v="7"/>
    <s v="Derecho"/>
    <s v="Andrea Guazaquillo"/>
    <n v="2523"/>
    <b v="1"/>
    <m/>
    <n v="12.5"/>
    <n v="0"/>
    <n v="17.5"/>
    <s v="Hojas y/o Ramas"/>
    <s v="Bosque Secundario"/>
    <m/>
    <x v="3"/>
    <m/>
    <n v="1"/>
    <m/>
    <m/>
    <m/>
    <m/>
    <m/>
    <m/>
    <m/>
    <n v="-76.653173330000001"/>
    <n v="3.353653333"/>
    <n v="30"/>
    <n v="0"/>
    <n v="10"/>
    <n v="-76.652068330000006"/>
    <n v="3.3534199999999998"/>
    <n v="5"/>
    <n v="0"/>
    <n v="15"/>
    <s v="Herbaceo 0.3-1.5 m"/>
    <s v="Observacion"/>
    <m/>
  </r>
  <r>
    <x v="5"/>
    <x v="2"/>
    <x v="10"/>
    <s v="FCCDT16"/>
    <x v="0"/>
    <d v="2022-11-16T00:00:00"/>
    <d v="1899-12-30T19:13:34"/>
    <n v="-76.655746669999999"/>
    <n v="3.354425"/>
    <n v="7"/>
    <s v="Izquierdo"/>
    <s v="Gustavo Rodriguez"/>
    <n v="2533"/>
    <b v="1"/>
    <m/>
    <n v="11"/>
    <n v="0"/>
    <n v="10"/>
    <m/>
    <s v="Bosque Secundario"/>
    <m/>
    <x v="3"/>
    <m/>
    <n v="1"/>
    <m/>
    <m/>
    <m/>
    <m/>
    <m/>
    <m/>
    <m/>
    <n v="-76.655716670000004"/>
    <n v="3.3544616669999998"/>
    <n v="10"/>
    <n v="0"/>
    <n v="10"/>
    <n v="-76.655261670000002"/>
    <n v="3.353941667"/>
    <n v="10"/>
    <n v="0"/>
    <n v="12"/>
    <s v="Herbaceo 0.3-1.5 m"/>
    <s v="Auditivo"/>
    <m/>
  </r>
  <r>
    <x v="5"/>
    <x v="2"/>
    <x v="10"/>
    <s v="FCCDT16"/>
    <x v="0"/>
    <d v="2022-11-16T00:00:00"/>
    <d v="1899-12-30T19:05:15"/>
    <n v="-76.655716670000004"/>
    <n v="3.3544616669999998"/>
    <n v="7"/>
    <s v="Derecho"/>
    <s v="Andrea Guazaquillo"/>
    <n v="2533"/>
    <b v="1"/>
    <m/>
    <n v="11"/>
    <n v="0"/>
    <n v="10"/>
    <s v="Hojas y/o Ramas"/>
    <s v="Bosque Secundario"/>
    <m/>
    <x v="8"/>
    <m/>
    <n v="1"/>
    <m/>
    <m/>
    <m/>
    <m/>
    <m/>
    <m/>
    <m/>
    <n v="-76.655716670000004"/>
    <n v="3.3544616669999998"/>
    <n v="10"/>
    <n v="0"/>
    <n v="10"/>
    <n v="-76.655261670000002"/>
    <n v="3.353941667"/>
    <n v="10"/>
    <n v="0"/>
    <n v="12"/>
    <s v="Herbaceo 0.3-1.5 m"/>
    <s v="Observacion"/>
    <m/>
  </r>
  <r>
    <x v="5"/>
    <x v="2"/>
    <x v="11"/>
    <s v="FCCDT15"/>
    <x v="4"/>
    <d v="2022-11-16T00:00:00"/>
    <d v="1899-12-30T20:12:45"/>
    <n v="-76.652889999999999"/>
    <n v="3.353506667"/>
    <n v="7"/>
    <s v="Derecho"/>
    <s v="Gustavo Rodriguez"/>
    <n v="2533"/>
    <b v="1"/>
    <m/>
    <n v="10"/>
    <n v="0"/>
    <n v="17.5"/>
    <s v="Hojas y/o Ramas"/>
    <s v="Bosque Secundario"/>
    <m/>
    <x v="8"/>
    <m/>
    <n v="1"/>
    <m/>
    <m/>
    <m/>
    <m/>
    <m/>
    <m/>
    <m/>
    <n v="-76.653493330000003"/>
    <n v="3.3534933329999999"/>
    <n v="25"/>
    <n v="0"/>
    <n v="10"/>
    <n v="-76.652889999999999"/>
    <n v="3.353506667"/>
    <n v="10"/>
    <n v="0"/>
    <n v="10"/>
    <s v="Rasante &lt;0.3 m"/>
    <s v="Observacion"/>
    <m/>
  </r>
  <r>
    <x v="5"/>
    <x v="2"/>
    <x v="11"/>
    <s v="FCCDT15"/>
    <x v="4"/>
    <d v="2022-11-16T00:00:00"/>
    <d v="1899-12-30T20:02:05"/>
    <n v="-76.653665000000004"/>
    <n v="3.3531166670000001"/>
    <n v="7"/>
    <s v="Derecho"/>
    <s v="Andrea Guazaquillo"/>
    <n v="2533"/>
    <b v="1"/>
    <m/>
    <n v="10"/>
    <n v="0"/>
    <n v="17.5"/>
    <s v="Hojas y/o Ramas"/>
    <s v="Bosque Secundario"/>
    <m/>
    <x v="8"/>
    <m/>
    <n v="1"/>
    <m/>
    <m/>
    <s v="Procesos de remoción en masa"/>
    <m/>
    <m/>
    <s v="Remoción con árboles"/>
    <m/>
    <n v="-76.653493330000003"/>
    <n v="3.3534933329999999"/>
    <n v="25"/>
    <n v="0"/>
    <n v="10"/>
    <n v="-76.652889999999999"/>
    <n v="3.353506667"/>
    <n v="10"/>
    <n v="0"/>
    <n v="10"/>
    <s v="Herbaceo 0.3-1.5 m"/>
    <s v="Observacion"/>
    <m/>
  </r>
  <r>
    <x v="5"/>
    <x v="2"/>
    <x v="10"/>
    <s v="FCCCT18"/>
    <x v="2"/>
    <d v="2022-11-16T00:00:00"/>
    <d v="1899-12-30T18:36:01"/>
    <n v="-76.656256670000005"/>
    <n v="3.355336667"/>
    <n v="7"/>
    <s v="Derecho"/>
    <s v="Gustavo Rodriguez"/>
    <n v="2533"/>
    <m/>
    <b v="1"/>
    <n v="13.5"/>
    <n v="0.4"/>
    <n v="7.5"/>
    <s v="Hojas y/o Ramas"/>
    <s v="Bosque ribereño"/>
    <m/>
    <x v="8"/>
    <m/>
    <n v="2"/>
    <m/>
    <m/>
    <m/>
    <m/>
    <m/>
    <m/>
    <m/>
    <n v="-76.656523329999999"/>
    <n v="3.3552749999999998"/>
    <n v="5"/>
    <n v="0"/>
    <n v="12"/>
    <n v="-76.656256670000005"/>
    <n v="3.355336667"/>
    <n v="10"/>
    <n v="0.8"/>
    <n v="15"/>
    <s v="Herbaceo 0.3-1.5 m"/>
    <s v="Auditivo"/>
    <m/>
  </r>
  <r>
    <x v="5"/>
    <x v="2"/>
    <x v="11"/>
    <s v="FCCDT13"/>
    <x v="2"/>
    <d v="2022-11-16T00:00:00"/>
    <d v="1899-12-30T21:17:07"/>
    <n v="-76.649754999999999"/>
    <n v="3.3528383329999998"/>
    <n v="7"/>
    <s v="Derecho"/>
    <s v="Gustavo Rodriguez"/>
    <n v="2523"/>
    <b v="1"/>
    <m/>
    <n v="10"/>
    <n v="0"/>
    <n v="7.5"/>
    <s v="Hojas y/o Ramas"/>
    <s v="Bosque Secundario"/>
    <m/>
    <x v="8"/>
    <m/>
    <n v="1"/>
    <m/>
    <m/>
    <m/>
    <m/>
    <m/>
    <m/>
    <m/>
    <n v="-76.650390000000002"/>
    <n v="3.3528216670000002"/>
    <n v="10"/>
    <n v="0"/>
    <n v="10"/>
    <n v="-76.649703329999994"/>
    <n v="3.3525900000000002"/>
    <n v="5"/>
    <n v="0"/>
    <n v="10"/>
    <s v="Herbaceo 0.3-1.5 m"/>
    <s v="Auditivo"/>
    <m/>
  </r>
  <r>
    <x v="5"/>
    <x v="2"/>
    <x v="11"/>
    <s v="FCCDT13"/>
    <x v="2"/>
    <d v="2022-11-16T00:00:00"/>
    <d v="1899-12-30T21:06:24"/>
    <n v="-76.650390000000002"/>
    <n v="3.3528216670000002"/>
    <n v="7"/>
    <s v="Izquierdo"/>
    <s v="Diana Murillo"/>
    <n v="2523"/>
    <b v="1"/>
    <m/>
    <n v="10"/>
    <n v="0"/>
    <n v="7.5"/>
    <s v="Hojas y/o Ramas"/>
    <s v="Bosque Secundario"/>
    <m/>
    <x v="12"/>
    <m/>
    <n v="1"/>
    <m/>
    <m/>
    <m/>
    <m/>
    <m/>
    <m/>
    <m/>
    <n v="-76.650390000000002"/>
    <n v="3.3528216670000002"/>
    <n v="10"/>
    <n v="0"/>
    <n v="10"/>
    <n v="-76.649703329999994"/>
    <n v="3.3525900000000002"/>
    <n v="5"/>
    <n v="0"/>
    <n v="10"/>
    <s v="Herbaceo 0.3-1.5 m"/>
    <s v="Observacion"/>
    <m/>
  </r>
  <r>
    <x v="5"/>
    <x v="2"/>
    <x v="10"/>
    <s v="FCCDT17"/>
    <x v="1"/>
    <d v="2022-11-16T00:00:00"/>
    <d v="1899-12-30T18:42:41"/>
    <n v="-76.656366669999997"/>
    <n v="3.3550466669999999"/>
    <n v="7"/>
    <s v="Derecho"/>
    <s v="Gustavo Rodriguez"/>
    <n v="2533"/>
    <b v="1"/>
    <m/>
    <n v="11"/>
    <n v="0"/>
    <n v="12.5"/>
    <s v="Hojas y/o Ramas"/>
    <s v="Bosque Secundario"/>
    <m/>
    <x v="8"/>
    <m/>
    <n v="1"/>
    <m/>
    <m/>
    <m/>
    <m/>
    <m/>
    <m/>
    <m/>
    <n v="-76.656385"/>
    <n v="3.3550783329999998"/>
    <n v="15"/>
    <n v="0"/>
    <n v="12"/>
    <n v="-76.655754999999999"/>
    <n v="3.354516667"/>
    <n v="10"/>
    <n v="0"/>
    <n v="10"/>
    <s v="Herbaceo 0.3-1.5 m"/>
    <s v="Auditivo"/>
    <m/>
  </r>
  <r>
    <x v="5"/>
    <x v="2"/>
    <x v="10"/>
    <s v="FCCDT17"/>
    <x v="1"/>
    <d v="2022-11-16T00:00:00"/>
    <d v="1899-12-30T18:42:41"/>
    <n v="-76.656366669999997"/>
    <n v="3.3550466669999999"/>
    <n v="7"/>
    <s v="Izquierdo"/>
    <s v="Gustavo Rodriguez"/>
    <n v="2533"/>
    <b v="1"/>
    <m/>
    <n v="11"/>
    <n v="0"/>
    <n v="12.5"/>
    <s v="Hojas y/o Ramas"/>
    <s v="Bosque Secundario"/>
    <m/>
    <x v="3"/>
    <m/>
    <n v="1"/>
    <m/>
    <m/>
    <m/>
    <m/>
    <m/>
    <m/>
    <m/>
    <n v="-76.656385"/>
    <n v="3.3550783329999998"/>
    <n v="15"/>
    <n v="0"/>
    <n v="12"/>
    <n v="-76.655754999999999"/>
    <n v="3.354516667"/>
    <n v="10"/>
    <n v="0"/>
    <n v="10"/>
    <s v="Herbaceo 0.3-1.5 m"/>
    <s v="Auditivo"/>
    <m/>
  </r>
  <r>
    <x v="5"/>
    <x v="2"/>
    <x v="11"/>
    <s v="FCCDT12"/>
    <x v="1"/>
    <d v="2022-11-16T00:00:00"/>
    <d v="1899-12-30T21:23:01"/>
    <n v="-76.649523329999994"/>
    <n v="3.3526400000000001"/>
    <n v="7"/>
    <s v="Derecho"/>
    <s v="Andrea Guazaquillo"/>
    <n v="2523"/>
    <b v="1"/>
    <m/>
    <n v="11"/>
    <n v="0"/>
    <n v="7.5"/>
    <s v="Hojas y/o Ramas"/>
    <s v="Bosque Secundario"/>
    <m/>
    <x v="3"/>
    <m/>
    <n v="1"/>
    <m/>
    <m/>
    <m/>
    <m/>
    <m/>
    <m/>
    <m/>
    <n v="-76.649513330000005"/>
    <n v="3.3527266670000002"/>
    <n v="10"/>
    <n v="0"/>
    <n v="10"/>
    <n v="-76.648461670000003"/>
    <n v="3.3523383330000001"/>
    <n v="5"/>
    <n v="0"/>
    <n v="12"/>
    <s v="Herbaceo 0.3-1.5 m"/>
    <s v="Observacion"/>
    <m/>
  </r>
  <r>
    <x v="5"/>
    <x v="2"/>
    <x v="11"/>
    <s v="FCCDT11"/>
    <x v="0"/>
    <d v="2022-11-16T00:00:00"/>
    <d v="1899-12-30T21:46:01"/>
    <n v="-76.648120000000006"/>
    <n v="3.35236"/>
    <n v="7"/>
    <s v="Izquierdo"/>
    <s v="Gustavo Rodriguez"/>
    <n v="2523"/>
    <b v="1"/>
    <m/>
    <n v="9"/>
    <n v="0"/>
    <n v="25"/>
    <s v="Hojas y/o Ramas"/>
    <s v="Bosque Secundario"/>
    <m/>
    <x v="10"/>
    <m/>
    <n v="1"/>
    <m/>
    <m/>
    <m/>
    <m/>
    <m/>
    <m/>
    <m/>
    <n v="-76.648388330000003"/>
    <n v="3.3523800000000001"/>
    <n v="5"/>
    <n v="0"/>
    <n v="10"/>
    <n v="-76.647634999999994"/>
    <n v="3.3523700000000001"/>
    <n v="45"/>
    <n v="0"/>
    <n v="8"/>
    <s v="Herbaceo 0.3-1.5 m"/>
    <s v="Observacion"/>
    <m/>
  </r>
  <r>
    <x v="5"/>
    <x v="2"/>
    <x v="9"/>
    <s v="FCCAT2"/>
    <x v="1"/>
    <d v="2022-11-15T00:00:00"/>
    <d v="1899-12-30T20:42:23"/>
    <n v="-76.647231669999996"/>
    <n v="3.3496566670000001"/>
    <n v="7"/>
    <s v="Izquierdo"/>
    <s v="Gustavo Rodriguez"/>
    <n v="2397"/>
    <m/>
    <b v="1"/>
    <n v="14"/>
    <n v="0.15"/>
    <n v="25"/>
    <s v="Hojas y/o Ramas"/>
    <s v="Arbustal"/>
    <m/>
    <x v="9"/>
    <m/>
    <n v="1"/>
    <m/>
    <m/>
    <m/>
    <m/>
    <m/>
    <m/>
    <m/>
    <n v="-76.647296670000003"/>
    <n v="3.3498866669999998"/>
    <n v="30"/>
    <n v="0"/>
    <n v="18"/>
    <n v="-76.647068329999996"/>
    <n v="3.3491116669999998"/>
    <n v="20"/>
    <n v="0.3"/>
    <n v="10"/>
    <s v="Herbaceo 0.3-1.5 m"/>
    <s v="Observacion"/>
    <m/>
  </r>
  <r>
    <x v="5"/>
    <x v="2"/>
    <x v="9"/>
    <s v="FCCAT2"/>
    <x v="1"/>
    <d v="2022-11-15T00:00:00"/>
    <d v="1899-12-30T20:42:23"/>
    <n v="-76.647231669999996"/>
    <n v="3.3496566670000001"/>
    <n v="7"/>
    <s v="Derecho"/>
    <s v="Andrea Guazaquillo"/>
    <n v="2397"/>
    <m/>
    <b v="1"/>
    <n v="14"/>
    <n v="0.15"/>
    <n v="25"/>
    <s v="Hojas y/o Ramas"/>
    <s v="Arbustal"/>
    <m/>
    <x v="9"/>
    <m/>
    <n v="1"/>
    <m/>
    <m/>
    <m/>
    <m/>
    <m/>
    <m/>
    <m/>
    <n v="-76.647296670000003"/>
    <n v="3.3498866669999998"/>
    <n v="30"/>
    <n v="0"/>
    <n v="18"/>
    <n v="-76.647068329999996"/>
    <n v="3.3491116669999998"/>
    <n v="20"/>
    <n v="0.3"/>
    <n v="10"/>
    <s v="Herbaceo 0.3-1.5 m"/>
    <s v="Observacion"/>
    <m/>
  </r>
  <r>
    <x v="5"/>
    <x v="2"/>
    <x v="9"/>
    <s v="FCCAT2"/>
    <x v="1"/>
    <d v="2022-11-15T00:00:00"/>
    <d v="1899-12-30T20:38:16"/>
    <n v="-76.647136669999995"/>
    <n v="3.3497033329999999"/>
    <n v="7"/>
    <s v="Derecho"/>
    <s v="Gustavo Rodriguez"/>
    <n v="2397"/>
    <m/>
    <b v="1"/>
    <n v="14"/>
    <n v="0.15"/>
    <n v="25"/>
    <s v="Hojas y/o Ramas"/>
    <s v="Arbustal"/>
    <s v="Cantando a borde de quebrada"/>
    <x v="3"/>
    <m/>
    <n v="1"/>
    <m/>
    <m/>
    <m/>
    <m/>
    <m/>
    <m/>
    <m/>
    <n v="-76.647296670000003"/>
    <n v="3.3498866669999998"/>
    <n v="30"/>
    <n v="0"/>
    <n v="18"/>
    <n v="-76.647068329999996"/>
    <n v="3.3491116669999998"/>
    <n v="20"/>
    <n v="0.3"/>
    <n v="10"/>
    <s v="Arbustivo 1.5-5 m"/>
    <s v="Auditivo"/>
    <m/>
  </r>
  <r>
    <x v="5"/>
    <x v="2"/>
    <x v="9"/>
    <s v="FCCAT2"/>
    <x v="1"/>
    <d v="2022-11-15T00:00:00"/>
    <d v="1899-12-30T20:54:41"/>
    <n v="-76.647106669999999"/>
    <n v="3.3494999999999999"/>
    <n v="7"/>
    <s v="Izquierdo"/>
    <s v="Andrea Guazaquillo"/>
    <n v="2397"/>
    <m/>
    <b v="1"/>
    <n v="14"/>
    <n v="0.15"/>
    <n v="25"/>
    <s v="Hojas y/o Ramas"/>
    <s v="Arbustal"/>
    <m/>
    <x v="18"/>
    <m/>
    <n v="1"/>
    <m/>
    <m/>
    <m/>
    <m/>
    <m/>
    <m/>
    <s v="Luna menguante"/>
    <n v="-76.647296670000003"/>
    <n v="3.3498866669999998"/>
    <n v="30"/>
    <n v="0"/>
    <n v="18"/>
    <n v="-76.647068329999996"/>
    <n v="3.3491116669999998"/>
    <n v="20"/>
    <n v="0.3"/>
    <n v="10"/>
    <s v="Herbaceo 0.3-1.5 m"/>
    <s v="Observacion"/>
    <m/>
  </r>
  <r>
    <x v="5"/>
    <x v="2"/>
    <x v="9"/>
    <s v="FCCAT2"/>
    <x v="1"/>
    <d v="2022-11-15T00:00:00"/>
    <d v="1899-12-30T21:04:45"/>
    <n v="-76.647056669999998"/>
    <n v="3.3493866670000001"/>
    <n v="7"/>
    <s v="Izquierdo"/>
    <s v="Gustavo Rodriguez"/>
    <n v="2397"/>
    <m/>
    <b v="1"/>
    <n v="14"/>
    <n v="0.15"/>
    <n v="25"/>
    <s v="Hojas y/o Ramas"/>
    <s v="Bosque ribereño"/>
    <m/>
    <x v="18"/>
    <m/>
    <n v="1"/>
    <m/>
    <m/>
    <m/>
    <m/>
    <m/>
    <m/>
    <m/>
    <n v="-76.647296670000003"/>
    <n v="3.3498866669999998"/>
    <n v="30"/>
    <n v="0"/>
    <n v="18"/>
    <n v="-76.647068329999996"/>
    <n v="3.3491116669999998"/>
    <n v="20"/>
    <n v="0.3"/>
    <n v="10"/>
    <s v="Herbaceo 0.3-1.5 m"/>
    <s v="Observacion"/>
    <m/>
  </r>
  <r>
    <x v="5"/>
    <x v="2"/>
    <x v="9"/>
    <s v="FCCAT1"/>
    <x v="0"/>
    <d v="2022-11-15T00:00:00"/>
    <d v="1899-12-30T21:25:13"/>
    <n v="-76.647163329999998"/>
    <n v="3.3486233329999999"/>
    <n v="7"/>
    <s v="Derecho"/>
    <s v="Andrea Guazaquillo"/>
    <n v="2397"/>
    <m/>
    <b v="1"/>
    <n v="10"/>
    <n v="0.27500000000000002"/>
    <n v="17.5"/>
    <s v="Hojas y/o Ramas"/>
    <s v="Bosque ribereño"/>
    <m/>
    <x v="44"/>
    <m/>
    <n v="1"/>
    <m/>
    <m/>
    <m/>
    <m/>
    <m/>
    <m/>
    <m/>
    <n v="-76.647043330000002"/>
    <n v="3.3489433329999998"/>
    <n v="15"/>
    <n v="0.3"/>
    <n v="10"/>
    <n v="-76.647175000000004"/>
    <n v="3.3485716669999999"/>
    <n v="20"/>
    <n v="0.25"/>
    <n v="10"/>
    <s v="Herbaceo 0.3-1.5 m"/>
    <s v="Observacion"/>
    <m/>
  </r>
  <r>
    <x v="5"/>
    <x v="2"/>
    <x v="9"/>
    <s v="FCCAT1"/>
    <x v="0"/>
    <d v="2022-11-15T00:00:00"/>
    <d v="1899-12-30T21:22:01"/>
    <n v="-76.647121670000004"/>
    <n v="3.3487149999999999"/>
    <n v="7"/>
    <s v="Derecho"/>
    <s v="Diana Murillo"/>
    <n v="2397"/>
    <m/>
    <b v="1"/>
    <n v="10"/>
    <n v="0.27500000000000002"/>
    <n v="17.5"/>
    <s v="Hojas y/o Ramas"/>
    <s v="Bosque ribereño"/>
    <m/>
    <x v="18"/>
    <m/>
    <n v="1"/>
    <m/>
    <m/>
    <m/>
    <m/>
    <m/>
    <m/>
    <m/>
    <n v="-76.647043330000002"/>
    <n v="3.3489433329999998"/>
    <n v="15"/>
    <n v="0.3"/>
    <n v="10"/>
    <n v="-76.647175000000004"/>
    <n v="3.3485716669999999"/>
    <n v="20"/>
    <n v="0.25"/>
    <n v="10"/>
    <s v="Herbaceo 0.3-1.5 m"/>
    <s v="Observacion"/>
    <m/>
  </r>
  <r>
    <x v="5"/>
    <x v="0"/>
    <x v="3"/>
    <s v="FCMDT20"/>
    <x v="0"/>
    <d v="2022-11-02T00:00:00"/>
    <d v="1899-12-30T21:00:40"/>
    <n v="-76.678376670000006"/>
    <n v="3.4022016669999999"/>
    <n v="7"/>
    <s v="Derecho"/>
    <s v="Oscar Cuellar"/>
    <n v="3035"/>
    <b v="1"/>
    <m/>
    <n v="15"/>
    <n v="0"/>
    <n v="5"/>
    <s v="Sotobosque"/>
    <s v="Bosque Primario"/>
    <s v="Juvenil"/>
    <x v="12"/>
    <m/>
    <n v="1"/>
    <m/>
    <m/>
    <m/>
    <m/>
    <m/>
    <m/>
    <m/>
    <n v="-76.67795667"/>
    <n v="3.4023300000000001"/>
    <n v="5"/>
    <n v="0"/>
    <n v="12"/>
    <n v="-76.678555000000003"/>
    <n v="3.4016899999999999"/>
    <n v="5"/>
    <n v="0"/>
    <n v="18"/>
    <s v="Herbaceo 0.3-1.5 m"/>
    <s v="Observacion"/>
    <s v="Univalle"/>
  </r>
  <r>
    <x v="5"/>
    <x v="0"/>
    <x v="3"/>
    <s v="FCMDT20"/>
    <x v="0"/>
    <d v="2022-11-02T00:00:00"/>
    <d v="1899-12-30T21:02:55"/>
    <n v="-76.678399999999996"/>
    <n v="3.402113333"/>
    <n v="7"/>
    <s v="Izquierdo"/>
    <s v="Oscar Cuellar"/>
    <n v="3058"/>
    <b v="1"/>
    <m/>
    <n v="15"/>
    <n v="0"/>
    <n v="5"/>
    <s v="Sotobosque"/>
    <s v="Bosque Primario"/>
    <s v="Juvenil"/>
    <x v="12"/>
    <m/>
    <n v="1"/>
    <m/>
    <m/>
    <m/>
    <m/>
    <m/>
    <m/>
    <m/>
    <n v="-76.67795667"/>
    <n v="3.4023300000000001"/>
    <n v="5"/>
    <n v="0"/>
    <n v="12"/>
    <n v="-76.678555000000003"/>
    <n v="3.4016899999999999"/>
    <n v="5"/>
    <n v="0"/>
    <n v="18"/>
    <s v="Herbaceo 0.3-1.5 m"/>
    <s v="Observacion"/>
    <s v="Univalle"/>
  </r>
  <r>
    <x v="5"/>
    <x v="0"/>
    <x v="3"/>
    <s v="FCMDT20"/>
    <x v="0"/>
    <d v="2022-11-02T00:00:00"/>
    <d v="1899-12-30T20:51:43"/>
    <n v="-76.67795667"/>
    <n v="3.4023300000000001"/>
    <n v="7"/>
    <s v="Izquierdo"/>
    <s v="Oscar Cuellar"/>
    <n v="3028"/>
    <b v="1"/>
    <m/>
    <n v="15"/>
    <n v="0"/>
    <n v="5"/>
    <s v="Sotobosque"/>
    <s v="Bosque Primario"/>
    <s v="Sobre hoja de helecho"/>
    <x v="12"/>
    <m/>
    <n v="1"/>
    <m/>
    <m/>
    <m/>
    <m/>
    <m/>
    <m/>
    <m/>
    <n v="-76.67795667"/>
    <n v="3.4023300000000001"/>
    <n v="5"/>
    <n v="0"/>
    <n v="12"/>
    <n v="-76.678555000000003"/>
    <n v="3.4016899999999999"/>
    <n v="5"/>
    <n v="0"/>
    <n v="18"/>
    <s v="Herbaceo 0.3-1.5 m"/>
    <s v="Observacion"/>
    <s v="Univalle"/>
  </r>
  <r>
    <x v="5"/>
    <x v="0"/>
    <x v="2"/>
    <s v="FCMDT17"/>
    <x v="0"/>
    <d v="2022-11-02T00:00:00"/>
    <d v="1899-12-30T21:49:43"/>
    <n v="-76.680293329999998"/>
    <n v="3.4007516670000002"/>
    <n v="7"/>
    <s v="Izquierdo"/>
    <s v="Oscar Cuellar"/>
    <n v="3025"/>
    <b v="1"/>
    <m/>
    <n v="9"/>
    <n v="0"/>
    <n v="10"/>
    <s v="Sotobosque"/>
    <s v="Bosque ribereño"/>
    <s v="Juvenil"/>
    <x v="12"/>
    <m/>
    <n v="2"/>
    <m/>
    <m/>
    <m/>
    <m/>
    <m/>
    <m/>
    <m/>
    <n v="-76.680293329999998"/>
    <n v="3.4007516670000002"/>
    <n v="10"/>
    <n v="0"/>
    <n v="8"/>
    <n v="-76.680963329999997"/>
    <n v="3.4013466669999999"/>
    <n v="10"/>
    <n v="0"/>
    <n v="10"/>
    <s v="Herbaceo 0.3-1.5 m"/>
    <s v="Observacion"/>
    <s v="Univalle"/>
  </r>
  <r>
    <x v="5"/>
    <x v="0"/>
    <x v="2"/>
    <s v="FCMDT17"/>
    <x v="0"/>
    <d v="2022-11-02T00:00:00"/>
    <d v="1899-12-30T21:49:43"/>
    <n v="-76.680293329999998"/>
    <n v="3.4007516670000002"/>
    <n v="7"/>
    <s v="Derecho"/>
    <s v="Oscar Cuellar"/>
    <n v="3025"/>
    <b v="1"/>
    <m/>
    <n v="9"/>
    <n v="0"/>
    <n v="10"/>
    <s v="Arbol"/>
    <s v="Bosque ribereño"/>
    <s v="Cantando a borde de quebrada"/>
    <x v="11"/>
    <m/>
    <n v="1"/>
    <m/>
    <m/>
    <m/>
    <m/>
    <m/>
    <m/>
    <m/>
    <n v="-76.680293329999998"/>
    <n v="3.4007516670000002"/>
    <n v="10"/>
    <n v="0"/>
    <n v="8"/>
    <n v="-76.680963329999997"/>
    <n v="3.4013466669999999"/>
    <n v="10"/>
    <n v="0"/>
    <n v="10"/>
    <s v="Subarboreo 5-12 m"/>
    <s v="Auditivo"/>
    <s v="Univalle"/>
  </r>
  <r>
    <x v="5"/>
    <x v="0"/>
    <x v="2"/>
    <s v="FCMDT17"/>
    <x v="0"/>
    <d v="2022-11-02T00:00:00"/>
    <d v="1899-12-30T22:05:58"/>
    <n v="-76.680454999999995"/>
    <n v="3.4010750000000001"/>
    <n v="7"/>
    <s v="Izquierdo"/>
    <s v="Oscar Cuellar"/>
    <n v="3028"/>
    <b v="1"/>
    <m/>
    <n v="9"/>
    <n v="0"/>
    <n v="10"/>
    <s v="Sotobosque"/>
    <s v="Bosque ribereño"/>
    <s v="Juvenil"/>
    <x v="10"/>
    <m/>
    <n v="1"/>
    <m/>
    <m/>
    <m/>
    <m/>
    <m/>
    <m/>
    <m/>
    <n v="-76.680293329999998"/>
    <n v="3.4007516670000002"/>
    <n v="10"/>
    <n v="0"/>
    <n v="8"/>
    <n v="-76.680963329999997"/>
    <n v="3.4013466669999999"/>
    <n v="10"/>
    <n v="0"/>
    <n v="10"/>
    <s v="Rasante &lt;0.3 m"/>
    <s v="Observacion"/>
    <s v="Univalle"/>
  </r>
  <r>
    <x v="5"/>
    <x v="0"/>
    <x v="2"/>
    <s v="FCMDT17"/>
    <x v="0"/>
    <d v="2022-11-02T00:00:00"/>
    <d v="1899-12-30T22:05:58"/>
    <n v="-76.680454999999995"/>
    <n v="3.4010750000000001"/>
    <n v="7"/>
    <s v="Derecho"/>
    <s v="Oscar Cuellar"/>
    <m/>
    <b v="1"/>
    <m/>
    <n v="9"/>
    <n v="0"/>
    <n v="10"/>
    <s v="Arbol"/>
    <s v="Bosque ribereño"/>
    <s v="A borde de quebrada"/>
    <x v="11"/>
    <m/>
    <n v="2"/>
    <m/>
    <m/>
    <m/>
    <m/>
    <m/>
    <m/>
    <m/>
    <n v="-76.680293329999998"/>
    <n v="3.4007516670000002"/>
    <n v="10"/>
    <n v="0"/>
    <n v="8"/>
    <n v="-76.680963329999997"/>
    <n v="3.4013466669999999"/>
    <n v="10"/>
    <n v="0"/>
    <n v="10"/>
    <s v="Subarboreo 5-12 m"/>
    <s v="Auditivo"/>
    <s v="Univalle"/>
  </r>
  <r>
    <x v="5"/>
    <x v="0"/>
    <x v="2"/>
    <s v="FCMDT17"/>
    <x v="0"/>
    <d v="2022-11-02T00:00:00"/>
    <d v="1899-12-30T22:11:27"/>
    <n v="-76.680671669999995"/>
    <n v="3.4010233329999999"/>
    <n v="7"/>
    <s v="Derecho"/>
    <s v="Oscar Cuellar"/>
    <n v="3028"/>
    <b v="1"/>
    <m/>
    <n v="9"/>
    <n v="0"/>
    <n v="10"/>
    <s v="Hojarasca"/>
    <s v="Bosque Primario"/>
    <s v="Juvenil"/>
    <x v="13"/>
    <m/>
    <n v="1"/>
    <m/>
    <m/>
    <s v="Procesos de remoción en masa"/>
    <m/>
    <m/>
    <s v="Sobre quebrada"/>
    <m/>
    <n v="-76.680293329999998"/>
    <n v="3.4007516670000002"/>
    <n v="10"/>
    <n v="0"/>
    <n v="8"/>
    <n v="-76.680963329999997"/>
    <n v="3.4013466669999999"/>
    <n v="10"/>
    <n v="0"/>
    <n v="10"/>
    <s v="Rasante &lt;0.3 m"/>
    <s v="Observacion"/>
    <s v="Univalle"/>
  </r>
  <r>
    <x v="5"/>
    <x v="0"/>
    <x v="2"/>
    <s v="FCMDT19"/>
    <x v="2"/>
    <d v="2022-11-02T00:00:00"/>
    <d v="1899-12-30T21:31:34"/>
    <n v="-76.679093330000001"/>
    <n v="3.4007183329999999"/>
    <n v="7"/>
    <m/>
    <s v="Oscar Cuellar"/>
    <m/>
    <m/>
    <m/>
    <n v="13"/>
    <n v="0.3"/>
    <n v="5"/>
    <m/>
    <m/>
    <m/>
    <x v="0"/>
    <m/>
    <n v="0"/>
    <m/>
    <m/>
    <s v="Procesos de remoción en masa"/>
    <m/>
    <m/>
    <s v="Remoción de troncos a borde de quebrada"/>
    <m/>
    <n v="-76.678711669999998"/>
    <n v="3.4015083330000002"/>
    <n v="5"/>
    <n v="0"/>
    <n v="18"/>
    <n v="-76.679093330000001"/>
    <n v="3.4007183329999999"/>
    <n v="5"/>
    <n v="0.6"/>
    <n v="8"/>
    <m/>
    <m/>
    <s v="Univalle"/>
  </r>
  <r>
    <x v="5"/>
    <x v="0"/>
    <x v="2"/>
    <s v="FCMDT18"/>
    <x v="1"/>
    <d v="2022-11-02T00:00:00"/>
    <d v="1899-12-30T21:45:32"/>
    <n v="-76.680066670000002"/>
    <n v="3.400956667"/>
    <n v="7"/>
    <m/>
    <s v="Oscar Cuellar"/>
    <m/>
    <m/>
    <m/>
    <n v="8"/>
    <n v="0"/>
    <n v="7.5"/>
    <m/>
    <m/>
    <m/>
    <x v="0"/>
    <m/>
    <n v="0"/>
    <m/>
    <m/>
    <m/>
    <m/>
    <m/>
    <m/>
    <m/>
    <n v="-76.679201669999998"/>
    <n v="3.400833333"/>
    <n v="10"/>
    <n v="0"/>
    <n v="8"/>
    <n v="-76.680066670000002"/>
    <n v="3.400956667"/>
    <n v="5"/>
    <n v="0"/>
    <n v="8"/>
    <m/>
    <m/>
    <s v="Univalle"/>
  </r>
  <r>
    <x v="5"/>
    <x v="0"/>
    <x v="3"/>
    <s v="FCMDT21"/>
    <x v="1"/>
    <d v="2022-11-02T00:00:00"/>
    <d v="1899-12-30T20:46:45"/>
    <n v="-76.677778329999995"/>
    <n v="3.4024483330000002"/>
    <n v="7"/>
    <m/>
    <s v="Oscar Cuellar"/>
    <m/>
    <m/>
    <m/>
    <n v="10"/>
    <n v="0"/>
    <n v="10"/>
    <m/>
    <m/>
    <m/>
    <x v="0"/>
    <m/>
    <n v="0"/>
    <m/>
    <m/>
    <m/>
    <m/>
    <m/>
    <m/>
    <m/>
    <n v="-76.677083330000002"/>
    <n v="3.4026299999999998"/>
    <n v="15"/>
    <n v="0"/>
    <n v="8"/>
    <n v="-76.677778329999995"/>
    <n v="3.4024483330000002"/>
    <n v="5"/>
    <n v="0"/>
    <n v="12"/>
    <m/>
    <m/>
    <s v="Univalle"/>
  </r>
  <r>
    <x v="5"/>
    <x v="0"/>
    <x v="3"/>
    <s v="FCMDT22"/>
    <x v="2"/>
    <d v="2022-11-02T00:00:00"/>
    <d v="1899-12-30T20:06:40"/>
    <n v="-76.676443329999998"/>
    <n v="3.4024749999999999"/>
    <n v="7"/>
    <s v="Izquierdo"/>
    <s v="Oscar Cuellar"/>
    <n v="2978"/>
    <b v="1"/>
    <m/>
    <n v="8"/>
    <n v="0"/>
    <n v="12.5"/>
    <s v="Sotobosque"/>
    <s v="Bosque Primario"/>
    <s v="Perchado sobre helecho"/>
    <x v="12"/>
    <m/>
    <n v="1"/>
    <m/>
    <m/>
    <m/>
    <m/>
    <m/>
    <s v="Muestreo nocturno"/>
    <s v="Nublado"/>
    <n v="-76.676066669999997"/>
    <n v="3.4021566669999999"/>
    <n v="15"/>
    <n v="0"/>
    <n v="8"/>
    <n v="-76.676916669999997"/>
    <n v="3.4027283330000002"/>
    <n v="10"/>
    <n v="0"/>
    <n v="8"/>
    <s v="Herbaceo 0.3-1.5 m"/>
    <s v="Observacion"/>
    <s v="Univalle"/>
  </r>
  <r>
    <x v="5"/>
    <x v="3"/>
    <x v="16"/>
    <s v="FCACT8"/>
    <x v="3"/>
    <d v="2022-12-13T00:00:00"/>
    <d v="1899-12-30T21:50:10"/>
    <n v="-76.880615000000006"/>
    <n v="3.5794266669999999"/>
    <n v="7"/>
    <s v="Izquierdo"/>
    <s v="Gustavo Rodriguez"/>
    <n v="620"/>
    <b v="1"/>
    <m/>
    <n v="19"/>
    <n v="0"/>
    <n v="20"/>
    <s v="Sotobosque"/>
    <s v="Bosque Primario"/>
    <m/>
    <x v="14"/>
    <m/>
    <n v="1"/>
    <m/>
    <m/>
    <m/>
    <m/>
    <m/>
    <m/>
    <m/>
    <n v="-76.880468329999999"/>
    <n v="3.5789650000000002"/>
    <n v="30"/>
    <n v="0"/>
    <n v="20"/>
    <n v="-76.880390000000006"/>
    <n v="3.57965"/>
    <n v="10"/>
    <n v="0"/>
    <n v="18"/>
    <s v="Rasante &lt;0.3 m"/>
    <s v="Observacion"/>
    <s v="WCS"/>
  </r>
  <r>
    <x v="5"/>
    <x v="3"/>
    <x v="16"/>
    <s v="FCACT8"/>
    <x v="3"/>
    <d v="2022-12-13T00:00:00"/>
    <d v="1899-12-30T21:52:17"/>
    <n v="-76.880726670000001"/>
    <n v="3.5793849999999998"/>
    <n v="7"/>
    <s v="Izquierdo"/>
    <s v="Luis Mamian"/>
    <n v="620"/>
    <b v="1"/>
    <m/>
    <n v="19"/>
    <n v="0"/>
    <n v="20"/>
    <s v="Hojas y/o Ramas"/>
    <s v="Bosque Primario"/>
    <m/>
    <x v="45"/>
    <m/>
    <n v="1"/>
    <m/>
    <m/>
    <m/>
    <m/>
    <m/>
    <m/>
    <m/>
    <n v="-76.880468329999999"/>
    <n v="3.5789650000000002"/>
    <n v="30"/>
    <n v="0"/>
    <n v="20"/>
    <n v="-76.880390000000006"/>
    <n v="3.57965"/>
    <n v="10"/>
    <n v="0"/>
    <n v="18"/>
    <s v="Herbaceo 0.3-1.5 m"/>
    <s v="Observacion"/>
    <s v="WCS"/>
  </r>
  <r>
    <x v="5"/>
    <x v="3"/>
    <x v="16"/>
    <s v="FCACT8"/>
    <x v="3"/>
    <d v="2022-12-13T00:00:00"/>
    <d v="1899-12-30T21:42:34"/>
    <n v="-76.880636670000001"/>
    <n v="3.5791566669999999"/>
    <n v="7"/>
    <s v="Izquierdo"/>
    <m/>
    <n v="620"/>
    <b v="1"/>
    <m/>
    <n v="19"/>
    <n v="0"/>
    <n v="20"/>
    <s v="Hojarasca"/>
    <s v="Bosque Primario"/>
    <m/>
    <x v="46"/>
    <m/>
    <n v="2"/>
    <m/>
    <m/>
    <m/>
    <m/>
    <m/>
    <m/>
    <m/>
    <n v="-76.880468329999999"/>
    <n v="3.5789650000000002"/>
    <n v="30"/>
    <n v="0"/>
    <n v="20"/>
    <n v="-76.880390000000006"/>
    <n v="3.57965"/>
    <n v="10"/>
    <n v="0"/>
    <n v="18"/>
    <s v="Rasante &lt;0.3 m"/>
    <s v="Observacion"/>
    <s v="WCS"/>
  </r>
  <r>
    <x v="5"/>
    <x v="3"/>
    <x v="16"/>
    <s v="FCACT8"/>
    <x v="3"/>
    <d v="2022-12-13T00:00:00"/>
    <d v="1899-12-30T21:36:43"/>
    <n v="-76.880854999999997"/>
    <n v="3.5791983329999999"/>
    <n v="7"/>
    <s v="Derecho"/>
    <m/>
    <m/>
    <b v="1"/>
    <m/>
    <n v="19"/>
    <n v="0"/>
    <n v="20"/>
    <s v="Sotobosque"/>
    <s v="Bosque Primario"/>
    <m/>
    <x v="45"/>
    <m/>
    <n v="1"/>
    <m/>
    <m/>
    <m/>
    <m/>
    <m/>
    <m/>
    <m/>
    <n v="-76.880468329999999"/>
    <n v="3.5789650000000002"/>
    <n v="30"/>
    <n v="0"/>
    <n v="20"/>
    <n v="-76.880390000000006"/>
    <n v="3.57965"/>
    <n v="10"/>
    <n v="0"/>
    <n v="18"/>
    <s v="Herbaceo 0.3-1.5 m"/>
    <s v="Observacion"/>
    <s v="WCS"/>
  </r>
  <r>
    <x v="5"/>
    <x v="3"/>
    <x v="16"/>
    <s v="FCACT8"/>
    <x v="3"/>
    <d v="2022-12-13T00:00:00"/>
    <d v="1899-12-30T21:36:43"/>
    <n v="-76.880854999999997"/>
    <n v="3.5791983329999999"/>
    <n v="7"/>
    <s v="Izquierdo"/>
    <m/>
    <m/>
    <b v="1"/>
    <m/>
    <n v="19"/>
    <n v="0"/>
    <n v="20"/>
    <s v="Hojas y/o Ramas"/>
    <s v="Bosque Primario"/>
    <m/>
    <x v="14"/>
    <m/>
    <n v="1"/>
    <m/>
    <m/>
    <m/>
    <m/>
    <m/>
    <m/>
    <m/>
    <n v="-76.880468329999999"/>
    <n v="3.5789650000000002"/>
    <n v="30"/>
    <n v="0"/>
    <n v="20"/>
    <n v="-76.880390000000006"/>
    <n v="3.57965"/>
    <n v="10"/>
    <n v="0"/>
    <n v="18"/>
    <s v="Herbaceo 0.3-1.5 m"/>
    <s v="Observacion"/>
    <s v="WCS"/>
  </r>
  <r>
    <x v="5"/>
    <x v="3"/>
    <x v="16"/>
    <s v="FCACT7"/>
    <x v="2"/>
    <d v="2022-12-13T00:00:00"/>
    <d v="1899-12-30T21:15:42"/>
    <n v="-76.880555000000001"/>
    <n v="3.578601667"/>
    <n v="7"/>
    <s v="Izquierdo"/>
    <s v="Gustavo Rodriguez"/>
    <n v="620"/>
    <b v="1"/>
    <m/>
    <n v="16"/>
    <n v="3"/>
    <n v="15"/>
    <s v="Hojas y/o Ramas"/>
    <s v="Bosque Primario"/>
    <m/>
    <x v="14"/>
    <m/>
    <n v="1"/>
    <m/>
    <m/>
    <m/>
    <m/>
    <m/>
    <m/>
    <m/>
    <n v="-76.880870000000002"/>
    <n v="3.5783133330000001"/>
    <n v="5"/>
    <n v="6"/>
    <n v="12"/>
    <n v="-76.880573330000004"/>
    <n v="3.5788383330000002"/>
    <n v="25"/>
    <n v="0"/>
    <n v="20"/>
    <s v="Herbaceo 0.3-1.5 m"/>
    <s v="Observacion"/>
    <s v="WCS"/>
  </r>
  <r>
    <x v="5"/>
    <x v="3"/>
    <x v="16"/>
    <s v="FCACT7"/>
    <x v="2"/>
    <d v="2022-12-13T00:00:00"/>
    <d v="1899-12-30T21:27:24"/>
    <n v="-76.880573330000004"/>
    <n v="3.5788383330000002"/>
    <n v="7"/>
    <s v="Derecho"/>
    <s v="Gustavo González"/>
    <n v="620"/>
    <b v="1"/>
    <m/>
    <n v="16"/>
    <n v="3"/>
    <n v="15"/>
    <s v="Hojas y/o Ramas"/>
    <s v="Bosque Primario"/>
    <m/>
    <x v="14"/>
    <m/>
    <n v="1"/>
    <m/>
    <m/>
    <m/>
    <m/>
    <m/>
    <m/>
    <m/>
    <n v="-76.880870000000002"/>
    <n v="3.5783133330000001"/>
    <n v="5"/>
    <n v="6"/>
    <n v="12"/>
    <n v="-76.880573330000004"/>
    <n v="3.5788383330000002"/>
    <n v="25"/>
    <n v="0"/>
    <n v="20"/>
    <s v="Rasante &lt;0.3 m"/>
    <s v="Observacion"/>
    <s v="WCS"/>
  </r>
  <r>
    <x v="5"/>
    <x v="3"/>
    <x v="16"/>
    <s v="FCACT7"/>
    <x v="2"/>
    <d v="2022-12-13T00:00:00"/>
    <d v="1899-12-30T21:00:41"/>
    <n v="-76.880870000000002"/>
    <n v="3.5783133330000001"/>
    <n v="7"/>
    <s v="Derecho"/>
    <m/>
    <n v="620"/>
    <m/>
    <b v="1"/>
    <n v="16"/>
    <n v="3"/>
    <n v="15"/>
    <s v="Rio"/>
    <s v="Bosque ribereño"/>
    <s v="A borde de quebrada"/>
    <x v="29"/>
    <m/>
    <n v="1"/>
    <m/>
    <m/>
    <m/>
    <m/>
    <m/>
    <m/>
    <m/>
    <n v="-76.880870000000002"/>
    <n v="3.5783133330000001"/>
    <n v="5"/>
    <n v="6"/>
    <n v="12"/>
    <n v="-76.880573330000004"/>
    <n v="3.5788383330000002"/>
    <n v="25"/>
    <n v="0"/>
    <n v="20"/>
    <s v="Rasante &lt;0.3 m"/>
    <s v="Observacion"/>
    <s v="WCS"/>
  </r>
  <r>
    <x v="5"/>
    <x v="3"/>
    <x v="16"/>
    <s v="FCACT5"/>
    <x v="0"/>
    <d v="2022-12-13T00:00:00"/>
    <d v="1899-12-30T20:33:31"/>
    <n v="-76.880705000000006"/>
    <n v="3.5771283330000001"/>
    <n v="7"/>
    <s v="Izquierdo"/>
    <s v="Gustavo González"/>
    <n v="620"/>
    <b v="1"/>
    <m/>
    <n v="14"/>
    <n v="0"/>
    <n v="5"/>
    <s v="Hojas y/o Ramas"/>
    <s v="Bosque Primario"/>
    <m/>
    <x v="21"/>
    <m/>
    <n v="1"/>
    <m/>
    <m/>
    <m/>
    <m/>
    <m/>
    <m/>
    <m/>
    <n v="-76.880228329999994"/>
    <n v="3.5765666669999998"/>
    <n v="5"/>
    <n v="0"/>
    <n v="16"/>
    <n v="-76.880331670000004"/>
    <n v="3.5774249999999999"/>
    <n v="5"/>
    <n v="0"/>
    <n v="12"/>
    <s v="Herbaceo 0.3-1.5 m"/>
    <s v="Auditivo"/>
    <s v="WCS"/>
  </r>
  <r>
    <x v="5"/>
    <x v="3"/>
    <x v="16"/>
    <s v="FCACT5"/>
    <x v="0"/>
    <d v="2022-12-13T00:00:00"/>
    <d v="1899-12-30T20:33:31"/>
    <n v="-76.880705000000006"/>
    <n v="3.5771283330000001"/>
    <n v="7"/>
    <s v="Izquierdo"/>
    <s v="Gustavo González"/>
    <n v="620"/>
    <b v="1"/>
    <m/>
    <n v="14"/>
    <n v="0"/>
    <n v="5"/>
    <s v="Sotobosque"/>
    <s v="Bosque Primario"/>
    <m/>
    <x v="31"/>
    <m/>
    <n v="1"/>
    <m/>
    <m/>
    <m/>
    <m/>
    <m/>
    <m/>
    <m/>
    <n v="-76.880228329999994"/>
    <n v="3.5765666669999998"/>
    <n v="5"/>
    <n v="0"/>
    <n v="16"/>
    <n v="-76.880331670000004"/>
    <n v="3.5774249999999999"/>
    <n v="5"/>
    <n v="0"/>
    <n v="12"/>
    <s v="Herbaceo 0.3-1.5 m"/>
    <s v="Auditivo"/>
    <s v="WCS"/>
  </r>
  <r>
    <x v="5"/>
    <x v="3"/>
    <x v="16"/>
    <s v="FCACT7"/>
    <x v="2"/>
    <d v="2022-12-13T00:00:00"/>
    <d v="1899-12-30T16:15:55"/>
    <n v="-76.881349999999998"/>
    <n v="3.5789149999999998"/>
    <n v="7"/>
    <s v="Derecho"/>
    <s v="Gustavo Rodriguez"/>
    <n v="620"/>
    <b v="1"/>
    <m/>
    <n v="16"/>
    <n v="3"/>
    <n v="15"/>
    <s v="Sotobosque"/>
    <s v="Bosque Primario"/>
    <m/>
    <x v="14"/>
    <m/>
    <n v="1"/>
    <m/>
    <m/>
    <m/>
    <m/>
    <m/>
    <m/>
    <m/>
    <n v="-76.880870000000002"/>
    <n v="3.5783133330000001"/>
    <n v="5"/>
    <n v="6"/>
    <n v="12"/>
    <n v="-76.880573330000004"/>
    <n v="3.5788383330000002"/>
    <n v="25"/>
    <n v="0"/>
    <n v="20"/>
    <s v="Rasante &lt;0.3 m"/>
    <s v="Observacion"/>
    <s v="WCS"/>
  </r>
  <r>
    <x v="5"/>
    <x v="3"/>
    <x v="16"/>
    <s v="FCACT7"/>
    <x v="2"/>
    <d v="2022-12-13T00:00:00"/>
    <d v="1899-12-30T16:05:09"/>
    <n v="-76.880971669999994"/>
    <n v="3.5786983330000002"/>
    <n v="7"/>
    <s v="Derecho"/>
    <s v="Gustavo González"/>
    <n v="619"/>
    <b v="1"/>
    <m/>
    <n v="16"/>
    <n v="3"/>
    <n v="15"/>
    <s v="Hojarasca"/>
    <s v="Bosque Primario"/>
    <m/>
    <x v="14"/>
    <m/>
    <n v="1"/>
    <m/>
    <m/>
    <m/>
    <m/>
    <m/>
    <m/>
    <m/>
    <n v="-76.880870000000002"/>
    <n v="3.5783133330000001"/>
    <n v="5"/>
    <n v="6"/>
    <n v="12"/>
    <n v="-76.880573330000004"/>
    <n v="3.5788383330000002"/>
    <n v="25"/>
    <n v="0"/>
    <n v="20"/>
    <s v="Rasante &lt;0.3 m"/>
    <s v="Auditivo"/>
    <s v="WCS"/>
  </r>
  <r>
    <x v="5"/>
    <x v="3"/>
    <x v="16"/>
    <s v="FCACT7"/>
    <x v="2"/>
    <d v="2022-12-13T00:00:00"/>
    <d v="1899-12-30T15:57:25"/>
    <n v="-76.880786670000006"/>
    <n v="3.5787300000000002"/>
    <n v="7"/>
    <s v="Derecho"/>
    <s v="Jhonatan Vanegas"/>
    <n v="619"/>
    <b v="1"/>
    <m/>
    <n v="16"/>
    <n v="3"/>
    <n v="15"/>
    <s v="Arbusto"/>
    <s v="Bosque Primario"/>
    <m/>
    <x v="14"/>
    <m/>
    <n v="1"/>
    <m/>
    <m/>
    <m/>
    <m/>
    <m/>
    <m/>
    <m/>
    <n v="-76.880870000000002"/>
    <n v="3.5783133330000001"/>
    <n v="5"/>
    <n v="6"/>
    <n v="12"/>
    <n v="-76.880573330000004"/>
    <n v="3.5788383330000002"/>
    <n v="25"/>
    <n v="0"/>
    <n v="20"/>
    <s v="Arbustivo 1.5-5 m"/>
    <s v="Observacion"/>
    <s v="WCS"/>
  </r>
  <r>
    <x v="5"/>
    <x v="3"/>
    <x v="16"/>
    <s v="FCACT6"/>
    <x v="1"/>
    <d v="2022-12-13T00:00:00"/>
    <d v="1899-12-30T15:35:55"/>
    <n v="-76.881076669999999"/>
    <n v="3.5782366670000001"/>
    <n v="7"/>
    <m/>
    <m/>
    <m/>
    <m/>
    <m/>
    <n v="11"/>
    <n v="0"/>
    <n v="5"/>
    <m/>
    <m/>
    <m/>
    <x v="0"/>
    <m/>
    <n v="0"/>
    <m/>
    <m/>
    <m/>
    <m/>
    <m/>
    <m/>
    <m/>
    <n v="-76.880240000000001"/>
    <n v="3.57761"/>
    <n v="5"/>
    <n v="0"/>
    <n v="12"/>
    <n v="-76.880803330000006"/>
    <n v="3.5782500000000002"/>
    <n v="5"/>
    <n v="0"/>
    <n v="10"/>
    <m/>
    <m/>
    <s v="WCS"/>
  </r>
  <r>
    <x v="5"/>
    <x v="3"/>
    <x v="16"/>
    <s v="FCACT5"/>
    <x v="0"/>
    <d v="2022-12-13T00:00:00"/>
    <d v="1899-12-30T15:22:50"/>
    <n v="-76.880523330000003"/>
    <n v="3.5773216670000001"/>
    <n v="7"/>
    <s v="Derecho"/>
    <s v="Gustavo Rodriguez"/>
    <n v="619"/>
    <b v="1"/>
    <m/>
    <n v="14"/>
    <n v="0"/>
    <n v="5"/>
    <s v="Hojarasca"/>
    <s v="Bosque Primario"/>
    <m/>
    <x v="15"/>
    <m/>
    <n v="1"/>
    <m/>
    <m/>
    <m/>
    <m/>
    <m/>
    <m/>
    <m/>
    <n v="-76.880228329999994"/>
    <n v="3.5765666669999998"/>
    <n v="5"/>
    <n v="0"/>
    <n v="16"/>
    <n v="-76.880331670000004"/>
    <n v="3.5774249999999999"/>
    <n v="5"/>
    <n v="0"/>
    <n v="12"/>
    <s v="Rasante &lt;0.3 m"/>
    <s v="Observacion"/>
    <s v="WCS"/>
  </r>
  <r>
    <x v="5"/>
    <x v="3"/>
    <x v="20"/>
    <s v="FCAET20"/>
    <x v="0"/>
    <d v="2022-12-14T00:00:00"/>
    <d v="1899-12-30T21:04:17"/>
    <n v="-76.877613330000003"/>
    <n v="3.5809483329999998"/>
    <n v="7"/>
    <s v="Izquierdo"/>
    <s v="Luis Mamian"/>
    <n v="600"/>
    <b v="1"/>
    <m/>
    <n v="16"/>
    <n v="0"/>
    <n v="5"/>
    <s v="Hojas y/o Ramas"/>
    <s v="Bosque Secundario"/>
    <m/>
    <x v="26"/>
    <m/>
    <n v="1"/>
    <m/>
    <m/>
    <m/>
    <m/>
    <m/>
    <m/>
    <m/>
    <n v="-76.877568330000003"/>
    <n v="3.5815766670000002"/>
    <n v="5"/>
    <n v="0"/>
    <n v="20"/>
    <n v="-76.876528329999999"/>
    <n v="3.579555"/>
    <n v="5"/>
    <n v="0"/>
    <n v="12"/>
    <s v="Herbaceo 0.3-1.5 m"/>
    <s v="Observacion"/>
    <s v="WCS"/>
  </r>
  <r>
    <x v="5"/>
    <x v="3"/>
    <x v="20"/>
    <s v="FCAET20"/>
    <x v="0"/>
    <d v="2022-12-14T00:00:00"/>
    <d v="1899-12-30T20:49:39"/>
    <n v="-76.877570000000006"/>
    <n v="3.5815199999999998"/>
    <n v="7"/>
    <s v="Derecho"/>
    <s v="Jhonatan Vanegas"/>
    <n v="600"/>
    <b v="1"/>
    <m/>
    <n v="16"/>
    <n v="0"/>
    <n v="5"/>
    <s v="Sotobosque"/>
    <s v="Bosque Secundario"/>
    <m/>
    <x v="28"/>
    <m/>
    <n v="1"/>
    <m/>
    <m/>
    <s v="Procesos de remoción en masa"/>
    <m/>
    <m/>
    <m/>
    <s v="Nublado"/>
    <n v="-76.877568330000003"/>
    <n v="3.5815766670000002"/>
    <n v="5"/>
    <n v="0"/>
    <n v="20"/>
    <n v="-76.876528329999999"/>
    <n v="3.579555"/>
    <n v="5"/>
    <n v="0"/>
    <n v="12"/>
    <s v="Herbaceo 0.3-1.5 m"/>
    <s v="Observacion"/>
    <s v="WCS"/>
  </r>
  <r>
    <x v="5"/>
    <x v="3"/>
    <x v="20"/>
    <s v="FCAET20"/>
    <x v="0"/>
    <d v="2022-12-14T00:00:00"/>
    <d v="1899-12-30T21:23:18"/>
    <n v="-76.876528329999999"/>
    <n v="3.579555"/>
    <n v="7"/>
    <s v="Derecho"/>
    <s v="Jennifer chavez"/>
    <n v="600"/>
    <b v="1"/>
    <m/>
    <n v="16"/>
    <n v="0"/>
    <n v="5"/>
    <s v="Hojas y/o Ramas"/>
    <s v="Bosque Secundario"/>
    <m/>
    <x v="37"/>
    <m/>
    <n v="1"/>
    <m/>
    <m/>
    <m/>
    <m/>
    <m/>
    <s v="Transecto alterno"/>
    <m/>
    <n v="-76.877568330000003"/>
    <n v="3.5815766670000002"/>
    <n v="5"/>
    <n v="0"/>
    <n v="20"/>
    <n v="-76.876528329999999"/>
    <n v="3.579555"/>
    <n v="5"/>
    <n v="0"/>
    <n v="12"/>
    <s v="Herbaceo 0.3-1.5 m"/>
    <s v="Observacion"/>
    <s v="WCS"/>
  </r>
  <r>
    <x v="6"/>
    <x v="2"/>
    <x v="9"/>
    <s v="FCCBT3"/>
    <x v="2"/>
    <d v="2023-11-15T00:00:00"/>
    <d v="1899-12-30T00:00:00"/>
    <n v="-76.646100000000004"/>
    <n v="3.3496999999999999"/>
    <n v="8"/>
    <s v="Derecho"/>
    <s v="Andrea Guazaquillo"/>
    <n v="2300"/>
    <n v="1"/>
    <n v="0"/>
    <n v="8"/>
    <s v=""/>
    <n v="27.5"/>
    <s v="Hojas y/o Ramas"/>
    <s v="Bosque Secundario"/>
    <m/>
    <x v="3"/>
    <m/>
    <n v="1"/>
    <m/>
    <m/>
    <s v="Deforestación"/>
    <m/>
    <m/>
    <m/>
    <m/>
    <n v="-76.645799999999994"/>
    <n v="3.3496999999999999"/>
    <m/>
    <m/>
    <m/>
    <m/>
    <m/>
    <m/>
    <m/>
    <m/>
    <s v="Herbaceo 0.3-1.5 m"/>
    <s v="Observacion"/>
    <m/>
  </r>
  <r>
    <x v="6"/>
    <x v="2"/>
    <x v="9"/>
    <s v="FCCBT3"/>
    <x v="2"/>
    <d v="2023-11-15T00:00:00"/>
    <d v="1899-12-30T00:00:00"/>
    <n v="-76.646500000000003"/>
    <n v="3.3498999999999999"/>
    <n v="8"/>
    <s v="Derecho"/>
    <s v="Alvaro Fierro"/>
    <n v="2300"/>
    <n v="1"/>
    <n v="0"/>
    <n v="8"/>
    <s v=""/>
    <n v="27.5"/>
    <s v="Hojas y/o Ramas"/>
    <s v="Bosque Secundario"/>
    <m/>
    <x v="18"/>
    <m/>
    <n v="1"/>
    <m/>
    <m/>
    <m/>
    <m/>
    <m/>
    <m/>
    <m/>
    <n v="-76.645799999999994"/>
    <n v="3.3496999999999999"/>
    <m/>
    <m/>
    <m/>
    <m/>
    <m/>
    <m/>
    <m/>
    <m/>
    <s v="Herbaceo 0.3-1.5 m"/>
    <s v="Observacion"/>
    <m/>
  </r>
  <r>
    <x v="6"/>
    <x v="1"/>
    <x v="6"/>
    <s v="FCTAT4"/>
    <x v="3"/>
    <d v="2023-10-13T00:00:00"/>
    <d v="1899-12-30T21:35:05"/>
    <n v="-76.723174999999998"/>
    <n v="3.4800183329999999"/>
    <n v="8"/>
    <s v="Derecho"/>
    <s v="Leonardo Belalcazar"/>
    <n v="2100"/>
    <n v="1"/>
    <n v="0"/>
    <n v="10"/>
    <s v=""/>
    <n v="26"/>
    <s v="Sotobosque"/>
    <s v="Bosque Primario"/>
    <m/>
    <x v="5"/>
    <m/>
    <n v="1"/>
    <m/>
    <m/>
    <m/>
    <m/>
    <m/>
    <m/>
    <m/>
    <n v="-76.722916670000004"/>
    <n v="3.4792366669999999"/>
    <m/>
    <m/>
    <m/>
    <m/>
    <m/>
    <m/>
    <m/>
    <m/>
    <s v="Herbaceo 0.3-1.5 m"/>
    <s v="Observacion"/>
    <m/>
  </r>
  <r>
    <x v="6"/>
    <x v="1"/>
    <x v="6"/>
    <s v="FCTAT2"/>
    <x v="1"/>
    <d v="2023-10-13T00:00:00"/>
    <d v="1899-12-30T20:03:16"/>
    <n v="-76.722671669999997"/>
    <n v="3.477686667"/>
    <n v="8"/>
    <s v="Izquierdo"/>
    <s v="Leonardo Belalcazar"/>
    <n v="2100"/>
    <n v="1"/>
    <n v="0"/>
    <n v="10"/>
    <s v=""/>
    <n v="22.5"/>
    <s v="Sotobosque"/>
    <s v="Bosque Primario"/>
    <m/>
    <x v="5"/>
    <m/>
    <n v="1"/>
    <m/>
    <m/>
    <m/>
    <m/>
    <m/>
    <m/>
    <m/>
    <n v="-76.722300000000004"/>
    <n v="3.477146667"/>
    <m/>
    <m/>
    <m/>
    <m/>
    <m/>
    <m/>
    <m/>
    <m/>
    <s v="Herbaceo 0.3-1.5 m"/>
    <s v="Observacion"/>
    <m/>
  </r>
  <r>
    <x v="6"/>
    <x v="1"/>
    <x v="6"/>
    <s v="FCTAT2"/>
    <x v="1"/>
    <d v="2023-10-13T00:00:00"/>
    <d v="1899-12-30T20:03:16"/>
    <n v="-76.722671669999997"/>
    <n v="3.477686667"/>
    <n v="8"/>
    <s v="Izquierdo"/>
    <s v="Leonardo Belalcazar"/>
    <n v="2100"/>
    <n v="1"/>
    <n v="0"/>
    <n v="10"/>
    <s v=""/>
    <n v="22.5"/>
    <s v="Hojarasca"/>
    <s v="Bosque Primario"/>
    <m/>
    <x v="5"/>
    <m/>
    <n v="2"/>
    <m/>
    <m/>
    <m/>
    <m/>
    <m/>
    <m/>
    <m/>
    <n v="-76.722300000000004"/>
    <n v="3.477146667"/>
    <m/>
    <m/>
    <m/>
    <m/>
    <m/>
    <m/>
    <m/>
    <m/>
    <s v="Herbaceo 0.3-1.5 m"/>
    <s v="Observacion"/>
    <m/>
  </r>
  <r>
    <x v="6"/>
    <x v="1"/>
    <x v="5"/>
    <s v="FCTCT7"/>
    <x v="1"/>
    <d v="2023-10-13T00:00:00"/>
    <d v="1899-12-30T22:34:34"/>
    <n v="-76.723664999999997"/>
    <n v="3.4834966669999998"/>
    <n v="8"/>
    <m/>
    <m/>
    <m/>
    <n v="0"/>
    <n v="0"/>
    <n v="15"/>
    <s v=""/>
    <n v="20"/>
    <m/>
    <m/>
    <m/>
    <x v="0"/>
    <m/>
    <n v="0"/>
    <m/>
    <m/>
    <m/>
    <m/>
    <m/>
    <m/>
    <m/>
    <n v="-76.723664999999997"/>
    <n v="3.4834966669999998"/>
    <m/>
    <m/>
    <m/>
    <m/>
    <m/>
    <m/>
    <m/>
    <m/>
    <m/>
    <m/>
    <m/>
  </r>
  <r>
    <x v="6"/>
    <x v="1"/>
    <x v="6"/>
    <s v="FCTAT5"/>
    <x v="4"/>
    <d v="2023-10-13T00:00:00"/>
    <d v="1899-12-30T21:40:48"/>
    <n v="-76.723211669999998"/>
    <n v="3.4803066669999998"/>
    <n v="8"/>
    <s v="Derecho"/>
    <s v="Alvaro Fierro"/>
    <n v="2100"/>
    <n v="1"/>
    <n v="0"/>
    <n v="10"/>
    <s v=""/>
    <n v="21"/>
    <s v="Sotobosque"/>
    <s v="Bosque Primario"/>
    <m/>
    <x v="6"/>
    <m/>
    <n v="1"/>
    <m/>
    <m/>
    <m/>
    <m/>
    <m/>
    <m/>
    <m/>
    <n v="-76.723211669999998"/>
    <n v="3.4803066669999998"/>
    <m/>
    <m/>
    <m/>
    <m/>
    <m/>
    <m/>
    <m/>
    <m/>
    <s v="Herbaceo 0.3-1.5 m"/>
    <s v="Observacion"/>
    <m/>
  </r>
  <r>
    <x v="6"/>
    <x v="1"/>
    <x v="5"/>
    <s v="FCTCT6"/>
    <x v="0"/>
    <d v="2023-10-13T00:00:00"/>
    <d v="1899-12-30T22:26:32"/>
    <n v="-76.723100000000002"/>
    <n v="3.4828983330000001"/>
    <n v="8"/>
    <s v="Derecho"/>
    <s v="Alvaro Fierro"/>
    <n v="2100"/>
    <n v="1"/>
    <n v="0"/>
    <n v="11"/>
    <s v=""/>
    <n v="18.5"/>
    <s v="Sotobosque"/>
    <s v="Bosque Primario"/>
    <m/>
    <x v="3"/>
    <m/>
    <n v="1"/>
    <m/>
    <m/>
    <m/>
    <m/>
    <m/>
    <m/>
    <m/>
    <n v="-76.722953329999996"/>
    <n v="3.482678333"/>
    <m/>
    <m/>
    <m/>
    <m/>
    <m/>
    <m/>
    <m/>
    <m/>
    <s v="Herbaceo 0.3-1.5 m"/>
    <s v="Observacion"/>
    <m/>
  </r>
  <r>
    <x v="6"/>
    <x v="1"/>
    <x v="6"/>
    <s v="FCTAT3"/>
    <x v="2"/>
    <d v="2023-10-13T00:00:00"/>
    <d v="1899-12-30T20:50:08"/>
    <n v="-76.722880000000004"/>
    <n v="3.4789266670000001"/>
    <n v="8"/>
    <s v="Izquierdo"/>
    <s v="Óscar Cuellar"/>
    <n v="2100"/>
    <n v="1"/>
    <n v="0"/>
    <n v="10"/>
    <s v=""/>
    <n v="30"/>
    <s v="Sotobosque"/>
    <s v="Bosque Primario"/>
    <m/>
    <x v="5"/>
    <m/>
    <n v="1"/>
    <m/>
    <m/>
    <m/>
    <m/>
    <m/>
    <m/>
    <m/>
    <n v="-76.722768329999994"/>
    <n v="3.4780600000000002"/>
    <m/>
    <m/>
    <m/>
    <m/>
    <m/>
    <m/>
    <m/>
    <m/>
    <s v="Arbustivo 1.5-5 m"/>
    <s v="Observacion"/>
    <m/>
  </r>
  <r>
    <x v="6"/>
    <x v="1"/>
    <x v="6"/>
    <s v="FCTAT5"/>
    <x v="4"/>
    <d v="2023-10-13T00:00:00"/>
    <d v="1899-12-30T21:55:40"/>
    <n v="-76.723221670000001"/>
    <n v="3.4806900000000001"/>
    <n v="8"/>
    <s v="Izquierdo"/>
    <m/>
    <n v="2100"/>
    <n v="0"/>
    <n v="1"/>
    <n v="10"/>
    <s v=""/>
    <n v="21"/>
    <s v="Sotobosque"/>
    <s v="Bosque Primario"/>
    <m/>
    <x v="34"/>
    <m/>
    <n v="1"/>
    <m/>
    <m/>
    <m/>
    <m/>
    <m/>
    <m/>
    <m/>
    <n v="-76.723211669999998"/>
    <n v="3.4803066669999998"/>
    <m/>
    <m/>
    <m/>
    <m/>
    <m/>
    <m/>
    <m/>
    <m/>
    <s v="Herbaceo 0.3-1.5 m"/>
    <s v="Observacion"/>
    <m/>
  </r>
  <r>
    <x v="6"/>
    <x v="1"/>
    <x v="6"/>
    <s v="FCTAT3"/>
    <x v="2"/>
    <d v="2023-10-13T00:00:00"/>
    <d v="1899-12-30T20:16:54"/>
    <n v="-76.722768329999994"/>
    <n v="3.4780600000000002"/>
    <n v="8"/>
    <s v="Izquierdo"/>
    <s v="Óscar Cuellar"/>
    <n v="2100"/>
    <n v="1"/>
    <n v="0"/>
    <n v="10"/>
    <s v=""/>
    <n v="30"/>
    <s v="Sotobosque"/>
    <s v="Bosque Primario"/>
    <m/>
    <x v="35"/>
    <m/>
    <n v="1"/>
    <m/>
    <m/>
    <m/>
    <m/>
    <m/>
    <m/>
    <m/>
    <n v="-76.722768329999994"/>
    <n v="3.4780600000000002"/>
    <m/>
    <m/>
    <m/>
    <m/>
    <m/>
    <m/>
    <m/>
    <m/>
    <s v="Herbaceo 0.3-1.5 m"/>
    <s v="Auditivo"/>
    <m/>
  </r>
  <r>
    <x v="6"/>
    <x v="1"/>
    <x v="6"/>
    <s v="FCTAT3"/>
    <x v="2"/>
    <d v="2023-10-13T00:00:00"/>
    <d v="1899-12-30T20:16:54"/>
    <n v="-76.722768329999994"/>
    <n v="3.4780600000000002"/>
    <n v="8"/>
    <s v="Derecho"/>
    <s v="Leonardo Belalcazar"/>
    <n v="2100"/>
    <n v="1"/>
    <n v="0"/>
    <n v="10"/>
    <s v=""/>
    <n v="30"/>
    <s v="Sotobosque"/>
    <s v="Bosque Primario"/>
    <m/>
    <x v="5"/>
    <m/>
    <n v="2"/>
    <m/>
    <m/>
    <m/>
    <m/>
    <m/>
    <m/>
    <m/>
    <n v="-76.722768329999994"/>
    <n v="3.4780600000000002"/>
    <m/>
    <m/>
    <m/>
    <m/>
    <m/>
    <m/>
    <m/>
    <m/>
    <s v="Herbaceo 0.3-1.5 m"/>
    <s v="Observacion"/>
    <m/>
  </r>
  <r>
    <x v="6"/>
    <x v="1"/>
    <x v="6"/>
    <s v="FCTAT3"/>
    <x v="2"/>
    <d v="2023-10-13T00:00:00"/>
    <d v="1899-12-30T20:16:54"/>
    <n v="-76.722768329999994"/>
    <n v="3.4780600000000002"/>
    <n v="8"/>
    <s v="Derecho"/>
    <s v="Danny Mora"/>
    <n v="2100"/>
    <n v="1"/>
    <n v="0"/>
    <n v="10"/>
    <s v=""/>
    <n v="30"/>
    <s v="Sotobosque"/>
    <s v="Bosque Primario"/>
    <m/>
    <x v="4"/>
    <m/>
    <n v="1"/>
    <m/>
    <m/>
    <m/>
    <m/>
    <m/>
    <m/>
    <m/>
    <n v="-76.722768329999994"/>
    <n v="3.4780600000000002"/>
    <m/>
    <m/>
    <m/>
    <m/>
    <m/>
    <m/>
    <m/>
    <m/>
    <s v="Herbaceo 0.3-1.5 m"/>
    <s v="Observacion"/>
    <m/>
  </r>
  <r>
    <x v="6"/>
    <x v="1"/>
    <x v="6"/>
    <s v="FCTAT5"/>
    <x v="4"/>
    <d v="2023-10-13T00:00:00"/>
    <d v="1899-12-30T21:42:07"/>
    <n v="-76.723213329999993"/>
    <n v="3.4802583330000001"/>
    <n v="8"/>
    <s v="Izquierdo"/>
    <s v="Otro"/>
    <n v="2100"/>
    <n v="1"/>
    <n v="0"/>
    <n v="10"/>
    <s v=""/>
    <n v="21"/>
    <s v="Sotobosque"/>
    <s v="Bosque Primario"/>
    <m/>
    <x v="34"/>
    <m/>
    <n v="3"/>
    <m/>
    <m/>
    <m/>
    <m/>
    <m/>
    <m/>
    <m/>
    <n v="-76.723211669999998"/>
    <n v="3.4803066669999998"/>
    <m/>
    <m/>
    <m/>
    <m/>
    <m/>
    <m/>
    <m/>
    <m/>
    <s v="Herbaceo 0.3-1.5 m"/>
    <s v="Observacion"/>
    <m/>
  </r>
  <r>
    <x v="6"/>
    <x v="1"/>
    <x v="6"/>
    <s v="FCTAT2"/>
    <x v="1"/>
    <d v="2023-10-13T00:00:00"/>
    <d v="1899-12-30T19:30:09"/>
    <n v="-76.722388330000001"/>
    <n v="3.4772416669999999"/>
    <n v="8"/>
    <s v="Izquierdo"/>
    <s v="Óscar Cuellar"/>
    <n v="2100"/>
    <n v="1"/>
    <n v="0"/>
    <n v="10"/>
    <s v=""/>
    <n v="22.5"/>
    <s v="Hojas y/o Ramas"/>
    <s v="Bosque Primario"/>
    <m/>
    <x v="5"/>
    <m/>
    <n v="1"/>
    <m/>
    <m/>
    <m/>
    <m/>
    <m/>
    <m/>
    <m/>
    <n v="-76.722300000000004"/>
    <n v="3.477146667"/>
    <m/>
    <m/>
    <m/>
    <m/>
    <m/>
    <m/>
    <m/>
    <m/>
    <s v="Herbaceo 0.3-1.5 m"/>
    <s v="Observacion"/>
    <m/>
  </r>
  <r>
    <x v="6"/>
    <x v="1"/>
    <x v="6"/>
    <s v="FCTAT2"/>
    <x v="1"/>
    <d v="2023-10-13T00:00:00"/>
    <d v="1899-12-30T19:30:09"/>
    <n v="-76.722388330000001"/>
    <n v="3.4772416669999999"/>
    <n v="8"/>
    <s v="Derecho"/>
    <s v="Óscar Cuellar"/>
    <n v="2100"/>
    <n v="1"/>
    <n v="0"/>
    <n v="10"/>
    <s v=""/>
    <n v="22.5"/>
    <s v="Sotobosque"/>
    <s v="Bosque Primario"/>
    <m/>
    <x v="5"/>
    <m/>
    <n v="1"/>
    <m/>
    <m/>
    <m/>
    <m/>
    <m/>
    <m/>
    <m/>
    <n v="-76.722300000000004"/>
    <n v="3.477146667"/>
    <m/>
    <m/>
    <m/>
    <m/>
    <m/>
    <m/>
    <m/>
    <m/>
    <s v="Herbaceo 0.3-1.5 m"/>
    <s v="Observacion"/>
    <m/>
  </r>
  <r>
    <x v="6"/>
    <x v="1"/>
    <x v="6"/>
    <s v="FCTAT2"/>
    <x v="1"/>
    <d v="2023-10-13T00:00:00"/>
    <d v="1899-12-30T19:40:31"/>
    <n v="-76.722438330000003"/>
    <n v="3.4775783329999999"/>
    <n v="8"/>
    <s v="Derecho"/>
    <s v="Óscar Cuellar"/>
    <n v="2100"/>
    <n v="1"/>
    <n v="0"/>
    <n v="10"/>
    <s v=""/>
    <n v="22.5"/>
    <s v="Sotobosque"/>
    <s v="Bosque Primario"/>
    <m/>
    <x v="6"/>
    <m/>
    <n v="1"/>
    <m/>
    <m/>
    <m/>
    <m/>
    <m/>
    <m/>
    <m/>
    <n v="-76.722300000000004"/>
    <n v="3.477146667"/>
    <m/>
    <m/>
    <m/>
    <m/>
    <m/>
    <m/>
    <m/>
    <m/>
    <s v="Herbaceo 0.3-1.5 m"/>
    <s v="Observacion"/>
    <m/>
  </r>
  <r>
    <x v="6"/>
    <x v="1"/>
    <x v="6"/>
    <s v="FCTAT2"/>
    <x v="1"/>
    <d v="2023-10-13T00:00:00"/>
    <d v="1899-12-30T19:40:31"/>
    <n v="-76.722438330000003"/>
    <n v="3.4775783329999999"/>
    <n v="8"/>
    <s v="Izquierdo"/>
    <s v="Óscar Cuellar"/>
    <n v="2100"/>
    <n v="1"/>
    <n v="0"/>
    <n v="10"/>
    <s v=""/>
    <n v="22.5"/>
    <s v="Sotobosque"/>
    <s v="Bosque Primario"/>
    <m/>
    <x v="6"/>
    <m/>
    <n v="1"/>
    <m/>
    <m/>
    <m/>
    <m/>
    <m/>
    <m/>
    <m/>
    <n v="-76.722300000000004"/>
    <n v="3.477146667"/>
    <m/>
    <m/>
    <m/>
    <m/>
    <m/>
    <m/>
    <m/>
    <m/>
    <s v="Herbaceo 0.3-1.5 m"/>
    <s v="Observacion"/>
    <m/>
  </r>
  <r>
    <x v="6"/>
    <x v="1"/>
    <x v="6"/>
    <s v="FCTAT2"/>
    <x v="1"/>
    <d v="2023-10-13T00:00:00"/>
    <d v="1899-12-30T19:40:31"/>
    <n v="-76.722438330000003"/>
    <n v="3.4775783329999999"/>
    <n v="8"/>
    <s v="Derecho"/>
    <s v="Óscar Cuellar"/>
    <n v="2100"/>
    <n v="1"/>
    <n v="0"/>
    <n v="10"/>
    <s v=""/>
    <n v="22.5"/>
    <s v="Sotobosque"/>
    <s v="Bosque Primario"/>
    <m/>
    <x v="5"/>
    <m/>
    <n v="1"/>
    <m/>
    <m/>
    <m/>
    <m/>
    <m/>
    <m/>
    <m/>
    <n v="-76.722300000000004"/>
    <n v="3.477146667"/>
    <m/>
    <m/>
    <m/>
    <m/>
    <m/>
    <m/>
    <m/>
    <m/>
    <s v="Herbaceo 0.3-1.5 m"/>
    <s v="Observacion"/>
    <m/>
  </r>
  <r>
    <x v="6"/>
    <x v="1"/>
    <x v="6"/>
    <s v="FCTAT5"/>
    <x v="4"/>
    <d v="2023-10-13T00:00:00"/>
    <d v="1899-12-30T21:52:51"/>
    <n v="-76.723193330000001"/>
    <n v="3.4806699999999999"/>
    <n v="8"/>
    <s v="Derecho"/>
    <s v="Otro"/>
    <n v="2100"/>
    <n v="1"/>
    <n v="0"/>
    <n v="10"/>
    <s v=""/>
    <n v="21"/>
    <s v="Sotobosque"/>
    <s v="Bosque Primario"/>
    <m/>
    <x v="34"/>
    <m/>
    <n v="1"/>
    <m/>
    <m/>
    <m/>
    <m/>
    <m/>
    <m/>
    <m/>
    <n v="-76.723211669999998"/>
    <n v="3.4803066669999998"/>
    <m/>
    <m/>
    <m/>
    <m/>
    <m/>
    <m/>
    <m/>
    <m/>
    <s v="Herbaceo 0.3-1.5 m"/>
    <s v="Observacion"/>
    <m/>
  </r>
  <r>
    <x v="6"/>
    <x v="1"/>
    <x v="6"/>
    <s v="FCTAT4"/>
    <x v="3"/>
    <d v="2023-10-13T00:00:00"/>
    <d v="1899-12-30T21:29:22"/>
    <n v="-76.723169999999996"/>
    <n v="3.4798716669999998"/>
    <n v="8"/>
    <s v="Derecho"/>
    <s v="Otro"/>
    <n v="2100"/>
    <n v="1"/>
    <n v="0"/>
    <n v="10"/>
    <s v=""/>
    <n v="26"/>
    <s v="Sotobosque"/>
    <s v="Bosque Primario"/>
    <m/>
    <x v="34"/>
    <m/>
    <n v="1"/>
    <m/>
    <m/>
    <m/>
    <m/>
    <m/>
    <m/>
    <m/>
    <n v="-76.722916670000004"/>
    <n v="3.4792366669999999"/>
    <m/>
    <m/>
    <m/>
    <m/>
    <m/>
    <m/>
    <m/>
    <m/>
    <s v="Herbaceo 0.3-1.5 m"/>
    <s v="Observacion"/>
    <m/>
  </r>
  <r>
    <x v="6"/>
    <x v="1"/>
    <x v="6"/>
    <s v="FCTAT3"/>
    <x v="2"/>
    <d v="2023-10-13T00:00:00"/>
    <d v="1899-12-30T20:40:35"/>
    <n v="-76.722838330000002"/>
    <n v="3.478723333"/>
    <n v="8"/>
    <s v="Derecho"/>
    <s v="Otro"/>
    <n v="2100"/>
    <n v="1"/>
    <n v="0"/>
    <n v="10"/>
    <s v=""/>
    <n v="30"/>
    <s v="Sotobosque"/>
    <s v="Bosque Primario"/>
    <m/>
    <x v="34"/>
    <m/>
    <n v="2"/>
    <m/>
    <m/>
    <m/>
    <m/>
    <m/>
    <m/>
    <m/>
    <n v="-76.722768329999994"/>
    <n v="3.4780600000000002"/>
    <m/>
    <m/>
    <m/>
    <m/>
    <m/>
    <m/>
    <m/>
    <m/>
    <s v="Herbaceo 0.3-1.5 m"/>
    <s v="Observacion"/>
    <m/>
  </r>
  <r>
    <x v="6"/>
    <x v="1"/>
    <x v="6"/>
    <s v="FCTAT3"/>
    <x v="2"/>
    <d v="2023-10-13T00:00:00"/>
    <d v="1899-12-30T20:53:37"/>
    <n v="-76.722920000000002"/>
    <n v="3.4789916669999998"/>
    <n v="8"/>
    <s v="Derecho"/>
    <s v="Alvaro Fierro"/>
    <n v="2100"/>
    <n v="1"/>
    <n v="0"/>
    <n v="10"/>
    <s v=""/>
    <n v="30"/>
    <s v="Sotobosque"/>
    <s v="Bosque Primario"/>
    <m/>
    <x v="5"/>
    <m/>
    <n v="1"/>
    <m/>
    <m/>
    <m/>
    <m/>
    <m/>
    <m/>
    <m/>
    <n v="-76.722768329999994"/>
    <n v="3.4780600000000002"/>
    <m/>
    <m/>
    <m/>
    <m/>
    <m/>
    <m/>
    <m/>
    <m/>
    <s v="Herbaceo 0.3-1.5 m"/>
    <s v="Observacion"/>
    <m/>
  </r>
  <r>
    <x v="6"/>
    <x v="1"/>
    <x v="6"/>
    <s v="FCTAT3"/>
    <x v="2"/>
    <d v="2023-10-13T00:00:00"/>
    <d v="1899-12-30T20:53:37"/>
    <n v="-76.722920000000002"/>
    <n v="3.4789916669999998"/>
    <n v="8"/>
    <s v="Derecho"/>
    <s v="Alvaro Fierro"/>
    <n v="2100"/>
    <n v="1"/>
    <n v="0"/>
    <n v="10"/>
    <s v=""/>
    <n v="30"/>
    <s v="Sotobosque"/>
    <s v="Bosque Primario"/>
    <m/>
    <x v="6"/>
    <m/>
    <n v="2"/>
    <m/>
    <m/>
    <m/>
    <m/>
    <m/>
    <m/>
    <m/>
    <n v="-76.722768329999994"/>
    <n v="3.4780600000000002"/>
    <m/>
    <m/>
    <m/>
    <m/>
    <m/>
    <m/>
    <m/>
    <m/>
    <s v="Herbaceo 0.3-1.5 m"/>
    <s v="Observacion"/>
    <m/>
  </r>
  <r>
    <x v="6"/>
    <x v="1"/>
    <x v="6"/>
    <s v="FCTAT4"/>
    <x v="3"/>
    <d v="2023-10-13T00:00:00"/>
    <d v="1899-12-30T21:08:12"/>
    <n v="-76.723034999999996"/>
    <n v="3.479403333"/>
    <n v="8"/>
    <s v="Izquierdo"/>
    <s v="Óscar Cuellar"/>
    <n v="2100"/>
    <n v="1"/>
    <n v="0"/>
    <n v="10"/>
    <s v=""/>
    <n v="26"/>
    <s v="Sotobosque"/>
    <s v="Bosque Primario"/>
    <m/>
    <x v="6"/>
    <m/>
    <n v="1"/>
    <m/>
    <m/>
    <m/>
    <m/>
    <m/>
    <m/>
    <m/>
    <n v="-76.722916670000004"/>
    <n v="3.4792366669999999"/>
    <m/>
    <m/>
    <m/>
    <m/>
    <m/>
    <m/>
    <m/>
    <m/>
    <s v="Herbaceo 0.3-1.5 m"/>
    <s v="Observacion"/>
    <m/>
  </r>
  <r>
    <x v="6"/>
    <x v="1"/>
    <x v="6"/>
    <s v="FCTAT4"/>
    <x v="3"/>
    <d v="2023-10-13T00:00:00"/>
    <d v="1899-12-30T21:08:12"/>
    <n v="-76.723034999999996"/>
    <n v="3.479403333"/>
    <n v="8"/>
    <s v="Izquierdo"/>
    <s v="Alvaro Fierro"/>
    <n v="2100"/>
    <n v="1"/>
    <n v="0"/>
    <n v="10"/>
    <s v=""/>
    <n v="26"/>
    <s v="Sotobosque"/>
    <s v="Bosque Primario"/>
    <m/>
    <x v="34"/>
    <m/>
    <n v="1"/>
    <m/>
    <m/>
    <m/>
    <m/>
    <m/>
    <m/>
    <m/>
    <n v="-76.722916670000004"/>
    <n v="3.4792366669999999"/>
    <m/>
    <m/>
    <m/>
    <m/>
    <m/>
    <m/>
    <m/>
    <m/>
    <s v="Herbaceo 0.3-1.5 m"/>
    <s v="Observacion"/>
    <m/>
  </r>
  <r>
    <x v="6"/>
    <x v="1"/>
    <x v="6"/>
    <s v="FCTAT2"/>
    <x v="1"/>
    <d v="2023-10-13T00:00:00"/>
    <d v="1899-12-30T19:25:14"/>
    <n v="-76.722300000000004"/>
    <n v="3.477146667"/>
    <n v="8"/>
    <s v="Derecho"/>
    <s v="Otro"/>
    <n v="2100"/>
    <n v="1"/>
    <n v="0"/>
    <n v="10"/>
    <s v=""/>
    <n v="22.5"/>
    <s v="Sotobosque"/>
    <m/>
    <m/>
    <x v="34"/>
    <m/>
    <n v="1"/>
    <m/>
    <m/>
    <m/>
    <m/>
    <m/>
    <m/>
    <m/>
    <n v="-76.722300000000004"/>
    <n v="3.477146667"/>
    <m/>
    <m/>
    <m/>
    <m/>
    <m/>
    <m/>
    <m/>
    <m/>
    <s v="Rasante &lt;0.3 m"/>
    <s v="Observacion"/>
    <m/>
  </r>
  <r>
    <x v="6"/>
    <x v="1"/>
    <x v="6"/>
    <s v="FCTAT3"/>
    <x v="2"/>
    <d v="2023-10-13T00:00:00"/>
    <d v="1899-12-30T20:31:40"/>
    <n v="-76.722840000000005"/>
    <n v="3.4783849999999998"/>
    <n v="8"/>
    <s v="Derecho"/>
    <s v="Danny Mora"/>
    <n v="2100"/>
    <n v="1"/>
    <n v="0"/>
    <n v="10"/>
    <s v=""/>
    <n v="30"/>
    <s v="Sotobosque"/>
    <s v="Bosque Primario"/>
    <m/>
    <x v="5"/>
    <m/>
    <n v="2"/>
    <m/>
    <m/>
    <m/>
    <m/>
    <m/>
    <m/>
    <m/>
    <n v="-76.722768329999994"/>
    <n v="3.4780600000000002"/>
    <m/>
    <m/>
    <m/>
    <m/>
    <m/>
    <m/>
    <m/>
    <m/>
    <s v="Herbaceo 0.3-1.5 m"/>
    <s v="Observacion"/>
    <m/>
  </r>
  <r>
    <x v="6"/>
    <x v="1"/>
    <x v="6"/>
    <s v="FCTAT3"/>
    <x v="2"/>
    <d v="2023-10-13T00:00:00"/>
    <d v="1899-12-30T20:47:57"/>
    <n v="-76.722893330000005"/>
    <n v="3.4788250000000001"/>
    <n v="8"/>
    <s v="Izquierdo"/>
    <s v="Leonardo Belalcazar"/>
    <n v="2100"/>
    <n v="1"/>
    <n v="0"/>
    <n v="10"/>
    <s v=""/>
    <n v="30"/>
    <s v="Hojas y/o Ramas"/>
    <s v="Bosque Primario"/>
    <m/>
    <x v="5"/>
    <m/>
    <n v="1"/>
    <m/>
    <m/>
    <m/>
    <m/>
    <m/>
    <m/>
    <m/>
    <n v="-76.722768329999994"/>
    <n v="3.4780600000000002"/>
    <m/>
    <m/>
    <m/>
    <m/>
    <m/>
    <m/>
    <m/>
    <m/>
    <s v="Herbaceo 0.3-1.5 m"/>
    <s v="Observacion"/>
    <m/>
  </r>
  <r>
    <x v="6"/>
    <x v="1"/>
    <x v="6"/>
    <s v="FCTAT3"/>
    <x v="2"/>
    <d v="2023-10-13T00:00:00"/>
    <d v="1899-12-30T20:47:57"/>
    <n v="-76.722893330000005"/>
    <n v="3.4788250000000001"/>
    <n v="8"/>
    <s v="Derecho"/>
    <s v="Óscar Cuellar"/>
    <n v="2100"/>
    <n v="1"/>
    <n v="0"/>
    <n v="10"/>
    <s v=""/>
    <n v="30"/>
    <s v="Sotobosque"/>
    <s v="Bosque Primario"/>
    <m/>
    <x v="5"/>
    <m/>
    <n v="2"/>
    <m/>
    <m/>
    <m/>
    <m/>
    <m/>
    <m/>
    <m/>
    <n v="-76.722768329999994"/>
    <n v="3.4780600000000002"/>
    <m/>
    <m/>
    <m/>
    <m/>
    <m/>
    <m/>
    <m/>
    <m/>
    <s v="Herbaceo 0.3-1.5 m"/>
    <s v="Observacion"/>
    <m/>
  </r>
  <r>
    <x v="6"/>
    <x v="1"/>
    <x v="6"/>
    <s v="FCTAT5"/>
    <x v="4"/>
    <d v="2023-10-13T00:00:00"/>
    <d v="1899-12-30T21:48:17"/>
    <n v="-76.723235000000003"/>
    <n v="3.4804283329999999"/>
    <n v="8"/>
    <s v="Derecho"/>
    <s v="Gustavo Rodriguez"/>
    <n v="2100"/>
    <n v="1"/>
    <n v="0"/>
    <n v="10"/>
    <s v=""/>
    <n v="21"/>
    <s v="Sotobosque"/>
    <s v="Bosque Primario"/>
    <m/>
    <x v="5"/>
    <m/>
    <n v="3"/>
    <m/>
    <m/>
    <m/>
    <m/>
    <m/>
    <m/>
    <m/>
    <n v="-76.723211669999998"/>
    <n v="3.4803066669999998"/>
    <m/>
    <m/>
    <m/>
    <m/>
    <m/>
    <m/>
    <m/>
    <m/>
    <s v="Herbaceo 0.3-1.5 m"/>
    <s v="Observacion"/>
    <m/>
  </r>
  <r>
    <x v="6"/>
    <x v="1"/>
    <x v="6"/>
    <s v="FCTAT3"/>
    <x v="2"/>
    <d v="2023-10-13T00:00:00"/>
    <d v="1899-12-30T20:21:42"/>
    <n v="-76.722703330000002"/>
    <n v="3.4781083330000002"/>
    <n v="8"/>
    <s v="Izquierdo"/>
    <s v="Óscar Cuellar"/>
    <n v="2100"/>
    <n v="1"/>
    <n v="0"/>
    <n v="10"/>
    <s v=""/>
    <n v="30"/>
    <s v="Sotobosque"/>
    <s v="Bosque Primario"/>
    <m/>
    <x v="5"/>
    <m/>
    <n v="1"/>
    <m/>
    <m/>
    <m/>
    <m/>
    <m/>
    <m/>
    <m/>
    <n v="-76.722768329999994"/>
    <n v="3.4780600000000002"/>
    <m/>
    <m/>
    <m/>
    <m/>
    <m/>
    <m/>
    <m/>
    <m/>
    <s v="Herbaceo 0.3-1.5 m"/>
    <s v="Observacion"/>
    <m/>
  </r>
  <r>
    <x v="6"/>
    <x v="1"/>
    <x v="6"/>
    <s v="FCTAT3"/>
    <x v="2"/>
    <d v="2023-10-13T00:00:00"/>
    <d v="1899-12-30T20:21:42"/>
    <n v="-76.722703330000002"/>
    <n v="3.4781083330000002"/>
    <n v="8"/>
    <s v="Izquierdo"/>
    <s v="Otro"/>
    <n v="2100"/>
    <n v="1"/>
    <n v="0"/>
    <n v="10"/>
    <s v=""/>
    <n v="30"/>
    <s v="Sotobosque"/>
    <s v="Bosque Primario"/>
    <m/>
    <x v="34"/>
    <m/>
    <n v="1"/>
    <m/>
    <m/>
    <m/>
    <m/>
    <m/>
    <m/>
    <m/>
    <n v="-76.722768329999994"/>
    <n v="3.4780600000000002"/>
    <m/>
    <m/>
    <m/>
    <m/>
    <m/>
    <m/>
    <m/>
    <m/>
    <s v="Herbaceo 0.3-1.5 m"/>
    <s v="Observacion"/>
    <m/>
  </r>
  <r>
    <x v="6"/>
    <x v="1"/>
    <x v="6"/>
    <s v="FCTAT2"/>
    <x v="1"/>
    <d v="2023-10-13T00:00:00"/>
    <d v="1899-12-30T19:26:35"/>
    <n v="-76.722363329999993"/>
    <n v="3.4771000000000001"/>
    <n v="8"/>
    <s v="Izquierdo"/>
    <s v="Alvaro Fierro"/>
    <n v="2100"/>
    <n v="1"/>
    <n v="0"/>
    <n v="10"/>
    <s v=""/>
    <n v="22.5"/>
    <s v="Sotobosque"/>
    <s v="Bosque Primario"/>
    <m/>
    <x v="34"/>
    <m/>
    <n v="1"/>
    <m/>
    <m/>
    <m/>
    <m/>
    <m/>
    <m/>
    <m/>
    <n v="-76.722300000000004"/>
    <n v="3.477146667"/>
    <m/>
    <m/>
    <m/>
    <m/>
    <m/>
    <m/>
    <m/>
    <m/>
    <s v="Herbaceo 0.3-1.5 m"/>
    <s v="Observacion"/>
    <m/>
  </r>
  <r>
    <x v="6"/>
    <x v="1"/>
    <x v="5"/>
    <s v="FCTCT6"/>
    <x v="0"/>
    <d v="2023-10-13T00:00:00"/>
    <d v="1899-12-30T22:23:38"/>
    <n v="-76.722941669999997"/>
    <n v="3.4826899999999998"/>
    <n v="8"/>
    <s v="Derecho"/>
    <s v="Gustavo Rodriguez"/>
    <n v="2100"/>
    <n v="1"/>
    <n v="0"/>
    <n v="11"/>
    <s v=""/>
    <n v="18.5"/>
    <s v="Sotobosque"/>
    <s v="Bosque Secundario"/>
    <m/>
    <x v="3"/>
    <m/>
    <n v="1"/>
    <m/>
    <m/>
    <m/>
    <m/>
    <m/>
    <m/>
    <m/>
    <n v="-76.722953329999996"/>
    <n v="3.482678333"/>
    <m/>
    <m/>
    <m/>
    <m/>
    <m/>
    <m/>
    <m/>
    <m/>
    <s v="Herbaceo 0.3-1.5 m"/>
    <s v="Observacion"/>
    <m/>
  </r>
  <r>
    <x v="6"/>
    <x v="1"/>
    <x v="6"/>
    <s v="FCTAT4"/>
    <x v="3"/>
    <d v="2023-10-13T00:00:00"/>
    <d v="1899-12-30T21:14:36"/>
    <n v="-76.723036669999999"/>
    <n v="3.4795950000000002"/>
    <n v="8"/>
    <s v="Derecho"/>
    <s v="Alvaro Fierro"/>
    <n v="2100"/>
    <n v="1"/>
    <n v="0"/>
    <n v="10"/>
    <s v=""/>
    <n v="26"/>
    <s v="Sotobosque"/>
    <s v="Bosque Primario"/>
    <m/>
    <x v="4"/>
    <m/>
    <n v="1"/>
    <m/>
    <m/>
    <m/>
    <m/>
    <m/>
    <m/>
    <m/>
    <n v="-76.722916670000004"/>
    <n v="3.4792366669999999"/>
    <m/>
    <m/>
    <m/>
    <m/>
    <m/>
    <m/>
    <m/>
    <m/>
    <s v="Herbaceo 0.3-1.5 m"/>
    <s v="Observacion"/>
    <m/>
  </r>
  <r>
    <x v="6"/>
    <x v="1"/>
    <x v="6"/>
    <s v="FCTAT4"/>
    <x v="3"/>
    <d v="2023-10-13T00:00:00"/>
    <d v="1899-12-30T21:14:36"/>
    <n v="-76.723036669999999"/>
    <n v="3.4795950000000002"/>
    <n v="8"/>
    <s v="Izquierdo"/>
    <s v="Gustavo Rodriguez"/>
    <n v="2100"/>
    <n v="1"/>
    <n v="0"/>
    <n v="10"/>
    <s v=""/>
    <n v="26"/>
    <s v="Sotobosque"/>
    <s v="Bosque Primario"/>
    <m/>
    <x v="34"/>
    <m/>
    <n v="1"/>
    <m/>
    <m/>
    <m/>
    <m/>
    <m/>
    <m/>
    <m/>
    <n v="-76.722916670000004"/>
    <n v="3.4792366669999999"/>
    <m/>
    <m/>
    <m/>
    <m/>
    <m/>
    <m/>
    <m/>
    <m/>
    <s v="Herbaceo 0.3-1.5 m"/>
    <s v="Observacion"/>
    <m/>
  </r>
  <r>
    <x v="6"/>
    <x v="1"/>
    <x v="6"/>
    <s v="FCTAT3"/>
    <x v="2"/>
    <d v="2023-10-13T00:00:00"/>
    <d v="1899-12-30T20:25:26"/>
    <n v="-76.722719999999995"/>
    <n v="3.4782816670000001"/>
    <n v="8"/>
    <s v="Derecho"/>
    <s v="Óscar Cuellar"/>
    <n v="2100"/>
    <n v="1"/>
    <n v="0"/>
    <n v="10"/>
    <s v=""/>
    <n v="30"/>
    <s v="Hojarasca"/>
    <s v="Bosque Primario"/>
    <m/>
    <x v="5"/>
    <m/>
    <n v="1"/>
    <m/>
    <m/>
    <m/>
    <m/>
    <m/>
    <m/>
    <m/>
    <n v="-76.722768329999994"/>
    <n v="3.4780600000000002"/>
    <m/>
    <m/>
    <m/>
    <m/>
    <m/>
    <m/>
    <m/>
    <m/>
    <s v="Herbaceo 0.3-1.5 m"/>
    <s v="Observacion"/>
    <m/>
  </r>
  <r>
    <x v="6"/>
    <x v="1"/>
    <x v="6"/>
    <s v="FCTAT3"/>
    <x v="2"/>
    <d v="2023-10-13T00:00:00"/>
    <d v="1899-12-30T20:57:13"/>
    <n v="-76.722949999999997"/>
    <n v="3.4791416669999999"/>
    <n v="8"/>
    <s v="Derecho"/>
    <s v="Alvaro Fierro"/>
    <n v="2100"/>
    <n v="1"/>
    <n v="0"/>
    <n v="10"/>
    <s v=""/>
    <n v="30"/>
    <s v="Sotobosque"/>
    <s v="Bosque Primario"/>
    <m/>
    <x v="5"/>
    <m/>
    <n v="5"/>
    <m/>
    <m/>
    <m/>
    <m/>
    <m/>
    <m/>
    <m/>
    <n v="-76.722768329999994"/>
    <n v="3.4780600000000002"/>
    <m/>
    <m/>
    <m/>
    <m/>
    <m/>
    <m/>
    <m/>
    <m/>
    <s v="Herbaceo 0.3-1.5 m"/>
    <s v="Observacion"/>
    <m/>
  </r>
  <r>
    <x v="6"/>
    <x v="1"/>
    <x v="5"/>
    <s v="FCTCT8"/>
    <x v="2"/>
    <d v="2023-10-13T00:00:00"/>
    <d v="1899-12-30T22:44:24"/>
    <n v="-76.723613330000006"/>
    <n v="3.4846966670000001"/>
    <n v="8"/>
    <m/>
    <m/>
    <m/>
    <n v="0"/>
    <n v="0"/>
    <n v="5"/>
    <s v=""/>
    <n v="12"/>
    <m/>
    <m/>
    <m/>
    <x v="0"/>
    <m/>
    <n v="0"/>
    <m/>
    <m/>
    <m/>
    <m/>
    <m/>
    <m/>
    <m/>
    <m/>
    <m/>
    <m/>
    <m/>
    <m/>
    <m/>
    <m/>
    <m/>
    <m/>
    <m/>
    <m/>
    <m/>
    <m/>
  </r>
  <r>
    <x v="6"/>
    <x v="1"/>
    <x v="6"/>
    <s v="FCTAT2"/>
    <x v="1"/>
    <d v="2023-10-13T00:00:00"/>
    <d v="1899-12-30T19:55:18"/>
    <n v="-76.722605000000001"/>
    <n v="3.4776250000000002"/>
    <n v="8"/>
    <s v="Derecho"/>
    <s v="Óscar Cuellar"/>
    <n v="2100"/>
    <n v="1"/>
    <n v="0"/>
    <n v="10"/>
    <s v=""/>
    <n v="22.5"/>
    <s v="Sotobosque"/>
    <s v="Bosque Primario"/>
    <m/>
    <x v="5"/>
    <m/>
    <n v="2"/>
    <m/>
    <m/>
    <m/>
    <m/>
    <m/>
    <m/>
    <m/>
    <n v="-76.722300000000004"/>
    <n v="3.477146667"/>
    <m/>
    <m/>
    <m/>
    <m/>
    <m/>
    <m/>
    <m/>
    <m/>
    <s v="Herbaceo 0.3-1.5 m"/>
    <s v="Observacion"/>
    <m/>
  </r>
  <r>
    <x v="6"/>
    <x v="1"/>
    <x v="6"/>
    <s v="FCTAT4"/>
    <x v="3"/>
    <d v="2023-10-13T00:00:00"/>
    <d v="1899-12-30T21:25:16"/>
    <n v="-76.723056670000005"/>
    <n v="3.4796466669999999"/>
    <n v="8"/>
    <s v="Derecho"/>
    <s v="Danny Mora"/>
    <n v="2100"/>
    <n v="1"/>
    <n v="0"/>
    <n v="10"/>
    <s v=""/>
    <n v="26"/>
    <s v="Sotobosque"/>
    <s v="Bosque Primario"/>
    <m/>
    <x v="4"/>
    <m/>
    <n v="1"/>
    <m/>
    <m/>
    <m/>
    <m/>
    <m/>
    <m/>
    <m/>
    <n v="-76.722916670000004"/>
    <n v="3.4792366669999999"/>
    <m/>
    <m/>
    <m/>
    <m/>
    <m/>
    <m/>
    <m/>
    <m/>
    <s v="Rasante &lt;0.3 m"/>
    <s v="Observacion"/>
    <m/>
  </r>
  <r>
    <x v="6"/>
    <x v="1"/>
    <x v="6"/>
    <s v="FCTAT5"/>
    <x v="4"/>
    <d v="2023-10-13T00:00:00"/>
    <d v="1899-12-30T22:02:42"/>
    <n v="-76.723193330000001"/>
    <n v="3.480911667"/>
    <n v="8"/>
    <s v="Derecho"/>
    <s v="Alvaro Fierro"/>
    <n v="2100"/>
    <n v="1"/>
    <n v="0"/>
    <n v="10"/>
    <s v=""/>
    <n v="21"/>
    <s v="Sotobosque"/>
    <s v="Bosque Primario"/>
    <m/>
    <x v="5"/>
    <m/>
    <n v="1"/>
    <m/>
    <m/>
    <m/>
    <m/>
    <m/>
    <m/>
    <m/>
    <n v="-76.723211669999998"/>
    <n v="3.4803066669999998"/>
    <m/>
    <m/>
    <m/>
    <m/>
    <m/>
    <m/>
    <m/>
    <m/>
    <s v="Herbaceo 0.3-1.5 m"/>
    <s v="Observacion"/>
    <m/>
  </r>
  <r>
    <x v="6"/>
    <x v="1"/>
    <x v="6"/>
    <s v="FCTAT5"/>
    <x v="4"/>
    <d v="2023-10-13T00:00:00"/>
    <d v="1899-12-30T22:02:42"/>
    <n v="-76.723193330000001"/>
    <n v="3.480911667"/>
    <n v="8"/>
    <s v="Izquierdo"/>
    <s v="Óscar Cuellar"/>
    <n v="2100"/>
    <n v="1"/>
    <n v="0"/>
    <n v="10"/>
    <s v=""/>
    <n v="21"/>
    <s v="Sotobosque"/>
    <s v="Bosque Primario"/>
    <m/>
    <x v="4"/>
    <m/>
    <n v="1"/>
    <m/>
    <m/>
    <m/>
    <m/>
    <m/>
    <m/>
    <m/>
    <n v="-76.723211669999998"/>
    <n v="3.4803066669999998"/>
    <m/>
    <m/>
    <m/>
    <m/>
    <m/>
    <m/>
    <m/>
    <m/>
    <s v="Rasante &lt;0.3 m"/>
    <s v="Observacion"/>
    <m/>
  </r>
  <r>
    <x v="6"/>
    <x v="1"/>
    <x v="6"/>
    <s v="FCTAT5"/>
    <x v="4"/>
    <d v="2023-10-13T00:00:00"/>
    <d v="1899-12-30T22:02:42"/>
    <n v="-76.723193330000001"/>
    <n v="3.480911667"/>
    <n v="8"/>
    <s v="Izquierdo"/>
    <s v="Óscar Cuellar"/>
    <n v="2100"/>
    <n v="1"/>
    <n v="0"/>
    <n v="10"/>
    <s v=""/>
    <n v="21"/>
    <s v="Sotobosque"/>
    <s v="Bosque Primario"/>
    <m/>
    <x v="5"/>
    <m/>
    <n v="1"/>
    <m/>
    <m/>
    <m/>
    <m/>
    <m/>
    <m/>
    <m/>
    <n v="-76.723211669999998"/>
    <n v="3.4803066669999998"/>
    <m/>
    <m/>
    <m/>
    <m/>
    <m/>
    <m/>
    <m/>
    <m/>
    <s v="Herbaceo 0.3-1.5 m"/>
    <s v="Observacion"/>
    <m/>
  </r>
  <r>
    <x v="6"/>
    <x v="1"/>
    <x v="6"/>
    <s v="FCTAT3"/>
    <x v="2"/>
    <d v="2023-10-13T00:00:00"/>
    <d v="1899-12-30T20:43:33"/>
    <n v="-76.722828329999999"/>
    <n v="3.4787033329999999"/>
    <n v="8"/>
    <s v="Izquierdo"/>
    <s v="Leonardo Belalcazar"/>
    <n v="2100"/>
    <n v="1"/>
    <n v="0"/>
    <n v="10"/>
    <s v=""/>
    <n v="30"/>
    <s v="Sotobosque"/>
    <s v="Bosque Primario"/>
    <m/>
    <x v="6"/>
    <m/>
    <n v="2"/>
    <m/>
    <m/>
    <m/>
    <m/>
    <m/>
    <m/>
    <m/>
    <n v="-76.722768329999994"/>
    <n v="3.4780600000000002"/>
    <m/>
    <m/>
    <m/>
    <m/>
    <m/>
    <m/>
    <m/>
    <m/>
    <s v="Herbaceo 0.3-1.5 m"/>
    <s v="Observacion"/>
    <m/>
  </r>
  <r>
    <x v="6"/>
    <x v="1"/>
    <x v="6"/>
    <s v="FCTAT2"/>
    <x v="1"/>
    <d v="2023-10-13T00:00:00"/>
    <d v="1899-12-30T19:33:59"/>
    <n v="-76.722466670000003"/>
    <n v="3.4773516670000002"/>
    <n v="8"/>
    <s v="Derecho"/>
    <s v="Óscar Cuellar"/>
    <n v="2100"/>
    <n v="1"/>
    <n v="0"/>
    <n v="10"/>
    <s v=""/>
    <n v="22.5"/>
    <s v="Sotobosque"/>
    <s v="Bosque Primario"/>
    <m/>
    <x v="6"/>
    <m/>
    <n v="1"/>
    <m/>
    <m/>
    <m/>
    <m/>
    <m/>
    <m/>
    <m/>
    <n v="-76.722300000000004"/>
    <n v="3.477146667"/>
    <m/>
    <m/>
    <m/>
    <m/>
    <m/>
    <m/>
    <m/>
    <m/>
    <s v="Herbaceo 0.3-1.5 m"/>
    <s v="Observacion"/>
    <m/>
  </r>
  <r>
    <x v="6"/>
    <x v="1"/>
    <x v="6"/>
    <s v="FCTAT3"/>
    <x v="2"/>
    <d v="2023-10-13T00:00:00"/>
    <d v="1899-12-30T20:26:17"/>
    <n v="-76.722763330000006"/>
    <n v="3.4783083330000002"/>
    <n v="8"/>
    <s v="Derecho"/>
    <s v="Otro"/>
    <n v="2100"/>
    <n v="1"/>
    <n v="0"/>
    <n v="10"/>
    <s v=""/>
    <n v="30"/>
    <s v="Sotobosque"/>
    <s v="Bosque Primario"/>
    <m/>
    <x v="34"/>
    <m/>
    <n v="2"/>
    <m/>
    <m/>
    <m/>
    <m/>
    <m/>
    <m/>
    <m/>
    <n v="-76.722768329999994"/>
    <n v="3.4780600000000002"/>
    <m/>
    <m/>
    <m/>
    <m/>
    <m/>
    <m/>
    <m/>
    <m/>
    <s v="Herbaceo 0.3-1.5 m"/>
    <s v="Observacion"/>
    <m/>
  </r>
  <r>
    <x v="6"/>
    <x v="1"/>
    <x v="6"/>
    <s v="FCTAT5"/>
    <x v="4"/>
    <d v="2023-10-13T00:00:00"/>
    <d v="1899-12-30T22:05:36"/>
    <n v="-76.723176670000001"/>
    <n v="3.4809733330000001"/>
    <n v="8"/>
    <s v="Izquierdo"/>
    <s v="Alvaro Fierro"/>
    <n v="2100"/>
    <n v="1"/>
    <n v="0"/>
    <n v="10"/>
    <s v=""/>
    <n v="21"/>
    <s v="Sotobosque"/>
    <s v="Bosque Primario"/>
    <m/>
    <x v="9"/>
    <m/>
    <n v="1"/>
    <m/>
    <m/>
    <m/>
    <m/>
    <m/>
    <m/>
    <m/>
    <n v="-76.723211669999998"/>
    <n v="3.4803066669999998"/>
    <m/>
    <m/>
    <m/>
    <m/>
    <m/>
    <m/>
    <m/>
    <m/>
    <s v="Herbaceo 0.3-1.5 m"/>
    <s v="Observacion"/>
    <m/>
  </r>
  <r>
    <x v="6"/>
    <x v="1"/>
    <x v="6"/>
    <s v="FCTAT4"/>
    <x v="3"/>
    <d v="2023-10-13T00:00:00"/>
    <d v="1899-12-30T21:23:19"/>
    <n v="-76.723070000000007"/>
    <n v="3.47966"/>
    <n v="8"/>
    <s v="Izquierdo"/>
    <s v="Danny Mora"/>
    <n v="2100"/>
    <n v="1"/>
    <n v="0"/>
    <n v="10"/>
    <s v=""/>
    <n v="26"/>
    <s v="Sotobosque"/>
    <s v="Bosque Primario"/>
    <m/>
    <x v="33"/>
    <m/>
    <n v="1"/>
    <m/>
    <m/>
    <m/>
    <m/>
    <m/>
    <m/>
    <m/>
    <n v="-76.722916670000004"/>
    <n v="3.4792366669999999"/>
    <m/>
    <m/>
    <m/>
    <m/>
    <m/>
    <m/>
    <m/>
    <m/>
    <s v="Herbaceo 0.3-1.5 m"/>
    <s v="Observacion"/>
    <m/>
  </r>
  <r>
    <x v="6"/>
    <x v="1"/>
    <x v="6"/>
    <s v="FCTAT2"/>
    <x v="1"/>
    <d v="2023-10-13T00:00:00"/>
    <d v="1899-12-30T20:09:31"/>
    <n v="-76.722768329999994"/>
    <n v="3.4778583329999999"/>
    <n v="8"/>
    <s v="Derecho"/>
    <s v="Otro"/>
    <n v="2100"/>
    <n v="1"/>
    <n v="0"/>
    <n v="10"/>
    <s v=""/>
    <n v="22.5"/>
    <s v="Sotobosque"/>
    <s v="Bosque Primario"/>
    <m/>
    <x v="5"/>
    <m/>
    <n v="1"/>
    <m/>
    <m/>
    <m/>
    <m/>
    <m/>
    <m/>
    <m/>
    <n v="-76.722300000000004"/>
    <n v="3.477146667"/>
    <m/>
    <m/>
    <m/>
    <m/>
    <m/>
    <m/>
    <m/>
    <m/>
    <s v="Herbaceo 0.3-1.5 m"/>
    <s v="Observacion"/>
    <m/>
  </r>
  <r>
    <x v="6"/>
    <x v="1"/>
    <x v="6"/>
    <s v="FCTAT2"/>
    <x v="1"/>
    <d v="2023-10-13T00:00:00"/>
    <d v="1899-12-30T20:09:31"/>
    <n v="-76.722768329999994"/>
    <n v="3.4778583329999999"/>
    <n v="8"/>
    <s v="Derecho"/>
    <s v="Alvaro Fierro"/>
    <n v="2100"/>
    <n v="1"/>
    <n v="0"/>
    <n v="10"/>
    <s v=""/>
    <n v="22.5"/>
    <s v="Sotobosque"/>
    <s v="Bosque Primario"/>
    <m/>
    <x v="6"/>
    <m/>
    <n v="1"/>
    <m/>
    <m/>
    <m/>
    <m/>
    <m/>
    <m/>
    <m/>
    <n v="-76.722300000000004"/>
    <n v="3.477146667"/>
    <m/>
    <m/>
    <m/>
    <m/>
    <m/>
    <m/>
    <m/>
    <m/>
    <s v="Herbaceo 0.3-1.5 m"/>
    <s v="Auditivo"/>
    <m/>
  </r>
  <r>
    <x v="6"/>
    <x v="1"/>
    <x v="6"/>
    <s v="FCTAT2"/>
    <x v="1"/>
    <d v="2023-10-13T00:00:00"/>
    <d v="1899-12-30T20:09:31"/>
    <n v="-76.722768329999994"/>
    <n v="3.4778583329999999"/>
    <n v="8"/>
    <s v="Izquierdo"/>
    <s v="Óscar Cuellar"/>
    <n v="2100"/>
    <n v="1"/>
    <n v="0"/>
    <n v="10"/>
    <s v=""/>
    <n v="22.5"/>
    <s v="Sotobosque"/>
    <s v="Bosque Primario"/>
    <m/>
    <x v="5"/>
    <m/>
    <n v="1"/>
    <m/>
    <m/>
    <m/>
    <m/>
    <m/>
    <m/>
    <m/>
    <n v="-76.722300000000004"/>
    <n v="3.477146667"/>
    <m/>
    <m/>
    <m/>
    <m/>
    <m/>
    <m/>
    <m/>
    <m/>
    <s v="Herbaceo 0.3-1.5 m"/>
    <s v="Observacion"/>
    <m/>
  </r>
  <r>
    <x v="6"/>
    <x v="1"/>
    <x v="18"/>
    <s v="FCTET13"/>
    <x v="3"/>
    <d v="2023-10-14T00:00:00"/>
    <d v="1899-12-30T19:20:32"/>
    <n v="-76.718265000000002"/>
    <n v="3.4861566669999999"/>
    <n v="8"/>
    <s v="Derecho"/>
    <s v="Óscar Cuellar"/>
    <m/>
    <n v="1"/>
    <n v="0"/>
    <n v="5.5"/>
    <s v=""/>
    <s v=""/>
    <s v="Arbusto"/>
    <s v="Potrero"/>
    <m/>
    <x v="18"/>
    <m/>
    <n v="1"/>
    <m/>
    <m/>
    <m/>
    <m/>
    <m/>
    <m/>
    <m/>
    <n v="-76.718265000000002"/>
    <n v="3.4861566669999999"/>
    <m/>
    <m/>
    <m/>
    <m/>
    <m/>
    <m/>
    <m/>
    <m/>
    <s v="Herbaceo 0.3-1.5 m"/>
    <s v="Auditivo"/>
    <m/>
  </r>
  <r>
    <x v="6"/>
    <x v="1"/>
    <x v="18"/>
    <s v="FCTET13"/>
    <x v="3"/>
    <d v="2023-10-14T00:00:00"/>
    <d v="1899-12-30T19:20:32"/>
    <n v="-76.718265000000002"/>
    <n v="3.4861566669999999"/>
    <n v="8"/>
    <s v="Derecho"/>
    <s v="Óscar Cuellar"/>
    <m/>
    <n v="1"/>
    <n v="0"/>
    <n v="5.5"/>
    <s v=""/>
    <s v=""/>
    <s v="Arbusto"/>
    <s v="Potrero"/>
    <m/>
    <x v="16"/>
    <m/>
    <n v="1"/>
    <m/>
    <m/>
    <m/>
    <m/>
    <m/>
    <m/>
    <m/>
    <n v="-76.718265000000002"/>
    <n v="3.4861566669999999"/>
    <m/>
    <m/>
    <m/>
    <m/>
    <m/>
    <m/>
    <m/>
    <m/>
    <s v="Herbaceo 0.3-1.5 m"/>
    <s v="Auditivo"/>
    <m/>
  </r>
  <r>
    <x v="6"/>
    <x v="1"/>
    <x v="18"/>
    <s v="FCTET14"/>
    <x v="4"/>
    <d v="2023-10-14T00:00:00"/>
    <d v="1899-12-30T19:02:36"/>
    <n v="-76.718818330000005"/>
    <n v="3.487221667"/>
    <n v="8"/>
    <s v="Izquierdo"/>
    <s v="Óscar Cuellar"/>
    <m/>
    <n v="1"/>
    <n v="0"/>
    <n v="3.25"/>
    <s v=""/>
    <s v=""/>
    <s v="Hierba"/>
    <s v="Potrero"/>
    <m/>
    <x v="3"/>
    <m/>
    <n v="3"/>
    <m/>
    <m/>
    <m/>
    <m/>
    <m/>
    <m/>
    <m/>
    <n v="-76.71884"/>
    <n v="3.487211667"/>
    <m/>
    <m/>
    <m/>
    <m/>
    <m/>
    <m/>
    <m/>
    <m/>
    <s v="Herbaceo 0.3-1.5 m"/>
    <s v="Auditivo"/>
    <m/>
  </r>
  <r>
    <x v="6"/>
    <x v="1"/>
    <x v="18"/>
    <s v="FCTET14"/>
    <x v="4"/>
    <d v="2023-10-14T00:00:00"/>
    <d v="1899-12-30T19:04:15"/>
    <n v="-76.718746670000002"/>
    <n v="3.4870450000000002"/>
    <n v="8"/>
    <s v="Izquierdo"/>
    <s v="Óscar Cuellar"/>
    <m/>
    <n v="1"/>
    <n v="0"/>
    <n v="3.25"/>
    <s v=""/>
    <s v=""/>
    <s v="Arbusto"/>
    <s v="Potrero"/>
    <m/>
    <x v="16"/>
    <m/>
    <n v="1"/>
    <m/>
    <m/>
    <m/>
    <m/>
    <m/>
    <m/>
    <m/>
    <n v="-76.71884"/>
    <n v="3.487211667"/>
    <m/>
    <m/>
    <m/>
    <m/>
    <m/>
    <m/>
    <m/>
    <m/>
    <s v="Herbaceo 0.3-1.5 m"/>
    <s v="Auditivo"/>
    <m/>
  </r>
  <r>
    <x v="6"/>
    <x v="1"/>
    <x v="18"/>
    <s v="FCTET14"/>
    <x v="4"/>
    <d v="2023-10-14T00:00:00"/>
    <d v="1899-12-30T19:09:17"/>
    <n v="-76.718553330000006"/>
    <n v="3.4866766669999998"/>
    <n v="8"/>
    <s v="Derecho"/>
    <s v="Óscar Cuellar"/>
    <m/>
    <n v="1"/>
    <n v="0"/>
    <n v="3.25"/>
    <s v=""/>
    <s v=""/>
    <s v="Sotobosque"/>
    <s v="Potrero"/>
    <m/>
    <x v="16"/>
    <m/>
    <n v="1"/>
    <m/>
    <m/>
    <m/>
    <m/>
    <m/>
    <m/>
    <m/>
    <n v="-76.71884"/>
    <n v="3.487211667"/>
    <m/>
    <m/>
    <m/>
    <m/>
    <m/>
    <m/>
    <m/>
    <m/>
    <s v="Arbustivo 1.5-5 m"/>
    <s v="Auditivo"/>
    <m/>
  </r>
  <r>
    <x v="6"/>
    <x v="1"/>
    <x v="18"/>
    <s v="FCTET13"/>
    <x v="3"/>
    <d v="2023-10-14T00:00:00"/>
    <d v="1899-12-30T19:28:33"/>
    <n v="-76.717955000000003"/>
    <n v="3.486075"/>
    <n v="8"/>
    <s v="Izquierdo"/>
    <s v="Alvaro Fierro"/>
    <m/>
    <n v="1"/>
    <n v="0"/>
    <n v="5.5"/>
    <s v=""/>
    <s v=""/>
    <s v="Arbusto"/>
    <s v="Potrero"/>
    <m/>
    <x v="16"/>
    <m/>
    <n v="2"/>
    <m/>
    <m/>
    <s v="Residuos solidos"/>
    <m/>
    <m/>
    <m/>
    <m/>
    <n v="-76.718265000000002"/>
    <n v="3.4861566669999999"/>
    <m/>
    <m/>
    <m/>
    <m/>
    <m/>
    <m/>
    <m/>
    <m/>
    <s v="Herbaceo 0.3-1.5 m"/>
    <s v="Auditivo"/>
    <m/>
  </r>
  <r>
    <x v="6"/>
    <x v="3"/>
    <x v="12"/>
    <s v="FCABT4"/>
    <x v="3"/>
    <d v="2023-11-23T00:00:00"/>
    <d v="1899-12-30T00:00:00"/>
    <n v="-76.888499999999993"/>
    <n v="3.5971000000000002"/>
    <n v="8"/>
    <s v="Derecho"/>
    <s v="Sebastian Ovalle"/>
    <n v="563"/>
    <n v="1"/>
    <n v="0"/>
    <n v="11.5"/>
    <s v=""/>
    <n v="14"/>
    <s v="Hojas y/o Ramas"/>
    <s v="Bosque Primario"/>
    <m/>
    <x v="28"/>
    <m/>
    <n v="1"/>
    <m/>
    <m/>
    <m/>
    <m/>
    <m/>
    <m/>
    <m/>
    <n v="-76.888499999999993"/>
    <n v="3.5979999999999999"/>
    <m/>
    <m/>
    <m/>
    <m/>
    <m/>
    <m/>
    <m/>
    <m/>
    <s v="Herbaceo 0.3-1.5 m"/>
    <s v="Observacion"/>
    <m/>
  </r>
  <r>
    <x v="6"/>
    <x v="3"/>
    <x v="12"/>
    <s v="FCABT4"/>
    <x v="3"/>
    <d v="2023-11-23T00:00:00"/>
    <d v="1899-12-30T00:00:00"/>
    <n v="-76.888599999999997"/>
    <n v="3.597"/>
    <n v="8"/>
    <s v="Derecho"/>
    <s v="Danny Mora"/>
    <n v="563"/>
    <n v="1"/>
    <n v="0"/>
    <n v="11.5"/>
    <s v=""/>
    <n v="14"/>
    <s v="Hojas y/o Ramas"/>
    <s v="Bosque Primario"/>
    <m/>
    <x v="47"/>
    <m/>
    <n v="3"/>
    <m/>
    <m/>
    <m/>
    <m/>
    <m/>
    <m/>
    <m/>
    <n v="-76.888499999999993"/>
    <n v="3.5979999999999999"/>
    <m/>
    <m/>
    <m/>
    <m/>
    <m/>
    <m/>
    <m/>
    <m/>
    <s v="Herbaceo 0.3-1.5 m"/>
    <s v="Observacion"/>
    <m/>
  </r>
  <r>
    <x v="6"/>
    <x v="3"/>
    <x v="12"/>
    <s v="FCABT4"/>
    <x v="3"/>
    <d v="2023-11-23T00:00:00"/>
    <d v="1899-12-30T00:00:00"/>
    <n v="-76.888499999999993"/>
    <n v="3.5971000000000002"/>
    <n v="8"/>
    <s v="Derecho"/>
    <s v="Danny Mora"/>
    <n v="563"/>
    <n v="1"/>
    <n v="0"/>
    <n v="11.5"/>
    <s v=""/>
    <n v="14"/>
    <s v="Hojas y/o Ramas"/>
    <s v="Bosque Primario"/>
    <m/>
    <x v="28"/>
    <m/>
    <n v="1"/>
    <m/>
    <m/>
    <m/>
    <m/>
    <m/>
    <m/>
    <m/>
    <n v="-76.888499999999993"/>
    <n v="3.5979999999999999"/>
    <m/>
    <m/>
    <m/>
    <m/>
    <m/>
    <m/>
    <m/>
    <m/>
    <s v="Herbaceo 0.3-1.5 m"/>
    <s v="Auditivo"/>
    <m/>
  </r>
  <r>
    <x v="6"/>
    <x v="3"/>
    <x v="12"/>
    <s v="FCABT4"/>
    <x v="3"/>
    <d v="2023-11-23T00:00:00"/>
    <d v="1899-12-30T00:00:00"/>
    <n v="-76.888599999999997"/>
    <n v="3.5973999999999999"/>
    <n v="8"/>
    <s v="Derecho"/>
    <s v="Sebastian Ovalle"/>
    <n v="563"/>
    <n v="1"/>
    <n v="0"/>
    <n v="11.5"/>
    <s v=""/>
    <n v="14"/>
    <s v="Hojas y/o Ramas"/>
    <s v="Bosque Primario"/>
    <m/>
    <x v="28"/>
    <m/>
    <n v="1"/>
    <m/>
    <m/>
    <m/>
    <m/>
    <m/>
    <m/>
    <m/>
    <n v="-76.888499999999993"/>
    <n v="3.5979999999999999"/>
    <m/>
    <m/>
    <m/>
    <m/>
    <m/>
    <m/>
    <m/>
    <m/>
    <s v="Herbaceo 0.3-1.5 m"/>
    <s v="Observacion"/>
    <m/>
  </r>
  <r>
    <x v="6"/>
    <x v="2"/>
    <x v="11"/>
    <s v="FCCDT14"/>
    <x v="3"/>
    <d v="2023-11-16T00:00:00"/>
    <d v="1899-12-30T00:00:00"/>
    <n v="-76.651899999999998"/>
    <n v="3.3534999999999999"/>
    <n v="8"/>
    <s v="Izquierdo"/>
    <s v="Alvaro Fierro"/>
    <n v="2570"/>
    <n v="1"/>
    <n v="0"/>
    <n v="33"/>
    <s v=""/>
    <n v="15"/>
    <s v="Hojas y/o Ramas"/>
    <s v="Bosque Secundario"/>
    <m/>
    <x v="9"/>
    <m/>
    <n v="1"/>
    <m/>
    <m/>
    <m/>
    <m/>
    <m/>
    <m/>
    <m/>
    <n v="-76.652799999999999"/>
    <n v="3.3536000000000001"/>
    <m/>
    <m/>
    <m/>
    <m/>
    <m/>
    <m/>
    <m/>
    <m/>
    <s v="Rasante &lt;0.3 m"/>
    <s v="Observacion"/>
    <m/>
  </r>
  <r>
    <x v="6"/>
    <x v="2"/>
    <x v="11"/>
    <s v="FCCDT14"/>
    <x v="3"/>
    <d v="2023-11-16T00:00:00"/>
    <d v="1899-12-30T00:00:00"/>
    <n v="-76.652429209999994"/>
    <n v="3.3534943460000002"/>
    <n v="8"/>
    <s v="Derecho"/>
    <s v="Alvaro Fierro"/>
    <n v="2550"/>
    <n v="1"/>
    <n v="0"/>
    <n v="33"/>
    <s v=""/>
    <n v="15"/>
    <s v="Hojas y/o Ramas"/>
    <s v="Bosque Secundario"/>
    <m/>
    <x v="9"/>
    <m/>
    <n v="1"/>
    <m/>
    <m/>
    <m/>
    <m/>
    <m/>
    <m/>
    <m/>
    <n v="-76.652799999999999"/>
    <n v="3.3536000000000001"/>
    <m/>
    <m/>
    <m/>
    <m/>
    <m/>
    <m/>
    <m/>
    <m/>
    <s v="Rasante &lt;0.3 m"/>
    <s v="Observacion"/>
    <m/>
  </r>
  <r>
    <x v="6"/>
    <x v="3"/>
    <x v="21"/>
    <s v="FCAFT29"/>
    <x v="3"/>
    <d v="2023-11-23T00:00:00"/>
    <d v="1899-12-30T11:36:40"/>
    <n v="-76.880700000000004"/>
    <n v="3.5966"/>
    <n v="8"/>
    <s v="Izquierdo"/>
    <s v="Danny Mora"/>
    <n v="533"/>
    <n v="0"/>
    <n v="1"/>
    <n v="21"/>
    <n v="1"/>
    <n v="30"/>
    <s v="Bajo troncos o piedras"/>
    <s v="Bosque ribereño"/>
    <m/>
    <x v="15"/>
    <m/>
    <n v="1"/>
    <m/>
    <m/>
    <m/>
    <m/>
    <m/>
    <m/>
    <m/>
    <n v="-76.880700000000004"/>
    <n v="3.5962000000000001"/>
    <m/>
    <m/>
    <m/>
    <m/>
    <m/>
    <m/>
    <m/>
    <m/>
    <s v="Rasante &lt;0.3 m"/>
    <s v="Observacion"/>
    <m/>
  </r>
  <r>
    <x v="6"/>
    <x v="3"/>
    <x v="16"/>
    <s v="FCACT7"/>
    <x v="2"/>
    <d v="2023-11-22T00:00:00"/>
    <d v="1899-12-30T00:00:00"/>
    <n v="-76.88077586"/>
    <n v="3.5784978559999998"/>
    <n v="8"/>
    <s v="Derecho"/>
    <s v="Danny Mora"/>
    <m/>
    <n v="0"/>
    <n v="1"/>
    <n v="25"/>
    <n v="4"/>
    <n v="37.5"/>
    <s v="Hojarasca"/>
    <s v="Bosque ribereño"/>
    <m/>
    <x v="14"/>
    <m/>
    <n v="1"/>
    <m/>
    <m/>
    <m/>
    <m/>
    <m/>
    <m/>
    <m/>
    <n v="-76.880968330000002"/>
    <n v="3.5783116669999999"/>
    <m/>
    <m/>
    <m/>
    <m/>
    <m/>
    <m/>
    <m/>
    <m/>
    <s v="Rasante &lt;0.3 m"/>
    <s v="Auditivo"/>
    <m/>
  </r>
  <r>
    <x v="6"/>
    <x v="2"/>
    <x v="10"/>
    <s v="FCCDT16"/>
    <x v="0"/>
    <d v="2023-11-16T00:00:00"/>
    <d v="1899-12-30T00:00:00"/>
    <n v="-76.655500529999998"/>
    <n v="3.354115996"/>
    <n v="8"/>
    <s v="Derecho"/>
    <s v="Alvaro Fierro"/>
    <n v="2604"/>
    <n v="1"/>
    <n v="0"/>
    <n v="19"/>
    <s v=""/>
    <n v="6"/>
    <s v="Hojas y/o Ramas"/>
    <s v="Bosque Secundario"/>
    <m/>
    <x v="8"/>
    <m/>
    <n v="1"/>
    <m/>
    <m/>
    <m/>
    <m/>
    <m/>
    <m/>
    <m/>
    <n v="-76.655699999999996"/>
    <n v="3.3542999999999998"/>
    <m/>
    <m/>
    <m/>
    <m/>
    <m/>
    <m/>
    <m/>
    <m/>
    <s v="Rasante &lt;0.3 m"/>
    <s v="Observacion"/>
    <m/>
  </r>
  <r>
    <x v="6"/>
    <x v="2"/>
    <x v="10"/>
    <s v="FCCDT16"/>
    <x v="0"/>
    <d v="2023-11-16T00:00:00"/>
    <d v="1899-12-30T00:00:00"/>
    <n v="-76.655600000000007"/>
    <n v="3.3542000000000001"/>
    <n v="8"/>
    <s v="Derecho"/>
    <s v="Alvaro Fierro"/>
    <n v="2604"/>
    <n v="1"/>
    <n v="0"/>
    <n v="19"/>
    <s v=""/>
    <n v="6"/>
    <s v="Hojas y/o Ramas"/>
    <s v="Bosque Secundario"/>
    <m/>
    <x v="8"/>
    <m/>
    <n v="1"/>
    <m/>
    <m/>
    <m/>
    <m/>
    <m/>
    <m/>
    <m/>
    <n v="-76.655699999999996"/>
    <n v="3.3542999999999998"/>
    <m/>
    <m/>
    <m/>
    <m/>
    <m/>
    <m/>
    <m/>
    <m/>
    <s v="Arbustivo 1.5-5 m"/>
    <s v="Observacion"/>
    <m/>
  </r>
  <r>
    <x v="6"/>
    <x v="2"/>
    <x v="10"/>
    <s v="FCCDT16"/>
    <x v="0"/>
    <d v="2023-11-16T00:00:00"/>
    <d v="1899-12-30T00:00:00"/>
    <n v="-76.655500529999998"/>
    <n v="3.354115996"/>
    <n v="8"/>
    <s v="Derecho"/>
    <s v="Alvaro Fierro"/>
    <n v="2604"/>
    <n v="1"/>
    <n v="0"/>
    <n v="19"/>
    <s v=""/>
    <n v="6"/>
    <s v="Hojas y/o Ramas"/>
    <s v="Bosque Secundario"/>
    <m/>
    <x v="8"/>
    <m/>
    <n v="1"/>
    <m/>
    <m/>
    <m/>
    <m/>
    <m/>
    <m/>
    <m/>
    <n v="-76.655699999999996"/>
    <n v="3.3542999999999998"/>
    <m/>
    <m/>
    <m/>
    <m/>
    <m/>
    <m/>
    <m/>
    <m/>
    <s v="Herbaceo 0.3-1.5 m"/>
    <s v="Observacion"/>
    <m/>
  </r>
  <r>
    <x v="6"/>
    <x v="2"/>
    <x v="10"/>
    <s v="FCCDT16"/>
    <x v="0"/>
    <d v="2023-11-16T00:00:00"/>
    <d v="1899-12-30T00:00:00"/>
    <n v="-76.6554"/>
    <n v="3.3540000000000001"/>
    <n v="8"/>
    <s v="Derecho"/>
    <s v="Alvaro Fierro"/>
    <n v="2604"/>
    <n v="1"/>
    <n v="0"/>
    <n v="19"/>
    <s v=""/>
    <n v="6"/>
    <s v="Hojas y/o Ramas"/>
    <s v="Bosque Secundario"/>
    <m/>
    <x v="8"/>
    <m/>
    <n v="1"/>
    <m/>
    <m/>
    <m/>
    <m/>
    <m/>
    <m/>
    <m/>
    <n v="-76.655699999999996"/>
    <n v="3.3542999999999998"/>
    <m/>
    <m/>
    <m/>
    <m/>
    <m/>
    <m/>
    <m/>
    <m/>
    <s v="Arbustivo 1.5-5 m"/>
    <s v="Observacion"/>
    <m/>
  </r>
  <r>
    <x v="6"/>
    <x v="1"/>
    <x v="17"/>
    <s v="FCTDT22"/>
    <x v="1"/>
    <d v="2023-10-11T00:00:00"/>
    <d v="1899-12-30T21:02:34"/>
    <n v="-76.725849999999994"/>
    <n v="3.4993783330000001"/>
    <n v="8"/>
    <s v="Izquierdo"/>
    <s v="Otro"/>
    <m/>
    <n v="1"/>
    <n v="0"/>
    <n v="2"/>
    <n v="1.5"/>
    <s v=""/>
    <s v="Hojas y/o Ramas"/>
    <s v="Bosque ribereño"/>
    <m/>
    <x v="18"/>
    <m/>
    <n v="1"/>
    <m/>
    <m/>
    <m/>
    <m/>
    <m/>
    <m/>
    <m/>
    <n v="-76.725989999999996"/>
    <n v="3.4992833330000002"/>
    <m/>
    <m/>
    <m/>
    <m/>
    <m/>
    <m/>
    <m/>
    <m/>
    <s v="Herbaceo 0.3-1.5 m"/>
    <s v="Observacion"/>
    <m/>
  </r>
  <r>
    <x v="6"/>
    <x v="1"/>
    <x v="17"/>
    <s v="FCTDT21"/>
    <x v="0"/>
    <d v="2023-10-11T00:00:00"/>
    <d v="1899-12-30T20:16:15"/>
    <n v="-76.726468330000003"/>
    <n v="3.5000466669999999"/>
    <n v="8"/>
    <s v="Izquierdo"/>
    <s v="Otro"/>
    <n v="1785"/>
    <n v="0"/>
    <n v="1"/>
    <n v="1.75"/>
    <n v="6.6"/>
    <s v=""/>
    <s v="Hojas y/o Ramas"/>
    <s v="Bosque ribereño"/>
    <m/>
    <x v="18"/>
    <m/>
    <n v="1"/>
    <m/>
    <m/>
    <m/>
    <m/>
    <m/>
    <m/>
    <m/>
    <n v="-76.726733330000002"/>
    <n v="3.5001466670000001"/>
    <m/>
    <m/>
    <m/>
    <m/>
    <m/>
    <m/>
    <m/>
    <m/>
    <s v="Herbaceo 0.3-1.5 m"/>
    <s v="Observacion"/>
    <m/>
  </r>
  <r>
    <x v="6"/>
    <x v="1"/>
    <x v="17"/>
    <s v="FCTDT22"/>
    <x v="1"/>
    <d v="2023-10-11T00:00:00"/>
    <d v="1899-12-30T20:43:38"/>
    <n v="-76.726005000000001"/>
    <n v="3.4994200000000002"/>
    <n v="8"/>
    <s v="Izquierdo"/>
    <s v="Otro"/>
    <m/>
    <n v="0"/>
    <n v="1"/>
    <n v="2"/>
    <n v="1.5"/>
    <s v=""/>
    <s v="Hojarasca"/>
    <s v="Bosque ribereño"/>
    <m/>
    <x v="34"/>
    <m/>
    <n v="1"/>
    <m/>
    <m/>
    <m/>
    <m/>
    <m/>
    <m/>
    <m/>
    <n v="-76.725989999999996"/>
    <n v="3.4992833330000002"/>
    <m/>
    <m/>
    <m/>
    <m/>
    <m/>
    <m/>
    <m/>
    <m/>
    <s v="Rasante &lt;0.3 m"/>
    <s v="Observacion"/>
    <m/>
  </r>
  <r>
    <x v="6"/>
    <x v="1"/>
    <x v="17"/>
    <s v="FCTDT21"/>
    <x v="0"/>
    <d v="2023-10-11T00:00:00"/>
    <d v="1899-12-30T19:14:41"/>
    <n v="-76.726733330000002"/>
    <n v="3.5001466670000001"/>
    <n v="8"/>
    <s v="Izquierdo"/>
    <s v="Alvaro Fierro"/>
    <m/>
    <n v="0"/>
    <n v="1"/>
    <n v="1.75"/>
    <n v="6.6"/>
    <s v=""/>
    <s v="Rio"/>
    <s v="Bosque ribereño"/>
    <m/>
    <x v="18"/>
    <m/>
    <n v="1"/>
    <m/>
    <m/>
    <m/>
    <m/>
    <m/>
    <m/>
    <m/>
    <n v="-76.726733330000002"/>
    <n v="3.5001466670000001"/>
    <m/>
    <m/>
    <m/>
    <m/>
    <m/>
    <m/>
    <m/>
    <m/>
    <s v="Rasante &lt;0.3 m"/>
    <s v="Observacion"/>
    <m/>
  </r>
  <r>
    <x v="6"/>
    <x v="1"/>
    <x v="17"/>
    <s v="FCTDT22"/>
    <x v="1"/>
    <d v="2023-10-11T00:00:00"/>
    <d v="1899-12-30T20:40:15"/>
    <n v="-76.726074999999994"/>
    <n v="3.4994116669999999"/>
    <n v="8"/>
    <s v="Izquierdo"/>
    <s v="Otro"/>
    <m/>
    <n v="0"/>
    <n v="1"/>
    <n v="2"/>
    <n v="1.5"/>
    <s v=""/>
    <s v="Arbol"/>
    <s v="Bosque ribereño"/>
    <m/>
    <x v="34"/>
    <m/>
    <n v="1"/>
    <m/>
    <m/>
    <m/>
    <m/>
    <m/>
    <m/>
    <m/>
    <n v="-76.725989999999996"/>
    <n v="3.4992833330000002"/>
    <m/>
    <m/>
    <m/>
    <m/>
    <m/>
    <m/>
    <m/>
    <m/>
    <s v="Arbustivo 1.5-5 m"/>
    <s v="Auditivo"/>
    <m/>
  </r>
  <r>
    <x v="6"/>
    <x v="1"/>
    <x v="17"/>
    <s v="FCTDT22"/>
    <x v="1"/>
    <d v="2023-10-11T00:00:00"/>
    <d v="1899-12-30T20:37:36"/>
    <n v="-76.726076669999998"/>
    <n v="3.4994366669999999"/>
    <n v="8"/>
    <s v="Izquierdo"/>
    <s v="Otro"/>
    <m/>
    <n v="0"/>
    <n v="1"/>
    <n v="2"/>
    <n v="1.5"/>
    <s v=""/>
    <s v="Hojas y/o Ramas"/>
    <s v="Bosque ribereño"/>
    <m/>
    <x v="5"/>
    <m/>
    <n v="1"/>
    <m/>
    <m/>
    <m/>
    <m/>
    <m/>
    <m/>
    <m/>
    <n v="-76.725989999999996"/>
    <n v="3.4992833330000002"/>
    <m/>
    <m/>
    <m/>
    <m/>
    <m/>
    <m/>
    <m/>
    <m/>
    <s v="Arbustivo 1.5-5 m"/>
    <s v="Observacion"/>
    <m/>
  </r>
  <r>
    <x v="6"/>
    <x v="1"/>
    <x v="17"/>
    <s v="FCTDT21"/>
    <x v="0"/>
    <d v="2023-10-11T00:00:00"/>
    <d v="1899-12-30T20:20:53"/>
    <n v="-76.726418330000001"/>
    <n v="3.4998399999999998"/>
    <n v="8"/>
    <s v="Izquierdo"/>
    <s v="Otro"/>
    <n v="1786"/>
    <n v="0"/>
    <n v="1"/>
    <n v="1.75"/>
    <n v="6.6"/>
    <s v=""/>
    <s v="Hojas y/o Ramas"/>
    <s v="Bosque ribereño"/>
    <m/>
    <x v="3"/>
    <m/>
    <n v="1"/>
    <m/>
    <m/>
    <m/>
    <m/>
    <m/>
    <m/>
    <m/>
    <n v="-76.726733330000002"/>
    <n v="3.5001466670000001"/>
    <m/>
    <m/>
    <m/>
    <m/>
    <m/>
    <m/>
    <m/>
    <m/>
    <s v="Herbaceo 0.3-1.5 m"/>
    <s v="Observacion"/>
    <m/>
  </r>
  <r>
    <x v="6"/>
    <x v="1"/>
    <x v="17"/>
    <s v="FCTDT21"/>
    <x v="0"/>
    <d v="2023-10-11T00:00:00"/>
    <d v="1899-12-30T19:26:47"/>
    <n v="-76.726796669999999"/>
    <n v="3.5001600000000002"/>
    <n v="8"/>
    <s v="Derecho"/>
    <s v="Otro"/>
    <n v="1754"/>
    <n v="0"/>
    <n v="1"/>
    <n v="1.75"/>
    <n v="6.6"/>
    <s v=""/>
    <s v="Hojas y/o Ramas"/>
    <s v="Bosque ribereño"/>
    <m/>
    <x v="3"/>
    <m/>
    <n v="1"/>
    <m/>
    <m/>
    <m/>
    <m/>
    <m/>
    <m/>
    <m/>
    <n v="-76.726733330000002"/>
    <n v="3.5001466670000001"/>
    <m/>
    <m/>
    <m/>
    <m/>
    <m/>
    <m/>
    <m/>
    <m/>
    <s v="Herbaceo 0.3-1.5 m"/>
    <s v="Observacion"/>
    <m/>
  </r>
  <r>
    <x v="6"/>
    <x v="1"/>
    <x v="17"/>
    <s v="FCTDT21"/>
    <x v="0"/>
    <d v="2023-10-11T00:00:00"/>
    <d v="1899-12-30T19:41:11"/>
    <n v="-76.726786669999996"/>
    <n v="3.5001116670000001"/>
    <n v="8"/>
    <s v="Derecho"/>
    <s v="Alvaro Fierro"/>
    <n v="1796"/>
    <n v="0"/>
    <n v="1"/>
    <n v="1.75"/>
    <n v="6.6"/>
    <s v=""/>
    <s v="Hojas y/o Ramas"/>
    <s v="Bosque ribereño"/>
    <m/>
    <x v="7"/>
    <m/>
    <n v="1"/>
    <m/>
    <m/>
    <m/>
    <m/>
    <m/>
    <m/>
    <m/>
    <n v="-76.726733330000002"/>
    <n v="3.5001466670000001"/>
    <m/>
    <m/>
    <m/>
    <m/>
    <m/>
    <m/>
    <m/>
    <m/>
    <s v="Arbustivo 1.5-5 m"/>
    <s v="Observacion"/>
    <m/>
  </r>
  <r>
    <x v="6"/>
    <x v="1"/>
    <x v="17"/>
    <s v="FCTDT21"/>
    <x v="0"/>
    <d v="2023-10-11T00:00:00"/>
    <d v="1899-12-30T19:25:13"/>
    <n v="-76.726743330000005"/>
    <n v="3.5001633330000002"/>
    <n v="8"/>
    <s v="Izquierdo"/>
    <s v="Otro"/>
    <n v="1754"/>
    <n v="0"/>
    <n v="1"/>
    <n v="1.75"/>
    <n v="6.6"/>
    <s v=""/>
    <s v="Arbusto"/>
    <s v="Bosque ribereño"/>
    <m/>
    <x v="18"/>
    <m/>
    <n v="2"/>
    <m/>
    <m/>
    <m/>
    <m/>
    <m/>
    <m/>
    <m/>
    <n v="-76.726733330000002"/>
    <n v="3.5001466670000001"/>
    <m/>
    <m/>
    <m/>
    <m/>
    <m/>
    <m/>
    <m/>
    <m/>
    <s v="Herbaceo 0.3-1.5 m"/>
    <s v="Observacion"/>
    <m/>
  </r>
  <r>
    <x v="6"/>
    <x v="1"/>
    <x v="17"/>
    <s v="FCTDT22"/>
    <x v="1"/>
    <d v="2023-10-11T00:00:00"/>
    <d v="1899-12-30T20:31:16"/>
    <n v="-76.726288330000003"/>
    <n v="3.4996933330000002"/>
    <n v="8"/>
    <s v="Derecho"/>
    <s v="Otro"/>
    <n v="1793"/>
    <n v="0"/>
    <n v="1"/>
    <n v="2"/>
    <n v="1.5"/>
    <s v=""/>
    <s v="Hojas y/o Ramas"/>
    <s v="Bosque ribereño"/>
    <m/>
    <x v="3"/>
    <m/>
    <n v="1"/>
    <m/>
    <m/>
    <m/>
    <m/>
    <m/>
    <m/>
    <m/>
    <n v="-76.725989999999996"/>
    <n v="3.4992833330000002"/>
    <m/>
    <m/>
    <m/>
    <m/>
    <m/>
    <m/>
    <m/>
    <m/>
    <s v="Herbaceo 0.3-1.5 m"/>
    <s v="Observacion"/>
    <m/>
  </r>
  <r>
    <x v="6"/>
    <x v="2"/>
    <x v="11"/>
    <s v="FCCDT11"/>
    <x v="0"/>
    <d v="2023-11-16T00:00:00"/>
    <d v="1899-12-30T21:19:10"/>
    <n v="-76.647900000000007"/>
    <n v="3.3519999999999999"/>
    <n v="8"/>
    <s v="Izquierdo"/>
    <s v="Ricardo Ocampo"/>
    <n v="2339"/>
    <n v="1"/>
    <n v="0"/>
    <n v="16.5"/>
    <s v=""/>
    <n v="11"/>
    <s v="Hojas y/o Ramas"/>
    <s v="Bosque Secundario"/>
    <m/>
    <x v="6"/>
    <m/>
    <n v="1"/>
    <m/>
    <m/>
    <m/>
    <m/>
    <m/>
    <m/>
    <m/>
    <n v="-76.649100000000004"/>
    <n v="3.3521999999999998"/>
    <m/>
    <m/>
    <m/>
    <m/>
    <m/>
    <m/>
    <m/>
    <m/>
    <s v="Herbaceo 0.3-1.5 m"/>
    <s v="Observacion"/>
    <m/>
  </r>
  <r>
    <x v="6"/>
    <x v="3"/>
    <x v="15"/>
    <s v="FCAAT17"/>
    <x v="2"/>
    <d v="2023-11-24T00:00:00"/>
    <d v="1899-12-30T00:00:00"/>
    <n v="-76.888300000000001"/>
    <n v="3.5508000000000002"/>
    <n v="8"/>
    <s v="Izquierdo"/>
    <s v="Sebastian ovalle"/>
    <n v="642"/>
    <n v="1"/>
    <n v="0"/>
    <n v="30"/>
    <s v=""/>
    <n v="22.5"/>
    <s v="Bajo troncos o piedras"/>
    <s v="Bosque Primario"/>
    <m/>
    <x v="29"/>
    <m/>
    <n v="4"/>
    <m/>
    <m/>
    <m/>
    <m/>
    <m/>
    <m/>
    <m/>
    <n v="-76.887900000000002"/>
    <n v="3.5508999999999999"/>
    <m/>
    <m/>
    <m/>
    <m/>
    <m/>
    <m/>
    <m/>
    <m/>
    <s v="Rasante &lt;0.3 m"/>
    <s v="Observacion"/>
    <m/>
  </r>
  <r>
    <x v="6"/>
    <x v="3"/>
    <x v="21"/>
    <s v="FCAFT30"/>
    <x v="4"/>
    <d v="2023-11-23T00:00:00"/>
    <d v="1899-12-30T00:00:00"/>
    <n v="-76.880708330000004"/>
    <n v="3.5954266669999999"/>
    <n v="8"/>
    <m/>
    <m/>
    <m/>
    <n v="0"/>
    <n v="0"/>
    <n v="30"/>
    <s v=""/>
    <n v="12.5"/>
    <m/>
    <m/>
    <m/>
    <x v="0"/>
    <m/>
    <n v="0"/>
    <m/>
    <m/>
    <m/>
    <m/>
    <m/>
    <m/>
    <m/>
    <n v="-76.880499999999998"/>
    <n v="3.5960000000000001"/>
    <m/>
    <m/>
    <m/>
    <m/>
    <m/>
    <m/>
    <m/>
    <m/>
    <m/>
    <m/>
    <m/>
  </r>
  <r>
    <x v="6"/>
    <x v="2"/>
    <x v="9"/>
    <s v="FCCAT2"/>
    <x v="1"/>
    <d v="2023-11-14T00:00:00"/>
    <d v="1899-12-30T00:00:00"/>
    <n v="-76.647099999999995"/>
    <n v="3.3496999999999999"/>
    <n v="8"/>
    <s v="Izquierdo"/>
    <s v="Alvaro Fierro"/>
    <m/>
    <n v="0"/>
    <n v="1"/>
    <n v="12.5"/>
    <n v="1"/>
    <n v="7.5"/>
    <s v="Hojas y/o Ramas"/>
    <s v="Bosque ribereño"/>
    <m/>
    <x v="6"/>
    <m/>
    <n v="1"/>
    <m/>
    <m/>
    <m/>
    <m/>
    <m/>
    <m/>
    <m/>
    <n v="-76.647199999999998"/>
    <n v="3.3498999999999999"/>
    <m/>
    <m/>
    <m/>
    <m/>
    <m/>
    <m/>
    <m/>
    <m/>
    <s v="Herbaceo 0.3-1.5 m"/>
    <s v="Observacion"/>
    <m/>
  </r>
  <r>
    <x v="6"/>
    <x v="3"/>
    <x v="14"/>
    <s v="FCAAT12"/>
    <x v="1"/>
    <d v="2023-11-21T00:00:00"/>
    <d v="1899-12-30T00:00:00"/>
    <n v="-76.882099999999994"/>
    <n v="3.5523423670000001"/>
    <n v="8"/>
    <s v="Izquierdo"/>
    <s v="Sebastian Ovalle"/>
    <n v="567"/>
    <n v="1"/>
    <n v="0"/>
    <n v="36"/>
    <s v=""/>
    <n v="2"/>
    <s v="Hojas y/o Ramas"/>
    <s v="Bosque Secundario"/>
    <m/>
    <x v="29"/>
    <m/>
    <n v="1"/>
    <m/>
    <m/>
    <s v="Vías"/>
    <m/>
    <m/>
    <m/>
    <m/>
    <n v="-76.881799999999998"/>
    <n v="3.5524"/>
    <m/>
    <m/>
    <m/>
    <m/>
    <m/>
    <m/>
    <m/>
    <m/>
    <s v="Rasante &lt;0.3 m"/>
    <s v="Observacion"/>
    <m/>
  </r>
  <r>
    <x v="6"/>
    <x v="3"/>
    <x v="14"/>
    <s v="FCAAT12"/>
    <x v="1"/>
    <d v="2023-11-21T00:00:00"/>
    <d v="1899-12-30T00:00:00"/>
    <n v="-76.882499999999993"/>
    <n v="3.5522"/>
    <n v="8"/>
    <s v="Izquierdo"/>
    <s v="Danny Mora"/>
    <n v="567"/>
    <n v="1"/>
    <n v="0"/>
    <n v="36"/>
    <s v=""/>
    <n v="2"/>
    <s v="Hojas y/o Ramas"/>
    <s v="Bosque Secundario"/>
    <m/>
    <x v="48"/>
    <m/>
    <n v="1"/>
    <m/>
    <m/>
    <s v="Vías"/>
    <m/>
    <m/>
    <m/>
    <m/>
    <n v="-76.881799999999998"/>
    <n v="3.5524"/>
    <m/>
    <m/>
    <m/>
    <m/>
    <m/>
    <m/>
    <m/>
    <m/>
    <s v="Rasante &lt;0.3 m"/>
    <s v="Auditivo"/>
    <m/>
  </r>
  <r>
    <x v="6"/>
    <x v="3"/>
    <x v="14"/>
    <s v="FCAAT12"/>
    <x v="1"/>
    <d v="2023-11-21T00:00:00"/>
    <d v="1899-12-30T00:00:00"/>
    <n v="-76.882324190000006"/>
    <n v="3.5523423670000001"/>
    <n v="8"/>
    <s v="Izquierdo"/>
    <s v="Danny Mora"/>
    <n v="567"/>
    <n v="1"/>
    <n v="0"/>
    <n v="36"/>
    <s v=""/>
    <n v="2"/>
    <s v="Hojas y/o Ramas"/>
    <s v="Bosque Secundario"/>
    <m/>
    <x v="48"/>
    <m/>
    <n v="2"/>
    <m/>
    <m/>
    <m/>
    <m/>
    <m/>
    <m/>
    <m/>
    <n v="-76.881799999999998"/>
    <n v="3.5524"/>
    <m/>
    <m/>
    <m/>
    <m/>
    <m/>
    <m/>
    <m/>
    <m/>
    <s v="Rasante &lt;0.3 m"/>
    <s v="Auditivo"/>
    <m/>
  </r>
  <r>
    <x v="6"/>
    <x v="3"/>
    <x v="15"/>
    <s v="FCAAT16"/>
    <x v="1"/>
    <d v="2023-11-24T00:00:00"/>
    <d v="1899-12-30T00:00:00"/>
    <n v="-76.889799999999994"/>
    <n v="3.5508898100000001"/>
    <n v="8"/>
    <s v="Izquierdo"/>
    <s v="Sebastian ovalle"/>
    <n v="649"/>
    <n v="1"/>
    <n v="0"/>
    <n v="26"/>
    <s v=""/>
    <n v="10"/>
    <s v="Bajo troncos o piedras"/>
    <s v="Bosque Primario"/>
    <m/>
    <x v="49"/>
    <m/>
    <n v="2"/>
    <m/>
    <m/>
    <m/>
    <m/>
    <m/>
    <m/>
    <m/>
    <n v="-76.889200000000002"/>
    <n v="3.5507"/>
    <m/>
    <m/>
    <m/>
    <m/>
    <m/>
    <m/>
    <m/>
    <m/>
    <s v="Rasante &lt;0.3 m"/>
    <s v="Observacion"/>
    <m/>
  </r>
  <r>
    <x v="6"/>
    <x v="3"/>
    <x v="15"/>
    <s v="FCAAT16"/>
    <x v="1"/>
    <d v="2023-11-24T00:00:00"/>
    <d v="1899-12-30T00:00:00"/>
    <n v="-76.889700000000005"/>
    <n v="3.5508898100000001"/>
    <n v="8"/>
    <s v="Izquierdo"/>
    <s v="Leonardo Belalcazar"/>
    <n v="649"/>
    <n v="1"/>
    <n v="0"/>
    <n v="26"/>
    <s v=""/>
    <n v="10"/>
    <s v="Bajo troncos o piedras"/>
    <s v="Bosque Primario"/>
    <m/>
    <x v="29"/>
    <m/>
    <n v="6"/>
    <m/>
    <m/>
    <m/>
    <m/>
    <m/>
    <m/>
    <m/>
    <n v="-76.889200000000002"/>
    <n v="3.5507"/>
    <m/>
    <m/>
    <m/>
    <m/>
    <m/>
    <m/>
    <m/>
    <m/>
    <s v="Rasante &lt;0.3 m"/>
    <s v="Observacion"/>
    <m/>
  </r>
  <r>
    <x v="6"/>
    <x v="3"/>
    <x v="15"/>
    <s v="FCAAT16"/>
    <x v="1"/>
    <d v="2023-11-24T00:00:00"/>
    <d v="1899-12-30T00:00:00"/>
    <n v="-76.889899999999997"/>
    <n v="3.5508898100000001"/>
    <n v="8"/>
    <s v="Izquierdo"/>
    <s v="Sebastian ovalle"/>
    <n v="649"/>
    <n v="1"/>
    <n v="0"/>
    <n v="26"/>
    <s v=""/>
    <n v="10"/>
    <s v="Bajo troncos o piedras"/>
    <s v="Bosque Primario"/>
    <m/>
    <x v="29"/>
    <m/>
    <n v="1"/>
    <m/>
    <m/>
    <m/>
    <m/>
    <m/>
    <m/>
    <m/>
    <n v="-76.889200000000002"/>
    <n v="3.5507"/>
    <m/>
    <m/>
    <m/>
    <m/>
    <m/>
    <m/>
    <m/>
    <m/>
    <s v="Rasante &lt;0.3 m"/>
    <s v="Observacion"/>
    <m/>
  </r>
  <r>
    <x v="6"/>
    <x v="3"/>
    <x v="15"/>
    <s v="FCAAT16"/>
    <x v="1"/>
    <d v="2023-11-24T00:00:00"/>
    <d v="1899-12-30T00:00:00"/>
    <n v="-76.889399999999995"/>
    <n v="3.5508898100000001"/>
    <n v="8"/>
    <s v="Derecho"/>
    <s v="Leonardo Belalcazar"/>
    <n v="649"/>
    <n v="1"/>
    <n v="0"/>
    <n v="26"/>
    <s v=""/>
    <n v="10"/>
    <s v="Bajo troncos o piedras"/>
    <s v="Bosque Primario"/>
    <m/>
    <x v="29"/>
    <m/>
    <n v="1"/>
    <m/>
    <m/>
    <m/>
    <m/>
    <m/>
    <m/>
    <m/>
    <n v="-76.889200000000002"/>
    <n v="3.5507"/>
    <m/>
    <m/>
    <m/>
    <m/>
    <m/>
    <m/>
    <m/>
    <m/>
    <s v="Rasante &lt;0.3 m"/>
    <s v="Observacion"/>
    <m/>
  </r>
  <r>
    <x v="6"/>
    <x v="3"/>
    <x v="15"/>
    <s v="FCAAT16"/>
    <x v="1"/>
    <d v="2023-11-24T00:00:00"/>
    <d v="1899-12-30T00:00:00"/>
    <n v="-76.889600000000002"/>
    <n v="3.5508898100000001"/>
    <n v="8"/>
    <s v="Derecho"/>
    <s v="Sebastian Ovalle"/>
    <n v="649"/>
    <n v="1"/>
    <n v="0"/>
    <n v="26"/>
    <s v=""/>
    <n v="10"/>
    <s v="Bajo troncos o piedras"/>
    <s v="Bosque Primario"/>
    <m/>
    <x v="29"/>
    <m/>
    <n v="3"/>
    <m/>
    <m/>
    <m/>
    <m/>
    <m/>
    <m/>
    <m/>
    <n v="-76.889200000000002"/>
    <n v="3.5507"/>
    <m/>
    <m/>
    <m/>
    <m/>
    <m/>
    <m/>
    <m/>
    <m/>
    <s v="Rasante &lt;0.3 m"/>
    <s v="Observacion"/>
    <m/>
  </r>
  <r>
    <x v="6"/>
    <x v="3"/>
    <x v="15"/>
    <s v="FCAAT16"/>
    <x v="1"/>
    <d v="2023-11-24T00:00:00"/>
    <d v="1899-12-30T00:00:00"/>
    <n v="-76.889700000000005"/>
    <n v="3.5508898100000001"/>
    <n v="8"/>
    <s v="Izquierdo"/>
    <s v="Leonardo Belalcazar"/>
    <n v="649"/>
    <n v="1"/>
    <n v="0"/>
    <n v="26"/>
    <s v=""/>
    <n v="10"/>
    <s v="Bajo troncos o piedras"/>
    <s v="Bosque Primario"/>
    <m/>
    <x v="29"/>
    <m/>
    <n v="4"/>
    <m/>
    <m/>
    <m/>
    <m/>
    <m/>
    <m/>
    <m/>
    <n v="-76.889200000000002"/>
    <n v="3.5507"/>
    <m/>
    <m/>
    <m/>
    <m/>
    <m/>
    <m/>
    <m/>
    <m/>
    <s v="Rasante &lt;0.3 m"/>
    <s v="Observacion"/>
    <m/>
  </r>
  <r>
    <x v="6"/>
    <x v="2"/>
    <x v="8"/>
    <s v="FCCBT7"/>
    <x v="2"/>
    <d v="2023-11-15T00:00:00"/>
    <d v="1899-12-30T00:00:00"/>
    <n v="-76.642499999999998"/>
    <n v="3.3492000000000002"/>
    <n v="8"/>
    <s v="Derecho"/>
    <s v="Alvaro Fierro"/>
    <m/>
    <n v="1"/>
    <n v="0"/>
    <n v="19"/>
    <s v=""/>
    <n v="23.5"/>
    <m/>
    <s v="Bosque Secundario"/>
    <m/>
    <x v="3"/>
    <m/>
    <n v="4"/>
    <m/>
    <m/>
    <s v="Deforestación"/>
    <m/>
    <m/>
    <m/>
    <m/>
    <n v="-76.642349999999993"/>
    <n v="3.3494999999999999"/>
    <m/>
    <m/>
    <m/>
    <m/>
    <m/>
    <m/>
    <m/>
    <m/>
    <m/>
    <s v="Auditivo"/>
    <m/>
  </r>
  <r>
    <x v="6"/>
    <x v="2"/>
    <x v="8"/>
    <s v="FCCBT7"/>
    <x v="2"/>
    <d v="2023-11-15T00:00:00"/>
    <d v="1899-12-30T00:00:00"/>
    <n v="-76.642595760000006"/>
    <n v="3.3490348440000002"/>
    <n v="8"/>
    <s v="Izquierdo"/>
    <s v="Alvaro Fierro"/>
    <m/>
    <n v="1"/>
    <n v="0"/>
    <n v="19"/>
    <s v=""/>
    <n v="23.5"/>
    <s v="Hojas y/o Ramas"/>
    <s v="Bosque Secundario"/>
    <m/>
    <x v="3"/>
    <m/>
    <n v="1"/>
    <m/>
    <m/>
    <m/>
    <m/>
    <m/>
    <m/>
    <m/>
    <n v="-76.642349999999993"/>
    <n v="3.3494999999999999"/>
    <m/>
    <m/>
    <m/>
    <m/>
    <m/>
    <m/>
    <m/>
    <m/>
    <s v="Herbaceo 0.3-1.5 m"/>
    <s v="Observacion"/>
    <m/>
  </r>
  <r>
    <x v="6"/>
    <x v="3"/>
    <x v="16"/>
    <s v="FCACT5"/>
    <x v="0"/>
    <d v="2023-11-22T00:00:00"/>
    <d v="1899-12-30T00:00:00"/>
    <n v="-76.880200000000002"/>
    <n v="3.5768"/>
    <n v="8"/>
    <s v="Derecho"/>
    <s v="Danny Mora"/>
    <n v="712"/>
    <n v="1"/>
    <n v="0"/>
    <n v="25"/>
    <s v=""/>
    <n v="3.5"/>
    <s v="Hojarasca"/>
    <s v="Bosque Primario"/>
    <m/>
    <x v="29"/>
    <m/>
    <n v="1"/>
    <m/>
    <m/>
    <m/>
    <m/>
    <m/>
    <m/>
    <m/>
    <n v="-76.879900000000006"/>
    <n v="3.5767000000000002"/>
    <m/>
    <m/>
    <m/>
    <m/>
    <m/>
    <m/>
    <m/>
    <m/>
    <s v="Rasante &lt;0.3 m"/>
    <s v="Observacion"/>
    <m/>
  </r>
  <r>
    <x v="6"/>
    <x v="3"/>
    <x v="16"/>
    <s v="FCACT5"/>
    <x v="0"/>
    <d v="2023-11-22T00:00:00"/>
    <d v="1899-12-30T00:00:00"/>
    <n v="-76.880417850000001"/>
    <n v="3.576938942"/>
    <n v="8"/>
    <s v="Izquierdo"/>
    <s v="Danny Mora"/>
    <n v="702"/>
    <n v="1"/>
    <n v="0"/>
    <n v="21"/>
    <s v=""/>
    <n v="5"/>
    <s v="Hojas y/o Ramas"/>
    <s v="Bosque Primario"/>
    <m/>
    <x v="28"/>
    <m/>
    <n v="1"/>
    <m/>
    <m/>
    <m/>
    <m/>
    <m/>
    <m/>
    <m/>
    <n v="-76.880228329999994"/>
    <n v="3.5766466669999999"/>
    <m/>
    <m/>
    <m/>
    <m/>
    <m/>
    <m/>
    <m/>
    <m/>
    <s v="Herbaceo 0.3-1.5 m"/>
    <s v="Auditivo"/>
    <m/>
  </r>
  <r>
    <x v="6"/>
    <x v="3"/>
    <x v="16"/>
    <s v="FCACT6"/>
    <x v="1"/>
    <d v="2023-11-22T00:00:00"/>
    <d v="1899-12-30T00:00:00"/>
    <n v="-76.880713290000003"/>
    <n v="3.5779644660000001"/>
    <n v="8"/>
    <m/>
    <m/>
    <m/>
    <n v="0"/>
    <n v="0"/>
    <n v="17.5"/>
    <n v="4"/>
    <n v="5"/>
    <m/>
    <m/>
    <m/>
    <x v="0"/>
    <m/>
    <n v="0"/>
    <m/>
    <m/>
    <m/>
    <m/>
    <m/>
    <m/>
    <m/>
    <n v="-76.880525000000006"/>
    <n v="3.577683333"/>
    <m/>
    <m/>
    <m/>
    <m/>
    <m/>
    <m/>
    <m/>
    <m/>
    <m/>
    <m/>
    <m/>
  </r>
  <r>
    <x v="6"/>
    <x v="3"/>
    <x v="16"/>
    <s v="FCACT8"/>
    <x v="3"/>
    <d v="2023-11-22T00:00:00"/>
    <d v="1899-12-30T10:34:28"/>
    <n v="-76.880606670000006"/>
    <n v="3.5793733329999999"/>
    <n v="8"/>
    <s v="Izquierdo"/>
    <s v="Danny Mora"/>
    <n v="758"/>
    <n v="1"/>
    <n v="0"/>
    <n v="23"/>
    <s v=""/>
    <n v="27.5"/>
    <s v="Hojarasca"/>
    <s v="Bosque Primario"/>
    <m/>
    <x v="14"/>
    <m/>
    <n v="1"/>
    <m/>
    <m/>
    <m/>
    <m/>
    <m/>
    <m/>
    <m/>
    <n v="-76.880409999999998"/>
    <n v="3.5789183329999998"/>
    <m/>
    <m/>
    <m/>
    <m/>
    <m/>
    <m/>
    <m/>
    <m/>
    <s v="Rasante &lt;0.3 m"/>
    <s v="Auditivo"/>
    <m/>
  </r>
  <r>
    <x v="6"/>
    <x v="3"/>
    <x v="16"/>
    <s v="FCACT8"/>
    <x v="3"/>
    <d v="2023-11-22T00:00:00"/>
    <d v="1899-12-30T10:37:39"/>
    <n v="-76.88063167"/>
    <n v="3.579615"/>
    <n v="8"/>
    <s v="Izquierdo"/>
    <s v="Danny Mora"/>
    <n v="758"/>
    <n v="1"/>
    <n v="0"/>
    <n v="23"/>
    <s v=""/>
    <n v="27.5"/>
    <s v="Hojarasca"/>
    <s v="Bosque Primario"/>
    <m/>
    <x v="14"/>
    <m/>
    <n v="1"/>
    <m/>
    <m/>
    <m/>
    <m/>
    <m/>
    <m/>
    <m/>
    <n v="-76.880409999999998"/>
    <n v="3.5789183329999998"/>
    <m/>
    <m/>
    <m/>
    <m/>
    <m/>
    <m/>
    <m/>
    <m/>
    <s v="Rasante &lt;0.3 m"/>
    <s v="Observacion"/>
    <m/>
  </r>
  <r>
    <x v="6"/>
    <x v="3"/>
    <x v="16"/>
    <s v="FCACT8"/>
    <x v="3"/>
    <d v="2023-11-22T00:00:00"/>
    <d v="1899-12-30T10:36:01"/>
    <n v="-76.880624999999995"/>
    <n v="3.5794433329999999"/>
    <n v="8"/>
    <s v="Izquierdo"/>
    <s v="Otro"/>
    <n v="758"/>
    <n v="1"/>
    <n v="0"/>
    <n v="23"/>
    <s v=""/>
    <n v="27.5"/>
    <s v="Hojarasca"/>
    <s v="Bosque Primario"/>
    <m/>
    <x v="14"/>
    <m/>
    <n v="1"/>
    <m/>
    <m/>
    <m/>
    <m/>
    <m/>
    <m/>
    <m/>
    <n v="-76.880409999999998"/>
    <n v="3.5789183329999998"/>
    <m/>
    <m/>
    <m/>
    <m/>
    <m/>
    <m/>
    <m/>
    <m/>
    <s v="Rasante &lt;0.3 m"/>
    <s v="Observacion"/>
    <m/>
  </r>
  <r>
    <x v="6"/>
    <x v="3"/>
    <x v="16"/>
    <s v="FCACT8"/>
    <x v="3"/>
    <d v="2023-11-22T00:00:00"/>
    <d v="1899-12-30T10:30:56"/>
    <n v="-76.880481669999995"/>
    <n v="3.5791116669999998"/>
    <n v="8"/>
    <s v="Derecho"/>
    <s v="Otro"/>
    <n v="761"/>
    <n v="1"/>
    <n v="0"/>
    <n v="23"/>
    <s v=""/>
    <n v="27.5"/>
    <s v="Hojarasca"/>
    <s v="Bosque Primario"/>
    <m/>
    <x v="14"/>
    <m/>
    <n v="1"/>
    <m/>
    <m/>
    <m/>
    <m/>
    <m/>
    <m/>
    <m/>
    <n v="-76.880409999999998"/>
    <n v="3.5789183329999998"/>
    <m/>
    <m/>
    <m/>
    <m/>
    <m/>
    <m/>
    <m/>
    <m/>
    <s v="Rasante &lt;0.3 m"/>
    <s v="Auditivo"/>
    <m/>
  </r>
  <r>
    <x v="6"/>
    <x v="3"/>
    <x v="13"/>
    <s v="FCADT18"/>
    <x v="0"/>
    <d v="2023-11-21T00:00:00"/>
    <d v="1899-12-30T00:00:00"/>
    <n v="-76.878399999999999"/>
    <n v="3.5434000000000001"/>
    <n v="8"/>
    <s v="Izquierdo"/>
    <s v="Otro"/>
    <n v="434"/>
    <n v="0"/>
    <n v="1"/>
    <n v="16"/>
    <n v="3"/>
    <n v="6"/>
    <s v="Hojas y/o Ramas"/>
    <s v="Bosque ribereño"/>
    <m/>
    <x v="15"/>
    <m/>
    <n v="1"/>
    <m/>
    <m/>
    <m/>
    <m/>
    <m/>
    <m/>
    <m/>
    <n v="-76.878"/>
    <n v="3.5440999999999998"/>
    <m/>
    <m/>
    <m/>
    <m/>
    <m/>
    <m/>
    <m/>
    <m/>
    <s v="Rasante &lt;0.3 m"/>
    <s v="Auditivo"/>
    <m/>
  </r>
  <r>
    <x v="6"/>
    <x v="3"/>
    <x v="13"/>
    <s v="FCADT18"/>
    <x v="0"/>
    <d v="2023-11-21T00:00:00"/>
    <d v="1899-12-30T00:00:00"/>
    <n v="-76.878399999999999"/>
    <n v="3.5436000000000001"/>
    <n v="8"/>
    <s v="Derecho"/>
    <s v="Otro"/>
    <n v="434"/>
    <n v="0"/>
    <n v="1"/>
    <n v="16"/>
    <n v="3"/>
    <n v="6"/>
    <s v="Hojas y/o Ramas"/>
    <s v="Bosque ribereño"/>
    <m/>
    <x v="21"/>
    <m/>
    <n v="1"/>
    <m/>
    <m/>
    <m/>
    <m/>
    <m/>
    <m/>
    <m/>
    <n v="-76.878"/>
    <n v="3.5440999999999998"/>
    <m/>
    <m/>
    <m/>
    <m/>
    <m/>
    <m/>
    <m/>
    <m/>
    <s v="Herbaceo 0.3-1.5 m"/>
    <s v="Observacion"/>
    <m/>
  </r>
  <r>
    <x v="6"/>
    <x v="3"/>
    <x v="13"/>
    <s v="FCADT18"/>
    <x v="0"/>
    <d v="2023-11-21T00:00:00"/>
    <d v="1899-12-30T00:00:00"/>
    <n v="-76.878399999999999"/>
    <n v="3.5434999999999999"/>
    <n v="8"/>
    <s v="Izquierdo"/>
    <s v="Otro"/>
    <n v="434"/>
    <n v="0"/>
    <n v="1"/>
    <n v="16"/>
    <n v="3"/>
    <n v="6"/>
    <s v="Rio"/>
    <s v="Bosque ribereño"/>
    <m/>
    <x v="29"/>
    <m/>
    <n v="1"/>
    <m/>
    <m/>
    <m/>
    <m/>
    <m/>
    <m/>
    <m/>
    <n v="-76.878"/>
    <n v="3.5440999999999998"/>
    <m/>
    <m/>
    <m/>
    <m/>
    <m/>
    <m/>
    <m/>
    <m/>
    <s v="Rasante &lt;0.3 m"/>
    <s v="Observacion"/>
    <m/>
  </r>
  <r>
    <x v="6"/>
    <x v="3"/>
    <x v="13"/>
    <s v="FCADT18"/>
    <x v="0"/>
    <d v="2023-11-21T00:00:00"/>
    <d v="1899-12-30T00:00:00"/>
    <n v="-76.878500000000003"/>
    <n v="3.5432000000000001"/>
    <n v="8"/>
    <s v="Derecho"/>
    <s v="Otro"/>
    <n v="434"/>
    <n v="0"/>
    <n v="1"/>
    <n v="16"/>
    <n v="3"/>
    <n v="6"/>
    <s v="Hojas y/o Ramas"/>
    <s v="Bosque ribereño"/>
    <m/>
    <x v="21"/>
    <m/>
    <n v="1"/>
    <m/>
    <m/>
    <m/>
    <m/>
    <m/>
    <m/>
    <m/>
    <n v="-76.878"/>
    <n v="3.5440999999999998"/>
    <m/>
    <m/>
    <m/>
    <m/>
    <m/>
    <m/>
    <m/>
    <m/>
    <s v="Arbustivo 1.5-5 m"/>
    <s v="Observacion"/>
    <m/>
  </r>
  <r>
    <x v="6"/>
    <x v="3"/>
    <x v="13"/>
    <s v="FCADT18"/>
    <x v="0"/>
    <d v="2023-11-21T00:00:00"/>
    <d v="1899-12-30T00:00:00"/>
    <n v="-76.878299999999996"/>
    <n v="3.5438000000000001"/>
    <n v="8"/>
    <s v="Izquierdo"/>
    <s v="Otro"/>
    <n v="434"/>
    <n v="0"/>
    <n v="1"/>
    <n v="27.5"/>
    <n v="4.5"/>
    <n v="12.5"/>
    <s v="Hojas y/o Ramas"/>
    <s v="Bosque ribereño"/>
    <m/>
    <x v="21"/>
    <m/>
    <n v="1"/>
    <m/>
    <m/>
    <m/>
    <m/>
    <m/>
    <m/>
    <m/>
    <n v="-76.878060000000005"/>
    <n v="3.544"/>
    <m/>
    <m/>
    <m/>
    <m/>
    <m/>
    <m/>
    <m/>
    <m/>
    <s v="Arbustivo 1.5-5 m"/>
    <s v="Observacion"/>
    <m/>
  </r>
  <r>
    <x v="6"/>
    <x v="3"/>
    <x v="13"/>
    <s v="FCADT18"/>
    <x v="0"/>
    <d v="2023-11-21T00:00:00"/>
    <d v="1899-12-30T00:00:00"/>
    <n v="-76.87818"/>
    <n v="3.544"/>
    <n v="8"/>
    <s v="Derecho"/>
    <s v="Otro"/>
    <n v="434"/>
    <n v="0"/>
    <n v="1"/>
    <n v="27.5"/>
    <n v="4.5"/>
    <n v="12.5"/>
    <s v="Estanques y lagunas"/>
    <s v="Bosque ribereño"/>
    <m/>
    <x v="29"/>
    <m/>
    <n v="2"/>
    <m/>
    <m/>
    <m/>
    <m/>
    <m/>
    <m/>
    <m/>
    <n v="-76.878060000000005"/>
    <n v="3.544"/>
    <m/>
    <m/>
    <m/>
    <m/>
    <m/>
    <m/>
    <m/>
    <m/>
    <s v="Rasante &lt;0.3 m"/>
    <s v="Observacion"/>
    <m/>
  </r>
  <r>
    <x v="6"/>
    <x v="3"/>
    <x v="13"/>
    <s v="FCADT18"/>
    <x v="0"/>
    <d v="2023-11-21T00:00:00"/>
    <d v="1899-12-30T00:00:00"/>
    <n v="-76.878299999999996"/>
    <n v="3.5438999999999998"/>
    <n v="8"/>
    <s v="Derecho"/>
    <s v="Otro"/>
    <n v="434"/>
    <n v="0"/>
    <n v="1"/>
    <n v="27.5"/>
    <n v="4.5"/>
    <n v="12.5"/>
    <s v="Hojas y/o Ramas"/>
    <s v="Bosque ribereño"/>
    <m/>
    <x v="21"/>
    <m/>
    <n v="2"/>
    <m/>
    <m/>
    <m/>
    <m/>
    <m/>
    <m/>
    <m/>
    <n v="-76.878060000000005"/>
    <n v="3.544"/>
    <m/>
    <m/>
    <m/>
    <m/>
    <m/>
    <m/>
    <m/>
    <m/>
    <s v="Arbustivo 1.5-5 m"/>
    <s v="Observacion"/>
    <m/>
  </r>
  <r>
    <x v="6"/>
    <x v="3"/>
    <x v="13"/>
    <s v="FCADT18"/>
    <x v="0"/>
    <d v="2023-11-21T00:00:00"/>
    <d v="1899-12-30T00:00:00"/>
    <n v="-76.878299999999996"/>
    <n v="3.5436999999999999"/>
    <n v="8"/>
    <s v="Izquierdo"/>
    <s v="Otro"/>
    <n v="434"/>
    <n v="0"/>
    <n v="1"/>
    <n v="27.5"/>
    <n v="4.5"/>
    <n v="12.5"/>
    <s v="Rio"/>
    <s v="Bosque ribereño"/>
    <m/>
    <x v="29"/>
    <m/>
    <n v="1"/>
    <m/>
    <m/>
    <m/>
    <m/>
    <m/>
    <m/>
    <m/>
    <n v="-76.878060000000005"/>
    <n v="3.544"/>
    <m/>
    <m/>
    <m/>
    <m/>
    <m/>
    <m/>
    <m/>
    <m/>
    <s v="Rasante &lt;0.3 m"/>
    <s v="Observacion"/>
    <m/>
  </r>
  <r>
    <x v="6"/>
    <x v="3"/>
    <x v="13"/>
    <s v="FCADT18"/>
    <x v="0"/>
    <d v="2023-11-21T00:00:00"/>
    <d v="1899-12-30T00:00:00"/>
    <n v="-76.878342500000002"/>
    <n v="3.5436563950000002"/>
    <n v="8"/>
    <s v="Derecho"/>
    <s v="Otro"/>
    <n v="434"/>
    <n v="0"/>
    <n v="1"/>
    <n v="27.5"/>
    <n v="4.5"/>
    <n v="12.5"/>
    <s v="Hojas y/o Ramas"/>
    <s v="Bosque ribereño"/>
    <m/>
    <x v="29"/>
    <m/>
    <n v="1"/>
    <m/>
    <m/>
    <m/>
    <m/>
    <m/>
    <m/>
    <m/>
    <n v="-76.878060000000005"/>
    <n v="3.544"/>
    <m/>
    <m/>
    <m/>
    <m/>
    <m/>
    <m/>
    <m/>
    <m/>
    <s v="Herbaceo 0.3-1.5 m"/>
    <s v="Observacion"/>
    <m/>
  </r>
  <r>
    <x v="6"/>
    <x v="3"/>
    <x v="14"/>
    <s v="FCAAT14"/>
    <x v="3"/>
    <d v="2023-11-21T00:00:00"/>
    <d v="1899-12-30T00:00:00"/>
    <n v="-76.882499999999993"/>
    <n v="3.5528"/>
    <n v="8"/>
    <s v="Izquierdo"/>
    <s v="Otro"/>
    <m/>
    <n v="0"/>
    <n v="1"/>
    <n v="25"/>
    <n v="2.25"/>
    <n v="0"/>
    <s v="Hojarasca"/>
    <s v="Bosque ribereño"/>
    <m/>
    <x v="20"/>
    <m/>
    <n v="1"/>
    <m/>
    <m/>
    <m/>
    <m/>
    <m/>
    <m/>
    <m/>
    <n v="-76.882599999999996"/>
    <n v="3.5525000000000002"/>
    <m/>
    <m/>
    <m/>
    <m/>
    <m/>
    <m/>
    <m/>
    <m/>
    <s v="Rasante &lt;0.3 m"/>
    <s v="Auditivo"/>
    <m/>
  </r>
  <r>
    <x v="6"/>
    <x v="3"/>
    <x v="14"/>
    <s v="FCAAT14"/>
    <x v="3"/>
    <d v="2023-11-21T00:00:00"/>
    <d v="1899-12-30T00:00:00"/>
    <n v="-76.882544330000002"/>
    <n v="3.5526869849999998"/>
    <n v="8"/>
    <s v="Izquierdo"/>
    <s v="Otro"/>
    <m/>
    <n v="0"/>
    <n v="1"/>
    <n v="25"/>
    <n v="2.25"/>
    <n v="0"/>
    <s v="Hojas y/o Ramas"/>
    <s v="Bosque ribereño"/>
    <m/>
    <x v="21"/>
    <m/>
    <n v="1"/>
    <m/>
    <m/>
    <m/>
    <m/>
    <m/>
    <m/>
    <m/>
    <n v="-76.882599999999996"/>
    <n v="3.5525000000000002"/>
    <m/>
    <m/>
    <m/>
    <m/>
    <m/>
    <m/>
    <m/>
    <m/>
    <s v="Arbustivo 1.5-5 m"/>
    <s v="Observacion"/>
    <m/>
  </r>
  <r>
    <x v="6"/>
    <x v="3"/>
    <x v="14"/>
    <s v="FCAAT14"/>
    <x v="3"/>
    <d v="2023-11-24T00:00:00"/>
    <d v="1899-12-30T00:00:00"/>
    <n v="-76.882599999999996"/>
    <n v="3.5527000000000002"/>
    <n v="8"/>
    <s v="Derecho"/>
    <m/>
    <n v="598"/>
    <n v="0"/>
    <n v="1"/>
    <n v="17.5"/>
    <n v="1.5"/>
    <n v="3.5"/>
    <s v="Bajo troncos o piedras"/>
    <s v="Bosque ribereño"/>
    <m/>
    <x v="29"/>
    <m/>
    <n v="1"/>
    <m/>
    <m/>
    <m/>
    <m/>
    <m/>
    <m/>
    <m/>
    <n v="-76.882499999999993"/>
    <n v="3.5526"/>
    <m/>
    <m/>
    <m/>
    <m/>
    <m/>
    <m/>
    <m/>
    <m/>
    <s v="Rasante &lt;0.3 m"/>
    <s v="Observacion"/>
    <m/>
  </r>
  <r>
    <x v="6"/>
    <x v="3"/>
    <x v="14"/>
    <s v="FCAAT14"/>
    <x v="3"/>
    <d v="2023-11-24T00:00:00"/>
    <d v="1899-12-30T00:00:00"/>
    <n v="-76.882599999999996"/>
    <n v="3.5527000000000002"/>
    <n v="8"/>
    <s v="Izquierdo"/>
    <m/>
    <n v="598"/>
    <n v="0"/>
    <n v="1"/>
    <n v="17.5"/>
    <n v="1.5"/>
    <n v="3.5"/>
    <s v="Bajo troncos o piedras"/>
    <s v="Bosque ribereño"/>
    <m/>
    <x v="29"/>
    <m/>
    <n v="1"/>
    <m/>
    <m/>
    <m/>
    <m/>
    <m/>
    <m/>
    <m/>
    <n v="-76.882499999999993"/>
    <n v="3.5526"/>
    <m/>
    <m/>
    <m/>
    <m/>
    <m/>
    <m/>
    <m/>
    <m/>
    <s v="Rasante &lt;0.3 m"/>
    <s v="Observacion"/>
    <m/>
  </r>
  <r>
    <x v="6"/>
    <x v="3"/>
    <x v="13"/>
    <s v="FCADT18"/>
    <x v="0"/>
    <d v="2023-11-24T00:00:00"/>
    <d v="1899-12-30T00:00:00"/>
    <n v="-76.878500000000003"/>
    <n v="3.5438000000000001"/>
    <n v="8"/>
    <s v="Derecho"/>
    <m/>
    <n v="590"/>
    <n v="0"/>
    <n v="1"/>
    <n v="27.5"/>
    <n v="4.5"/>
    <n v="12.5"/>
    <s v="Bajo troncos o piedras"/>
    <s v="Bosque ribereño"/>
    <m/>
    <x v="29"/>
    <m/>
    <n v="4"/>
    <m/>
    <m/>
    <m/>
    <m/>
    <m/>
    <m/>
    <m/>
    <n v="-76.878060000000005"/>
    <n v="3.544"/>
    <m/>
    <m/>
    <m/>
    <m/>
    <m/>
    <m/>
    <m/>
    <m/>
    <s v="Rasante &lt;0.3 m"/>
    <s v="Observacion"/>
    <m/>
  </r>
  <r>
    <x v="6"/>
    <x v="3"/>
    <x v="13"/>
    <s v="FCADT18"/>
    <x v="0"/>
    <d v="2023-11-24T00:00:00"/>
    <d v="1899-12-30T00:00:00"/>
    <n v="-76.878299999999996"/>
    <n v="3.5436999999999999"/>
    <n v="8"/>
    <s v="Izquierdo"/>
    <m/>
    <n v="590"/>
    <n v="0"/>
    <n v="1"/>
    <n v="27.5"/>
    <n v="4.5"/>
    <n v="12.5"/>
    <s v="Bajo troncos o piedras"/>
    <s v="Bosque ribereño"/>
    <m/>
    <x v="29"/>
    <m/>
    <n v="1"/>
    <m/>
    <m/>
    <m/>
    <m/>
    <m/>
    <m/>
    <m/>
    <n v="-76.878060000000005"/>
    <n v="3.544"/>
    <m/>
    <m/>
    <m/>
    <m/>
    <m/>
    <m/>
    <m/>
    <m/>
    <s v="Rasante &lt;0.3 m"/>
    <s v="Observacion"/>
    <m/>
  </r>
  <r>
    <x v="6"/>
    <x v="3"/>
    <x v="13"/>
    <s v="FCADT18"/>
    <x v="0"/>
    <d v="2023-11-24T00:00:00"/>
    <d v="1899-12-30T00:00:00"/>
    <n v="-76.878299999999996"/>
    <n v="3.5436000000000001"/>
    <n v="8"/>
    <s v="Izquierdo"/>
    <m/>
    <n v="590"/>
    <n v="0"/>
    <n v="1"/>
    <n v="27.5"/>
    <n v="4.5"/>
    <n v="12.5"/>
    <s v="Bajo troncos o piedras"/>
    <s v="Bosque ribereño"/>
    <m/>
    <x v="29"/>
    <m/>
    <n v="8"/>
    <m/>
    <m/>
    <m/>
    <m/>
    <m/>
    <m/>
    <m/>
    <n v="-76.878060000000005"/>
    <n v="3.544"/>
    <m/>
    <m/>
    <m/>
    <m/>
    <m/>
    <m/>
    <m/>
    <m/>
    <s v="Rasante &lt;0.3 m"/>
    <s v="Observacion"/>
    <m/>
  </r>
  <r>
    <x v="6"/>
    <x v="3"/>
    <x v="21"/>
    <s v="FCAFT30"/>
    <x v="4"/>
    <d v="2023-11-23T00:00:00"/>
    <d v="1899-12-30T00:00:00"/>
    <n v="-76.880799999999994"/>
    <n v="3.5960000000000001"/>
    <n v="8"/>
    <s v="Izquierdo"/>
    <m/>
    <n v="512"/>
    <n v="1"/>
    <n v="0"/>
    <n v="30"/>
    <s v=""/>
    <n v="12.5"/>
    <s v="Bajo troncos o piedras"/>
    <s v="Bosque Primario"/>
    <m/>
    <x v="49"/>
    <m/>
    <n v="1"/>
    <m/>
    <m/>
    <s v="Vías"/>
    <m/>
    <m/>
    <m/>
    <m/>
    <n v="-76.880700000000004"/>
    <n v="3.5962000000000001"/>
    <m/>
    <m/>
    <m/>
    <m/>
    <m/>
    <m/>
    <m/>
    <m/>
    <s v="Rasante &lt;0.3 m"/>
    <s v="Observacion"/>
    <m/>
  </r>
  <r>
    <x v="6"/>
    <x v="3"/>
    <x v="12"/>
    <s v="FCABT2"/>
    <x v="1"/>
    <d v="2023-11-23T00:00:00"/>
    <d v="1899-12-30T00:00:00"/>
    <n v="-76.892063329999999"/>
    <n v="3.595215"/>
    <n v="8"/>
    <m/>
    <m/>
    <m/>
    <n v="0"/>
    <n v="0"/>
    <n v="22.5"/>
    <s v=""/>
    <n v="17.5"/>
    <m/>
    <m/>
    <m/>
    <x v="0"/>
    <m/>
    <n v="0"/>
    <m/>
    <m/>
    <m/>
    <m/>
    <m/>
    <m/>
    <m/>
    <n v="-76.892600000000002"/>
    <n v="3.5958999999999999"/>
    <m/>
    <m/>
    <m/>
    <m/>
    <m/>
    <m/>
    <m/>
    <m/>
    <m/>
    <m/>
    <m/>
  </r>
  <r>
    <x v="6"/>
    <x v="2"/>
    <x v="9"/>
    <s v="FCCAT1"/>
    <x v="0"/>
    <d v="2023-11-14T00:00:00"/>
    <d v="1899-12-30T00:00:00"/>
    <n v="-76.647300000000001"/>
    <n v="3.3481999999999998"/>
    <n v="8"/>
    <m/>
    <m/>
    <m/>
    <n v="0"/>
    <n v="0"/>
    <n v="14"/>
    <n v="1"/>
    <n v="6"/>
    <m/>
    <m/>
    <m/>
    <x v="0"/>
    <m/>
    <n v="0"/>
    <m/>
    <m/>
    <m/>
    <m/>
    <m/>
    <m/>
    <m/>
    <n v="-76.647099999999995"/>
    <n v="3.3489499999999999"/>
    <m/>
    <m/>
    <m/>
    <m/>
    <m/>
    <m/>
    <m/>
    <m/>
    <m/>
    <m/>
    <m/>
  </r>
  <r>
    <x v="6"/>
    <x v="3"/>
    <x v="15"/>
    <s v="FCAAT15"/>
    <x v="0"/>
    <d v="2023-11-21T00:00:00"/>
    <d v="1899-12-30T00:00:00"/>
    <n v="-76.890325000000004"/>
    <n v="3.5508683329999999"/>
    <n v="8"/>
    <s v="Derecho"/>
    <s v="Otro"/>
    <m/>
    <n v="0"/>
    <n v="1"/>
    <n v="15"/>
    <s v=""/>
    <n v="7.5"/>
    <s v="Hojas y/o Ramas"/>
    <s v="Bosque ribereño"/>
    <m/>
    <x v="21"/>
    <m/>
    <n v="3"/>
    <m/>
    <m/>
    <m/>
    <m/>
    <m/>
    <m/>
    <m/>
    <n v="-76.8904"/>
    <n v="3.5510000000000002"/>
    <m/>
    <m/>
    <m/>
    <m/>
    <m/>
    <m/>
    <m/>
    <m/>
    <s v="Herbaceo 0.3-1.5 m"/>
    <s v="Auditivo"/>
    <m/>
  </r>
  <r>
    <x v="6"/>
    <x v="3"/>
    <x v="15"/>
    <s v="FCAAT15"/>
    <x v="0"/>
    <d v="2023-11-21T00:00:00"/>
    <d v="1899-12-30T00:00:00"/>
    <n v="-76.890325000000004"/>
    <n v="3.5508683329999999"/>
    <n v="8"/>
    <s v="Derecho"/>
    <s v="Otro"/>
    <m/>
    <n v="0"/>
    <n v="1"/>
    <n v="15"/>
    <s v=""/>
    <n v="7.5"/>
    <s v="Rio"/>
    <s v="Bosque ribereño"/>
    <m/>
    <x v="30"/>
    <m/>
    <n v="1"/>
    <m/>
    <m/>
    <m/>
    <m/>
    <m/>
    <m/>
    <m/>
    <n v="-76.8904"/>
    <n v="3.5510000000000002"/>
    <m/>
    <m/>
    <m/>
    <m/>
    <m/>
    <m/>
    <m/>
    <m/>
    <s v="Herbaceo 0.3-1.5 m"/>
    <s v="Observacion"/>
    <m/>
  </r>
  <r>
    <x v="6"/>
    <x v="3"/>
    <x v="13"/>
    <s v="FCADT19"/>
    <x v="1"/>
    <d v="2023-11-24T00:00:00"/>
    <d v="1899-12-30T00:00:00"/>
    <n v="-76.87715"/>
    <n v="3.5433366670000002"/>
    <n v="8"/>
    <m/>
    <m/>
    <m/>
    <n v="0"/>
    <n v="0"/>
    <n v="32.5"/>
    <s v=""/>
    <n v="22.5"/>
    <m/>
    <m/>
    <m/>
    <x v="0"/>
    <m/>
    <n v="0"/>
    <m/>
    <m/>
    <s v="Vías"/>
    <m/>
    <m/>
    <m/>
    <m/>
    <n v="-76.877899999999997"/>
    <n v="3.544"/>
    <m/>
    <m/>
    <m/>
    <m/>
    <m/>
    <m/>
    <m/>
    <m/>
    <m/>
    <m/>
    <m/>
  </r>
  <r>
    <x v="6"/>
    <x v="3"/>
    <x v="21"/>
    <s v="FCAFT27"/>
    <x v="1"/>
    <d v="2023-11-23T00:00:00"/>
    <d v="1899-12-30T00:00:00"/>
    <n v="-76.8827"/>
    <n v="3.5903"/>
    <n v="8"/>
    <s v="Derecho"/>
    <m/>
    <n v="683"/>
    <n v="0"/>
    <n v="1"/>
    <e v="#DIV/0!"/>
    <s v=""/>
    <s v=""/>
    <s v="Hojas y/o Ramas"/>
    <s v="Bosque ribereño"/>
    <m/>
    <x v="30"/>
    <m/>
    <n v="1"/>
    <m/>
    <m/>
    <m/>
    <m/>
    <m/>
    <m/>
    <m/>
    <m/>
    <m/>
    <m/>
    <m/>
    <m/>
    <m/>
    <m/>
    <m/>
    <m/>
    <m/>
    <s v="Herbaceo 0.3-1.5 m"/>
    <s v="Auditivo"/>
    <m/>
  </r>
  <r>
    <x v="6"/>
    <x v="3"/>
    <x v="21"/>
    <s v="FCAFT27"/>
    <x v="1"/>
    <d v="2023-11-23T00:00:00"/>
    <d v="1899-12-30T00:00:00"/>
    <n v="-76.8827"/>
    <n v="3.5903"/>
    <n v="8"/>
    <s v="Izquierdo"/>
    <m/>
    <n v="683"/>
    <n v="0"/>
    <n v="1"/>
    <n v="27.5"/>
    <n v="1.25"/>
    <n v="45"/>
    <s v="Hojas y/o Ramas"/>
    <s v="Bosque ribereño"/>
    <m/>
    <x v="31"/>
    <m/>
    <n v="1"/>
    <m/>
    <m/>
    <m/>
    <m/>
    <m/>
    <m/>
    <m/>
    <n v="-76.882599999999996"/>
    <n v="3.5905999999999998"/>
    <m/>
    <m/>
    <m/>
    <m/>
    <m/>
    <m/>
    <m/>
    <m/>
    <s v="Herbaceo 0.3-1.5 m"/>
    <s v="Auditivo"/>
    <m/>
  </r>
  <r>
    <x v="6"/>
    <x v="2"/>
    <x v="19"/>
    <s v="FCCBT9"/>
    <x v="1"/>
    <d v="2023-11-15T00:00:00"/>
    <d v="1899-12-30T00:00:00"/>
    <n v="-76.640676099999993"/>
    <n v="3.3500424560000002"/>
    <n v="8"/>
    <s v="Izquierdo"/>
    <s v="Otro"/>
    <m/>
    <n v="1"/>
    <n v="0"/>
    <n v="15"/>
    <s v=""/>
    <n v="3.5"/>
    <s v="Hojas y/o Ramas"/>
    <s v="Bosque Primario"/>
    <m/>
    <x v="3"/>
    <m/>
    <n v="1"/>
    <m/>
    <m/>
    <m/>
    <m/>
    <m/>
    <m/>
    <m/>
    <n v="-76.640500000000003"/>
    <n v="3.3503500000000002"/>
    <m/>
    <m/>
    <m/>
    <m/>
    <m/>
    <m/>
    <m/>
    <m/>
    <s v="Herbaceo 0.3-1.5 m"/>
    <s v="Observacion"/>
    <m/>
  </r>
  <r>
    <x v="6"/>
    <x v="2"/>
    <x v="19"/>
    <s v="FCCBT9"/>
    <x v="1"/>
    <d v="2023-11-15T00:00:00"/>
    <d v="1899-12-30T00:00:00"/>
    <n v="-76.640900000000002"/>
    <n v="3.35"/>
    <n v="8"/>
    <s v="Derecho"/>
    <s v="Alvaro Fierro"/>
    <m/>
    <n v="1"/>
    <n v="0"/>
    <n v="15"/>
    <s v=""/>
    <n v="3.5"/>
    <s v="Hojas y/o Ramas"/>
    <s v="Bosque Primario"/>
    <m/>
    <x v="3"/>
    <m/>
    <n v="1"/>
    <m/>
    <m/>
    <m/>
    <m/>
    <m/>
    <m/>
    <m/>
    <n v="-76.640500000000003"/>
    <n v="3.3503500000000002"/>
    <m/>
    <m/>
    <m/>
    <m/>
    <m/>
    <m/>
    <m/>
    <m/>
    <s v="Herbaceo 0.3-1.5 m"/>
    <s v="Observacion"/>
    <m/>
  </r>
  <r>
    <x v="6"/>
    <x v="2"/>
    <x v="19"/>
    <s v="FCCBT9"/>
    <x v="1"/>
    <d v="2023-11-15T00:00:00"/>
    <d v="1899-12-30T00:00:00"/>
    <n v="-76.640600000000006"/>
    <n v="3.3502000000000001"/>
    <n v="8"/>
    <s v="Derecho"/>
    <s v="Alvaro Fierro"/>
    <m/>
    <n v="1"/>
    <n v="0"/>
    <n v="15"/>
    <s v=""/>
    <n v="3.5"/>
    <m/>
    <s v="Bosque Primario"/>
    <m/>
    <x v="3"/>
    <m/>
    <n v="2"/>
    <m/>
    <m/>
    <m/>
    <m/>
    <m/>
    <m/>
    <m/>
    <n v="-76.640500000000003"/>
    <n v="3.3503500000000002"/>
    <m/>
    <m/>
    <m/>
    <m/>
    <m/>
    <m/>
    <m/>
    <m/>
    <m/>
    <s v="Auditivo"/>
    <m/>
  </r>
  <r>
    <x v="6"/>
    <x v="2"/>
    <x v="19"/>
    <s v="FCCBT9"/>
    <x v="1"/>
    <d v="2023-11-15T00:00:00"/>
    <d v="1899-12-30T00:00:00"/>
    <n v="-76.640799999999999"/>
    <n v="3.35"/>
    <n v="8"/>
    <s v="Derecho"/>
    <s v="Alvaro Fierro"/>
    <m/>
    <n v="1"/>
    <n v="0"/>
    <n v="15"/>
    <s v=""/>
    <n v="3.5"/>
    <s v="Hojas y/o Ramas"/>
    <s v="Bosque Primario"/>
    <m/>
    <x v="3"/>
    <m/>
    <n v="1"/>
    <m/>
    <m/>
    <m/>
    <m/>
    <m/>
    <m/>
    <m/>
    <n v="-76.640500000000003"/>
    <n v="3.3503500000000002"/>
    <m/>
    <m/>
    <m/>
    <m/>
    <m/>
    <m/>
    <m/>
    <m/>
    <s v="Herbaceo 0.3-1.5 m"/>
    <s v="Observacion"/>
    <m/>
  </r>
  <r>
    <x v="6"/>
    <x v="3"/>
    <x v="14"/>
    <s v="FCAAT11"/>
    <x v="0"/>
    <d v="2023-11-24T00:00:00"/>
    <d v="1899-12-30T00:00:00"/>
    <n v="-76.881100000000004"/>
    <n v="3.5527000000000002"/>
    <n v="8"/>
    <s v="Derecho"/>
    <s v="Danny Mora"/>
    <n v="598"/>
    <n v="1"/>
    <n v="0"/>
    <n v="20"/>
    <s v=""/>
    <n v="15"/>
    <s v="Hojas y/o Ramas"/>
    <s v="Bosque Primario"/>
    <m/>
    <x v="48"/>
    <m/>
    <n v="1"/>
    <m/>
    <m/>
    <m/>
    <m/>
    <m/>
    <m/>
    <m/>
    <n v="-76.880600000000001"/>
    <n v="3.5528"/>
    <m/>
    <m/>
    <m/>
    <m/>
    <m/>
    <m/>
    <m/>
    <m/>
    <s v="Rasante &lt;0.3 m"/>
    <s v="Auditivo"/>
    <m/>
  </r>
  <r>
    <x v="6"/>
    <x v="3"/>
    <x v="14"/>
    <s v="FCAAT11"/>
    <x v="0"/>
    <d v="2023-11-24T00:00:00"/>
    <d v="1899-12-30T00:00:00"/>
    <n v="-76.881399999999999"/>
    <n v="3.5527000000000002"/>
    <n v="8"/>
    <s v="Izquierdo"/>
    <s v="Danny Mora"/>
    <n v="598"/>
    <n v="1"/>
    <n v="0"/>
    <n v="20"/>
    <s v=""/>
    <n v="15"/>
    <s v="Bajo troncos o piedras"/>
    <s v="Bosque Primario"/>
    <m/>
    <x v="29"/>
    <m/>
    <n v="1"/>
    <m/>
    <m/>
    <s v="Vías"/>
    <m/>
    <m/>
    <m/>
    <m/>
    <n v="-76.880600000000001"/>
    <n v="3.5528"/>
    <m/>
    <m/>
    <m/>
    <m/>
    <m/>
    <m/>
    <m/>
    <m/>
    <s v="Rasante &lt;0.3 m"/>
    <s v="Auditivo"/>
    <m/>
  </r>
  <r>
    <x v="6"/>
    <x v="3"/>
    <x v="21"/>
    <s v="FCAFT29"/>
    <x v="3"/>
    <d v="2023-11-23T00:00:00"/>
    <d v="1899-12-30T21:12:02"/>
    <n v="-76.880700000000004"/>
    <n v="3.5962999999999998"/>
    <n v="8"/>
    <s v="Derecho"/>
    <m/>
    <n v="559"/>
    <n v="0"/>
    <n v="1"/>
    <n v="21"/>
    <n v="1"/>
    <n v="30"/>
    <s v="Hojas y/o Ramas"/>
    <s v="Bosque ribereño"/>
    <m/>
    <x v="31"/>
    <m/>
    <n v="1"/>
    <m/>
    <m/>
    <m/>
    <m/>
    <m/>
    <m/>
    <m/>
    <n v="-76.880499999999998"/>
    <n v="3.5960999999999999"/>
    <m/>
    <m/>
    <m/>
    <m/>
    <m/>
    <m/>
    <m/>
    <m/>
    <s v="Herbaceo 0.3-1.5 m"/>
    <s v="Observacion"/>
    <m/>
  </r>
  <r>
    <x v="6"/>
    <x v="3"/>
    <x v="21"/>
    <s v="FCAFT29"/>
    <x v="3"/>
    <d v="2023-11-23T00:00:00"/>
    <d v="1899-12-30T21:12:02"/>
    <n v="-76.880899999999997"/>
    <n v="3.5962999999999998"/>
    <n v="8"/>
    <s v="Izquierdo"/>
    <m/>
    <n v="559"/>
    <n v="0"/>
    <n v="1"/>
    <n v="21"/>
    <n v="1"/>
    <n v="30"/>
    <s v="Hojas y/o Ramas"/>
    <s v="Bosque ribereño"/>
    <m/>
    <x v="31"/>
    <m/>
    <n v="1"/>
    <m/>
    <m/>
    <m/>
    <m/>
    <m/>
    <m/>
    <m/>
    <n v="-76.880499999999998"/>
    <n v="3.5960999999999999"/>
    <m/>
    <m/>
    <m/>
    <m/>
    <m/>
    <m/>
    <m/>
    <m/>
    <s v="Herbaceo 0.3-1.5 m"/>
    <s v="Auditivo"/>
    <m/>
  </r>
  <r>
    <x v="6"/>
    <x v="3"/>
    <x v="21"/>
    <s v="FCAFT27"/>
    <x v="1"/>
    <d v="2023-11-23T00:00:00"/>
    <d v="1899-12-30T00:00:00"/>
    <n v="-76.883099999999999"/>
    <n v="3.5897999999999999"/>
    <n v="8"/>
    <s v="Derecho"/>
    <m/>
    <n v="492"/>
    <n v="0"/>
    <n v="1"/>
    <n v="25"/>
    <n v="1.75"/>
    <n v="37.5"/>
    <s v="Hojas y/o Ramas"/>
    <s v="Bosque ribereño"/>
    <m/>
    <x v="14"/>
    <m/>
    <n v="1"/>
    <m/>
    <m/>
    <m/>
    <m/>
    <m/>
    <m/>
    <m/>
    <n v="-76.882800000000003"/>
    <n v="3.5903092249999999"/>
    <m/>
    <m/>
    <m/>
    <m/>
    <m/>
    <m/>
    <m/>
    <m/>
    <s v="Rasante &lt;0.3 m"/>
    <s v="Observacion"/>
    <m/>
  </r>
  <r>
    <x v="6"/>
    <x v="3"/>
    <x v="16"/>
    <s v="FCACT8"/>
    <x v="3"/>
    <d v="2023-11-22T00:00:00"/>
    <d v="1899-12-30T00:00:00"/>
    <n v="-76.880499999999998"/>
    <n v="3.5794000000000001"/>
    <n v="8"/>
    <s v="Izquierdo"/>
    <m/>
    <n v="741"/>
    <n v="1"/>
    <n v="0"/>
    <n v="25"/>
    <s v=""/>
    <n v="35"/>
    <s v="Hojarasca"/>
    <s v="Bosque Primario"/>
    <m/>
    <x v="14"/>
    <m/>
    <n v="1"/>
    <m/>
    <m/>
    <m/>
    <m/>
    <m/>
    <m/>
    <m/>
    <n v="-76.880600000000001"/>
    <n v="3.5798000000000001"/>
    <m/>
    <m/>
    <m/>
    <m/>
    <m/>
    <m/>
    <m/>
    <m/>
    <s v="Rasante &lt;0.3 m"/>
    <s v="Auditivo"/>
    <m/>
  </r>
  <r>
    <x v="6"/>
    <x v="3"/>
    <x v="16"/>
    <s v="FCACT8"/>
    <x v="3"/>
    <d v="2023-11-22T00:00:00"/>
    <d v="1899-12-30T00:00:00"/>
    <n v="-76.880350469999996"/>
    <n v="3.5792999999999999"/>
    <n v="8"/>
    <s v="Derecho"/>
    <m/>
    <n v="741"/>
    <n v="1"/>
    <n v="0"/>
    <n v="25"/>
    <s v=""/>
    <n v="35"/>
    <s v="Hojarasca"/>
    <s v="Bosque Primario"/>
    <m/>
    <x v="14"/>
    <m/>
    <n v="1"/>
    <m/>
    <m/>
    <m/>
    <m/>
    <m/>
    <m/>
    <m/>
    <n v="-76.880600000000001"/>
    <n v="3.5798000000000001"/>
    <m/>
    <m/>
    <m/>
    <m/>
    <m/>
    <m/>
    <m/>
    <m/>
    <s v="Rasante &lt;0.3 m"/>
    <s v="Auditivo"/>
    <m/>
  </r>
  <r>
    <x v="6"/>
    <x v="3"/>
    <x v="16"/>
    <s v="FCACT8"/>
    <x v="3"/>
    <d v="2023-11-22T00:00:00"/>
    <d v="1899-12-30T00:00:00"/>
    <n v="-76.880600000000001"/>
    <n v="3.5796000000000001"/>
    <n v="8"/>
    <s v="Derecho"/>
    <m/>
    <n v="741"/>
    <n v="1"/>
    <n v="0"/>
    <n v="25"/>
    <s v=""/>
    <n v="35"/>
    <s v="Hojarasca"/>
    <s v="Bosque Primario"/>
    <m/>
    <x v="14"/>
    <m/>
    <n v="1"/>
    <m/>
    <m/>
    <m/>
    <m/>
    <m/>
    <m/>
    <m/>
    <n v="-76.880600000000001"/>
    <n v="3.5798000000000001"/>
    <m/>
    <m/>
    <m/>
    <m/>
    <m/>
    <m/>
    <m/>
    <m/>
    <s v="Rasante &lt;0.3 m"/>
    <s v="Auditivo"/>
    <m/>
  </r>
  <r>
    <x v="6"/>
    <x v="3"/>
    <x v="16"/>
    <s v="FCACT8"/>
    <x v="3"/>
    <d v="2023-11-22T00:00:00"/>
    <d v="1899-12-30T00:00:00"/>
    <n v="-76.880499999999998"/>
    <n v="3.5790999999999999"/>
    <n v="8"/>
    <s v="Derecho"/>
    <m/>
    <n v="741"/>
    <n v="1"/>
    <n v="0"/>
    <n v="25"/>
    <s v=""/>
    <n v="35"/>
    <s v="Hojarasca"/>
    <s v="Bosque Primario"/>
    <m/>
    <x v="14"/>
    <m/>
    <n v="1"/>
    <m/>
    <m/>
    <m/>
    <m/>
    <m/>
    <m/>
    <m/>
    <n v="-76.880600000000001"/>
    <n v="3.5798000000000001"/>
    <m/>
    <m/>
    <m/>
    <m/>
    <m/>
    <m/>
    <m/>
    <m/>
    <s v="Rasante &lt;0.3 m"/>
    <s v="Observacion"/>
    <m/>
  </r>
  <r>
    <x v="6"/>
    <x v="3"/>
    <x v="16"/>
    <s v="FCACT8"/>
    <x v="3"/>
    <d v="2023-11-22T00:00:00"/>
    <d v="1899-12-30T00:00:00"/>
    <n v="-76.880350469999996"/>
    <n v="3.5793394840000001"/>
    <n v="8"/>
    <s v="Izquierdo"/>
    <m/>
    <n v="741"/>
    <n v="1"/>
    <n v="0"/>
    <n v="25"/>
    <s v=""/>
    <n v="35"/>
    <s v="Hojarasca"/>
    <s v="Bosque Primario"/>
    <m/>
    <x v="14"/>
    <m/>
    <n v="1"/>
    <m/>
    <m/>
    <m/>
    <m/>
    <m/>
    <m/>
    <m/>
    <n v="-76.880600000000001"/>
    <n v="3.5798000000000001"/>
    <m/>
    <m/>
    <m/>
    <m/>
    <m/>
    <m/>
    <m/>
    <m/>
    <s v="Rasante &lt;0.3 m"/>
    <s v="Auditivo"/>
    <m/>
  </r>
  <r>
    <x v="6"/>
    <x v="2"/>
    <x v="10"/>
    <s v="FCCDT17"/>
    <x v="1"/>
    <d v="2023-11-16T00:00:00"/>
    <d v="1899-12-30T00:00:00"/>
    <n v="-76.656000000000006"/>
    <n v="3.3546999999999998"/>
    <n v="8"/>
    <s v="Derecho"/>
    <s v="Otro"/>
    <n v="2570"/>
    <n v="1"/>
    <n v="0"/>
    <e v="#DIV/0!"/>
    <s v=""/>
    <s v=""/>
    <s v="Hojas y/o Ramas"/>
    <s v="Bosque Secundario"/>
    <m/>
    <x v="9"/>
    <m/>
    <n v="1"/>
    <m/>
    <m/>
    <m/>
    <m/>
    <m/>
    <m/>
    <m/>
    <m/>
    <m/>
    <m/>
    <m/>
    <m/>
    <m/>
    <m/>
    <m/>
    <m/>
    <m/>
    <s v="Aéreo"/>
    <s v="Observacion"/>
    <m/>
  </r>
  <r>
    <x v="6"/>
    <x v="2"/>
    <x v="10"/>
    <s v="FCCDT17"/>
    <x v="1"/>
    <d v="2023-11-16T00:00:00"/>
    <d v="1899-12-30T00:00:00"/>
    <n v="-76.656218330000002"/>
    <n v="3.3547473220000001"/>
    <n v="8"/>
    <s v="Izquierdo"/>
    <s v="Alvaro Fierro"/>
    <n v="2570"/>
    <n v="1"/>
    <n v="0"/>
    <n v="15"/>
    <s v=""/>
    <n v="25"/>
    <m/>
    <s v="Bosque Secundario"/>
    <m/>
    <x v="9"/>
    <m/>
    <n v="2"/>
    <m/>
    <m/>
    <m/>
    <m/>
    <m/>
    <m/>
    <m/>
    <n v="-76.656499999999994"/>
    <n v="3.3551000000000002"/>
    <m/>
    <m/>
    <m/>
    <m/>
    <m/>
    <m/>
    <m/>
    <m/>
    <m/>
    <s v="Auditivo"/>
    <m/>
  </r>
  <r>
    <x v="6"/>
    <x v="3"/>
    <x v="22"/>
    <s v="FCAET25"/>
    <x v="2"/>
    <d v="2023-11-23T00:00:00"/>
    <d v="1899-12-30T00:00:00"/>
    <n v="-76.877799999999993"/>
    <n v="3.585"/>
    <n v="8"/>
    <s v="Derecho"/>
    <m/>
    <n v="559"/>
    <n v="0"/>
    <n v="1"/>
    <n v="30"/>
    <n v="1.25"/>
    <n v="10"/>
    <s v="Hojas y/o Ramas"/>
    <s v="Bosque ribereño"/>
    <m/>
    <x v="30"/>
    <m/>
    <n v="2"/>
    <m/>
    <m/>
    <m/>
    <m/>
    <m/>
    <m/>
    <m/>
    <n v="-76.877799999999993"/>
    <n v="3.5846"/>
    <m/>
    <m/>
    <m/>
    <m/>
    <m/>
    <m/>
    <m/>
    <m/>
    <s v="Rasante &lt;0.3 m"/>
    <s v="Auditivo"/>
    <m/>
  </r>
  <r>
    <x v="6"/>
    <x v="3"/>
    <x v="22"/>
    <s v="FCAET25"/>
    <x v="2"/>
    <d v="2023-11-23T00:00:00"/>
    <d v="1899-12-30T00:00:00"/>
    <n v="-76.877799999999993"/>
    <n v="3.5851999999999999"/>
    <n v="8"/>
    <s v="Izquierdo"/>
    <m/>
    <n v="559"/>
    <n v="0"/>
    <n v="1"/>
    <n v="30"/>
    <n v="1.25"/>
    <n v="10"/>
    <s v="Hojas y/o Ramas"/>
    <s v="Bosque ribereño"/>
    <m/>
    <x v="30"/>
    <m/>
    <n v="1"/>
    <m/>
    <m/>
    <m/>
    <m/>
    <m/>
    <m/>
    <m/>
    <n v="-76.877799999999993"/>
    <n v="3.5846"/>
    <m/>
    <m/>
    <m/>
    <m/>
    <m/>
    <m/>
    <m/>
    <m/>
    <s v="Herbaceo 0.3-1.5 m"/>
    <s v="Auditivo"/>
    <m/>
  </r>
  <r>
    <x v="6"/>
    <x v="3"/>
    <x v="22"/>
    <s v="FCAET25"/>
    <x v="2"/>
    <d v="2023-11-23T00:00:00"/>
    <d v="1899-12-30T00:00:00"/>
    <n v="-76.878"/>
    <n v="3.5853000000000002"/>
    <n v="8"/>
    <s v="Derecho"/>
    <m/>
    <n v="559"/>
    <n v="0"/>
    <n v="1"/>
    <n v="30"/>
    <n v="1.25"/>
    <n v="10"/>
    <s v="Hojas y/o Ramas"/>
    <s v="Bosque ribereño"/>
    <m/>
    <x v="30"/>
    <m/>
    <n v="1"/>
    <m/>
    <m/>
    <m/>
    <m/>
    <m/>
    <m/>
    <m/>
    <n v="-76.877799999999993"/>
    <n v="3.5846"/>
    <m/>
    <m/>
    <m/>
    <m/>
    <m/>
    <m/>
    <m/>
    <m/>
    <s v="Herbaceo 0.3-1.5 m"/>
    <s v="Auditivo"/>
    <m/>
  </r>
  <r>
    <x v="6"/>
    <x v="3"/>
    <x v="22"/>
    <s v="FCAET25"/>
    <x v="2"/>
    <d v="2023-11-23T00:00:00"/>
    <d v="1899-12-30T00:00:00"/>
    <n v="-76.877799999999993"/>
    <n v="3.5851000000000002"/>
    <n v="8"/>
    <s v="Derecho"/>
    <m/>
    <n v="559"/>
    <n v="0"/>
    <n v="1"/>
    <n v="30"/>
    <n v="1.25"/>
    <n v="10"/>
    <s v="Hojas y/o Ramas"/>
    <s v="Bosque ribereño"/>
    <m/>
    <x v="31"/>
    <m/>
    <n v="1"/>
    <m/>
    <m/>
    <m/>
    <m/>
    <m/>
    <m/>
    <m/>
    <n v="-76.877799999999993"/>
    <n v="3.5846"/>
    <m/>
    <m/>
    <m/>
    <m/>
    <m/>
    <m/>
    <m/>
    <m/>
    <s v="Herbaceo 0.3-1.5 m"/>
    <s v="Auditivo"/>
    <m/>
  </r>
  <r>
    <x v="6"/>
    <x v="3"/>
    <x v="14"/>
    <s v="FCAAT13"/>
    <x v="2"/>
    <d v="2023-11-21T00:00:00"/>
    <d v="1899-12-30T00:00:00"/>
    <n v="-76.882999999999996"/>
    <n v="3.5525000000000002"/>
    <n v="8"/>
    <s v="Izquierdo"/>
    <s v="Danny Mora"/>
    <n v="575"/>
    <n v="1"/>
    <n v="0"/>
    <n v="25"/>
    <s v=""/>
    <n v="5"/>
    <s v="Hojarasca"/>
    <s v="Bosque Secundario"/>
    <m/>
    <x v="29"/>
    <m/>
    <n v="1"/>
    <m/>
    <m/>
    <s v="Vías"/>
    <m/>
    <m/>
    <m/>
    <m/>
    <n v="-76.882870283451638"/>
    <n v="3.5524348450142371"/>
    <m/>
    <m/>
    <m/>
    <m/>
    <m/>
    <m/>
    <m/>
    <m/>
    <s v="Rasante &lt;0.3 m"/>
    <s v="Observacion"/>
    <m/>
  </r>
  <r>
    <x v="6"/>
    <x v="3"/>
    <x v="14"/>
    <s v="FCAAT13"/>
    <x v="2"/>
    <d v="2023-11-21T00:00:00"/>
    <d v="1899-12-30T00:00:00"/>
    <n v="-76.883099999999999"/>
    <n v="3.5525000000000002"/>
    <n v="8"/>
    <s v="Derecho"/>
    <s v="Danny Mora"/>
    <n v="575"/>
    <n v="1"/>
    <n v="0"/>
    <n v="25"/>
    <s v=""/>
    <n v="5"/>
    <s v="Hojas y/o Ramas"/>
    <s v="Bosque Secundario"/>
    <m/>
    <x v="15"/>
    <m/>
    <n v="2"/>
    <m/>
    <m/>
    <s v="Vías"/>
    <m/>
    <m/>
    <m/>
    <m/>
    <n v="-76.882870283451638"/>
    <n v="3.5524348450142371"/>
    <m/>
    <m/>
    <m/>
    <m/>
    <m/>
    <m/>
    <m/>
    <m/>
    <s v="Rasante &lt;0.3 m"/>
    <s v="Observacion"/>
    <m/>
  </r>
  <r>
    <x v="6"/>
    <x v="3"/>
    <x v="16"/>
    <s v="FCACT5"/>
    <x v="0"/>
    <d v="2023-11-22T00:00:00"/>
    <d v="1899-12-30T00:00:00"/>
    <n v="-76.880417850000001"/>
    <n v="3.576938942"/>
    <n v="8"/>
    <m/>
    <m/>
    <m/>
    <n v="0"/>
    <n v="0"/>
    <n v="21"/>
    <s v=""/>
    <n v="5"/>
    <m/>
    <m/>
    <m/>
    <x v="0"/>
    <m/>
    <n v="0"/>
    <m/>
    <m/>
    <m/>
    <m/>
    <m/>
    <m/>
    <m/>
    <n v="-76.880228329999994"/>
    <n v="3.5766466669999999"/>
    <m/>
    <m/>
    <m/>
    <m/>
    <m/>
    <m/>
    <m/>
    <m/>
    <m/>
    <m/>
    <m/>
  </r>
  <r>
    <x v="6"/>
    <x v="3"/>
    <x v="13"/>
    <s v="FCADT19"/>
    <x v="1"/>
    <d v="2023-11-21T00:00:00"/>
    <d v="1899-12-30T00:00:00"/>
    <n v="-76.878"/>
    <n v="3.5436999999999999"/>
    <n v="8"/>
    <s v="Derecho"/>
    <s v="Otro"/>
    <n v="583"/>
    <n v="1"/>
    <n v="0"/>
    <n v="20"/>
    <s v=""/>
    <n v="19"/>
    <s v="Hojas y/o Ramas"/>
    <s v="Bosque Primario"/>
    <m/>
    <x v="21"/>
    <m/>
    <n v="1"/>
    <m/>
    <m/>
    <s v="Vías"/>
    <m/>
    <m/>
    <m/>
    <m/>
    <n v="-76.877399999999994"/>
    <n v="3.5430999999999999"/>
    <m/>
    <m/>
    <m/>
    <m/>
    <m/>
    <m/>
    <m/>
    <m/>
    <s v="Arbustivo 1.5-5 m"/>
    <s v="Observacion"/>
    <m/>
  </r>
  <r>
    <x v="6"/>
    <x v="3"/>
    <x v="13"/>
    <s v="FCADT19"/>
    <x v="1"/>
    <d v="2023-11-21T00:00:00"/>
    <d v="1899-12-30T00:00:00"/>
    <n v="-76.87778788"/>
    <n v="3.5435525459999999"/>
    <n v="8"/>
    <s v="Izquierdo"/>
    <s v="Otro"/>
    <n v="583"/>
    <n v="1"/>
    <n v="0"/>
    <n v="20"/>
    <s v=""/>
    <n v="19"/>
    <s v="Hojas y/o Ramas"/>
    <s v="Bosque ribereño"/>
    <m/>
    <x v="15"/>
    <m/>
    <n v="1"/>
    <m/>
    <m/>
    <s v="Vías"/>
    <m/>
    <m/>
    <m/>
    <m/>
    <n v="-76.877399999999994"/>
    <n v="3.5430999999999999"/>
    <m/>
    <m/>
    <m/>
    <m/>
    <m/>
    <m/>
    <m/>
    <m/>
    <s v="Rasante &lt;0.3 m"/>
    <s v="Auditivo"/>
    <m/>
  </r>
  <r>
    <x v="6"/>
    <x v="3"/>
    <x v="13"/>
    <s v="FCADT19"/>
    <x v="1"/>
    <d v="2023-11-21T00:00:00"/>
    <d v="1899-12-30T00:00:00"/>
    <n v="-76.877700000000004"/>
    <n v="3.5434000000000001"/>
    <n v="8"/>
    <s v="Derecho"/>
    <s v="Otro"/>
    <n v="583"/>
    <n v="1"/>
    <n v="0"/>
    <n v="20"/>
    <s v=""/>
    <n v="19"/>
    <s v="Hojas y/o Ramas"/>
    <s v="Bosque ribereño"/>
    <m/>
    <x v="21"/>
    <m/>
    <n v="2"/>
    <m/>
    <m/>
    <m/>
    <m/>
    <m/>
    <m/>
    <m/>
    <n v="-76.877399999999994"/>
    <n v="3.5430999999999999"/>
    <m/>
    <m/>
    <m/>
    <m/>
    <m/>
    <m/>
    <m/>
    <m/>
    <s v="Herbaceo 0.3-1.5 m"/>
    <s v="Auditivo"/>
    <m/>
  </r>
  <r>
    <x v="6"/>
    <x v="3"/>
    <x v="15"/>
    <s v="FCAAT15"/>
    <x v="0"/>
    <d v="2023-11-24T00:00:00"/>
    <d v="1899-12-30T00:00:00"/>
    <n v="-76.890600000000006"/>
    <n v="3.5508999999999999"/>
    <n v="8"/>
    <s v="Izquierdo"/>
    <m/>
    <n v="648"/>
    <n v="0"/>
    <n v="1"/>
    <n v="15"/>
    <n v="7"/>
    <n v="7.5"/>
    <s v="Bajo troncos o piedras"/>
    <s v="Bosque ribereño"/>
    <m/>
    <x v="29"/>
    <m/>
    <n v="5"/>
    <m/>
    <m/>
    <m/>
    <m/>
    <m/>
    <m/>
    <m/>
    <n v="-76.8904"/>
    <n v="3.5508999999999999"/>
    <m/>
    <m/>
    <m/>
    <m/>
    <m/>
    <m/>
    <m/>
    <m/>
    <s v="Rasante &lt;0.3 m"/>
    <s v="Observacion"/>
    <m/>
  </r>
  <r>
    <x v="6"/>
    <x v="3"/>
    <x v="14"/>
    <s v="FCAAT12"/>
    <x v="1"/>
    <d v="2023-11-24T00:00:00"/>
    <d v="1899-12-30T00:00:00"/>
    <n v="-76.882616670000004"/>
    <n v="3.5526783329999998"/>
    <n v="8"/>
    <m/>
    <m/>
    <m/>
    <n v="0"/>
    <n v="0"/>
    <n v="30"/>
    <s v=""/>
    <n v="5"/>
    <m/>
    <m/>
    <m/>
    <x v="0"/>
    <m/>
    <n v="0"/>
    <m/>
    <m/>
    <s v="Vías"/>
    <m/>
    <m/>
    <m/>
    <m/>
    <n v="-76.881699999999995"/>
    <n v="3.5524"/>
    <m/>
    <m/>
    <m/>
    <m/>
    <m/>
    <m/>
    <m/>
    <m/>
    <m/>
    <m/>
    <m/>
  </r>
  <r>
    <x v="6"/>
    <x v="2"/>
    <x v="9"/>
    <s v="FCCBT4"/>
    <x v="3"/>
    <d v="2023-11-15T00:00:00"/>
    <d v="1899-12-30T00:00:00"/>
    <n v="-76.644931700000001"/>
    <n v="3.3497404639999999"/>
    <n v="8"/>
    <s v="Izquierdo"/>
    <s v="Otro"/>
    <n v="2478"/>
    <n v="1"/>
    <n v="0"/>
    <n v="10"/>
    <s v=""/>
    <n v="25"/>
    <s v="Hojas y/o Ramas"/>
    <s v="Bosque Secundario"/>
    <m/>
    <x v="18"/>
    <m/>
    <n v="1"/>
    <m/>
    <m/>
    <s v="Deforestación"/>
    <m/>
    <m/>
    <m/>
    <m/>
    <n v="-76.6447"/>
    <n v="3.3497404639999999"/>
    <m/>
    <m/>
    <m/>
    <m/>
    <m/>
    <m/>
    <m/>
    <m/>
    <s v="Rasante &lt;0.3 m"/>
    <s v="Observacion"/>
    <m/>
  </r>
  <r>
    <x v="6"/>
    <x v="3"/>
    <x v="15"/>
    <s v="FCAAT16"/>
    <x v="1"/>
    <d v="2023-11-21T00:00:00"/>
    <d v="1899-12-30T00:00:00"/>
    <n v="-76.889899999999997"/>
    <n v="3.5508898100000001"/>
    <n v="8"/>
    <s v="Derecho"/>
    <s v="Otro"/>
    <m/>
    <n v="1"/>
    <n v="0"/>
    <n v="27.5"/>
    <s v=""/>
    <n v="12.5"/>
    <s v="Hojas y/o Ramas"/>
    <s v="Bosque Primario"/>
    <m/>
    <x v="48"/>
    <m/>
    <n v="1"/>
    <m/>
    <m/>
    <m/>
    <m/>
    <m/>
    <m/>
    <m/>
    <n v="-76.889200000000002"/>
    <n v="3.5507"/>
    <m/>
    <m/>
    <m/>
    <m/>
    <m/>
    <m/>
    <m/>
    <m/>
    <s v="Rasante &lt;0.3 m"/>
    <s v="Auditivo"/>
    <m/>
  </r>
  <r>
    <x v="6"/>
    <x v="3"/>
    <x v="15"/>
    <s v="FCAAT16"/>
    <x v="1"/>
    <d v="2023-11-21T00:00:00"/>
    <d v="1899-12-30T00:00:00"/>
    <n v="-76.88966053"/>
    <n v="3.5508898100000001"/>
    <n v="8"/>
    <s v="Derecho"/>
    <s v="Otro"/>
    <m/>
    <n v="1"/>
    <n v="0"/>
    <n v="27.5"/>
    <s v=""/>
    <n v="12.5"/>
    <s v="Estanques y lagunas"/>
    <s v="Bosque Primario"/>
    <m/>
    <x v="38"/>
    <m/>
    <n v="1"/>
    <m/>
    <m/>
    <m/>
    <m/>
    <m/>
    <m/>
    <m/>
    <n v="-76.889200000000002"/>
    <n v="3.5507"/>
    <m/>
    <m/>
    <m/>
    <m/>
    <m/>
    <m/>
    <m/>
    <m/>
    <s v="Rasante &lt;0.3 m"/>
    <s v="Auditivo"/>
    <m/>
  </r>
  <r>
    <x v="6"/>
    <x v="2"/>
    <x v="8"/>
    <s v="FCCBT5"/>
    <x v="0"/>
    <d v="2023-11-15T00:00:00"/>
    <d v="1899-12-30T21:50:06"/>
    <n v="-76.643799999999999"/>
    <n v="3.3499500000000002"/>
    <n v="8"/>
    <s v="Derecho"/>
    <s v="Alvaro Fierro"/>
    <n v="2346"/>
    <n v="1"/>
    <n v="0"/>
    <n v="19"/>
    <s v=""/>
    <n v="11"/>
    <s v="Hojas y/o Ramas"/>
    <s v="Bosque Secundario"/>
    <m/>
    <x v="3"/>
    <m/>
    <n v="1"/>
    <m/>
    <m/>
    <m/>
    <m/>
    <m/>
    <m/>
    <m/>
    <n v="-76.643600000000006"/>
    <n v="3.3496000000000001"/>
    <m/>
    <m/>
    <m/>
    <m/>
    <m/>
    <m/>
    <m/>
    <m/>
    <s v="Herbaceo 0.3-1.5 m"/>
    <s v="Observacion"/>
    <m/>
  </r>
  <r>
    <x v="6"/>
    <x v="2"/>
    <x v="8"/>
    <s v="FCCBT5"/>
    <x v="0"/>
    <d v="2023-11-15T00:00:00"/>
    <d v="1899-12-30T21:50:06"/>
    <n v="-76.644400000000005"/>
    <n v="3.3498000000000001"/>
    <n v="8"/>
    <s v="Derecho"/>
    <s v="Otro"/>
    <n v="2346"/>
    <n v="1"/>
    <n v="0"/>
    <n v="19"/>
    <s v=""/>
    <n v="11"/>
    <s v="Hojas y/o Ramas"/>
    <s v="Bosque Secundario"/>
    <m/>
    <x v="3"/>
    <m/>
    <n v="1"/>
    <m/>
    <m/>
    <m/>
    <m/>
    <m/>
    <m/>
    <m/>
    <n v="-76.643600000000006"/>
    <n v="3.3496000000000001"/>
    <m/>
    <m/>
    <m/>
    <m/>
    <m/>
    <m/>
    <m/>
    <m/>
    <s v="Arbustivo 1.5-5 m"/>
    <s v="Observacion"/>
    <m/>
  </r>
  <r>
    <x v="6"/>
    <x v="2"/>
    <x v="8"/>
    <s v="FCCBT5"/>
    <x v="0"/>
    <d v="2023-11-15T00:00:00"/>
    <d v="1899-12-30T21:50:06"/>
    <n v="-76.643949599999999"/>
    <n v="3.349535135"/>
    <n v="8"/>
    <s v="Izquierdo"/>
    <s v="Otro"/>
    <n v="2346"/>
    <n v="1"/>
    <n v="0"/>
    <n v="19"/>
    <s v=""/>
    <n v="11"/>
    <s v="Hojas y/o Ramas"/>
    <s v="Bosque Secundario"/>
    <m/>
    <x v="17"/>
    <m/>
    <n v="1"/>
    <m/>
    <m/>
    <m/>
    <m/>
    <m/>
    <m/>
    <m/>
    <n v="-76.643600000000006"/>
    <n v="3.3496000000000001"/>
    <m/>
    <m/>
    <m/>
    <m/>
    <m/>
    <m/>
    <m/>
    <m/>
    <s v="Herbaceo 0.3-1.5 m"/>
    <s v="Observacion"/>
    <m/>
  </r>
  <r>
    <x v="6"/>
    <x v="2"/>
    <x v="8"/>
    <s v="FCCBT5"/>
    <x v="0"/>
    <d v="2023-11-15T00:00:00"/>
    <d v="1899-12-30T21:50:06"/>
    <n v="-76.644099999999995"/>
    <n v="3.3496999999999999"/>
    <n v="8"/>
    <s v="Derecho"/>
    <s v="Alvaro Fierro"/>
    <n v="2346"/>
    <n v="1"/>
    <n v="0"/>
    <n v="19"/>
    <s v=""/>
    <n v="11"/>
    <s v="Hojas y/o Ramas"/>
    <s v="Bosque Secundario"/>
    <m/>
    <x v="3"/>
    <m/>
    <n v="2"/>
    <m/>
    <m/>
    <s v="Deforestación"/>
    <m/>
    <m/>
    <m/>
    <m/>
    <n v="-76.643600000000006"/>
    <n v="3.3496000000000001"/>
    <m/>
    <m/>
    <m/>
    <m/>
    <m/>
    <m/>
    <m/>
    <m/>
    <s v="Herbaceo 0.3-1.5 m"/>
    <s v="Observacion"/>
    <m/>
  </r>
  <r>
    <x v="6"/>
    <x v="2"/>
    <x v="8"/>
    <s v="FCCBT5"/>
    <x v="0"/>
    <d v="2023-11-15T00:00:00"/>
    <d v="1899-12-30T21:50:06"/>
    <n v="-76.643799999999999"/>
    <n v="3.3498999999999999"/>
    <n v="8"/>
    <s v="Derecho"/>
    <s v="Alvaro Fierro"/>
    <n v="2346"/>
    <n v="1"/>
    <n v="0"/>
    <n v="19"/>
    <s v=""/>
    <n v="11"/>
    <s v="Hojas y/o Ramas"/>
    <s v="Bosque Secundario"/>
    <m/>
    <x v="3"/>
    <m/>
    <n v="1"/>
    <m/>
    <m/>
    <m/>
    <m/>
    <m/>
    <m/>
    <m/>
    <n v="-76.643600000000006"/>
    <n v="3.3496000000000001"/>
    <m/>
    <m/>
    <m/>
    <m/>
    <m/>
    <m/>
    <m/>
    <m/>
    <s v="Herbaceo 0.3-1.5 m"/>
    <s v="Observacion"/>
    <m/>
  </r>
  <r>
    <x v="6"/>
    <x v="2"/>
    <x v="8"/>
    <s v="FCCBT5"/>
    <x v="0"/>
    <d v="2023-11-15T00:00:00"/>
    <d v="1899-12-30T21:50:06"/>
    <n v="-76.643500000000003"/>
    <n v="3.3498000000000001"/>
    <n v="8"/>
    <s v="Izquierdo"/>
    <s v="Otro"/>
    <n v="2346"/>
    <n v="1"/>
    <n v="0"/>
    <n v="19"/>
    <s v=""/>
    <n v="11"/>
    <s v="Hojas y/o Ramas"/>
    <s v="Bosque Secundario"/>
    <m/>
    <x v="3"/>
    <m/>
    <n v="1"/>
    <m/>
    <m/>
    <s v="Deforestación"/>
    <m/>
    <m/>
    <m/>
    <m/>
    <n v="-76.643600000000006"/>
    <n v="3.3496000000000001"/>
    <m/>
    <m/>
    <m/>
    <m/>
    <m/>
    <m/>
    <m/>
    <m/>
    <s v="Herbaceo 0.3-1.5 m"/>
    <s v="Observacion"/>
    <m/>
  </r>
  <r>
    <x v="6"/>
    <x v="2"/>
    <x v="8"/>
    <s v="FCCBT5"/>
    <x v="0"/>
    <d v="2023-11-15T00:00:00"/>
    <d v="1899-12-30T21:50:06"/>
    <n v="-76.644300000000001"/>
    <n v="3.3496999999999999"/>
    <n v="8"/>
    <s v="Izquierdo"/>
    <s v="Otro"/>
    <n v="2346"/>
    <n v="1"/>
    <n v="0"/>
    <n v="19"/>
    <s v=""/>
    <n v="11"/>
    <s v="Hojas y/o Ramas"/>
    <s v="Bosque Secundario"/>
    <m/>
    <x v="17"/>
    <m/>
    <n v="1"/>
    <m/>
    <m/>
    <m/>
    <m/>
    <m/>
    <m/>
    <m/>
    <n v="-76.643600000000006"/>
    <n v="3.3496000000000001"/>
    <m/>
    <m/>
    <m/>
    <m/>
    <m/>
    <m/>
    <m/>
    <m/>
    <s v="Herbaceo 0.3-1.5 m"/>
    <s v="Observacion"/>
    <m/>
  </r>
  <r>
    <x v="6"/>
    <x v="3"/>
    <x v="12"/>
    <s v="FCABT2"/>
    <x v="1"/>
    <d v="2023-11-23T00:00:00"/>
    <d v="1899-12-30T09:20:02"/>
    <n v="-76.891800000000003"/>
    <n v="3.5952000000000002"/>
    <n v="8"/>
    <m/>
    <m/>
    <m/>
    <n v="0"/>
    <n v="0"/>
    <n v="28"/>
    <s v=""/>
    <n v="17.5"/>
    <m/>
    <m/>
    <m/>
    <x v="0"/>
    <m/>
    <n v="0"/>
    <m/>
    <m/>
    <m/>
    <m/>
    <m/>
    <m/>
    <m/>
    <n v="-76.892499999999998"/>
    <n v="3.5958000000000001"/>
    <m/>
    <m/>
    <m/>
    <m/>
    <m/>
    <m/>
    <m/>
    <m/>
    <m/>
    <m/>
    <m/>
  </r>
  <r>
    <x v="6"/>
    <x v="3"/>
    <x v="21"/>
    <s v="FCAFT26"/>
    <x v="0"/>
    <d v="2023-11-23T00:00:00"/>
    <d v="1899-12-30T00:00:00"/>
    <n v="-76.883001669999999"/>
    <n v="3.5908666669999998"/>
    <n v="8"/>
    <m/>
    <m/>
    <m/>
    <n v="0"/>
    <n v="0"/>
    <n v="22.5"/>
    <n v="0.75"/>
    <n v="45"/>
    <m/>
    <m/>
    <m/>
    <x v="0"/>
    <m/>
    <n v="0"/>
    <m/>
    <m/>
    <m/>
    <m/>
    <m/>
    <m/>
    <m/>
    <n v="-76.882499999999993"/>
    <n v="3.5912000000000002"/>
    <m/>
    <m/>
    <m/>
    <m/>
    <m/>
    <m/>
    <m/>
    <m/>
    <m/>
    <m/>
    <m/>
  </r>
  <r>
    <x v="6"/>
    <x v="3"/>
    <x v="16"/>
    <s v="FCACT7"/>
    <x v="2"/>
    <d v="2023-11-22T00:00:00"/>
    <d v="1899-12-30T00:00:00"/>
    <n v="-76.880713290000003"/>
    <n v="3.5779644660000001"/>
    <n v="8"/>
    <s v="Izquierdo"/>
    <m/>
    <n v="733"/>
    <n v="1"/>
    <n v="0"/>
    <n v="27.5"/>
    <s v=""/>
    <n v="47.5"/>
    <s v="Hojarasca"/>
    <s v="Bosque Primario"/>
    <m/>
    <x v="48"/>
    <m/>
    <n v="1"/>
    <m/>
    <m/>
    <m/>
    <m/>
    <m/>
    <m/>
    <m/>
    <n v="-76.880534999999995"/>
    <n v="3.5784050000000001"/>
    <m/>
    <m/>
    <m/>
    <m/>
    <m/>
    <m/>
    <m/>
    <m/>
    <s v="Rasante &lt;0.3 m"/>
    <s v="Auditivo"/>
    <m/>
  </r>
  <r>
    <x v="6"/>
    <x v="3"/>
    <x v="16"/>
    <s v="FCACT7"/>
    <x v="2"/>
    <d v="2023-11-22T00:00:00"/>
    <d v="1899-12-30T00:00:00"/>
    <n v="-76.880713290000003"/>
    <n v="3.5779644660000001"/>
    <n v="8"/>
    <s v="Izquierdo"/>
    <m/>
    <n v="730"/>
    <n v="1"/>
    <n v="0"/>
    <n v="27.5"/>
    <s v=""/>
    <n v="47.5"/>
    <s v="Hojas y/o Ramas"/>
    <s v="Bosque Primario"/>
    <m/>
    <x v="50"/>
    <m/>
    <n v="1"/>
    <m/>
    <m/>
    <m/>
    <m/>
    <m/>
    <m/>
    <m/>
    <n v="-76.880534999999995"/>
    <n v="3.5784050000000001"/>
    <m/>
    <m/>
    <m/>
    <m/>
    <m/>
    <m/>
    <m/>
    <m/>
    <s v="Herbaceo 0.3-1.5 m"/>
    <s v="Observacion"/>
    <m/>
  </r>
  <r>
    <x v="6"/>
    <x v="3"/>
    <x v="16"/>
    <s v="FCACT7"/>
    <x v="2"/>
    <d v="2023-11-22T00:00:00"/>
    <d v="1899-12-30T00:00:00"/>
    <n v="-76.880713290000003"/>
    <n v="3.5779644660000001"/>
    <n v="8"/>
    <s v="Derecho"/>
    <m/>
    <n v="733"/>
    <n v="1"/>
    <n v="0"/>
    <n v="27.5"/>
    <s v=""/>
    <n v="47.5"/>
    <s v="Hojarasca"/>
    <s v="Bosque Primario"/>
    <m/>
    <x v="49"/>
    <m/>
    <n v="2"/>
    <m/>
    <m/>
    <m/>
    <m/>
    <m/>
    <m/>
    <m/>
    <n v="-76.880534999999995"/>
    <n v="3.5784050000000001"/>
    <m/>
    <m/>
    <m/>
    <m/>
    <m/>
    <m/>
    <m/>
    <m/>
    <s v="Rasante &lt;0.3 m"/>
    <s v="Auditivo"/>
    <m/>
  </r>
  <r>
    <x v="6"/>
    <x v="2"/>
    <x v="11"/>
    <s v="FCCDT15"/>
    <x v="4"/>
    <d v="2023-11-16T00:00:00"/>
    <d v="1899-12-30T19:33:34"/>
    <n v="-76.653145050000006"/>
    <n v="3.3532003420000001"/>
    <n v="8"/>
    <s v="Izquierdo"/>
    <s v="Otro"/>
    <n v="2606"/>
    <n v="1"/>
    <n v="0"/>
    <n v="22.5"/>
    <s v=""/>
    <n v="27.5"/>
    <s v="Hojas y/o Ramas"/>
    <s v="Bosque Secundario"/>
    <m/>
    <x v="9"/>
    <m/>
    <n v="1"/>
    <m/>
    <m/>
    <m/>
    <m/>
    <m/>
    <m/>
    <m/>
    <n v="-76.653599999999997"/>
    <n v="3.3532000000000002"/>
    <m/>
    <m/>
    <m/>
    <m/>
    <m/>
    <m/>
    <m/>
    <m/>
    <s v="Herbaceo 0.3-1.5 m"/>
    <s v="Observacion"/>
    <m/>
  </r>
  <r>
    <x v="6"/>
    <x v="2"/>
    <x v="11"/>
    <s v="FCCDT15"/>
    <x v="4"/>
    <d v="2023-11-16T00:00:00"/>
    <d v="1899-12-30T19:33:34"/>
    <n v="-76.653400000000005"/>
    <n v="3.3534000000000002"/>
    <n v="8"/>
    <s v="Derecho"/>
    <s v="Alvaro Fierro"/>
    <n v="2606"/>
    <n v="1"/>
    <n v="0"/>
    <n v="22.5"/>
    <s v=""/>
    <n v="27.5"/>
    <s v="Hojas y/o Ramas"/>
    <s v="Bosque Secundario"/>
    <m/>
    <x v="9"/>
    <m/>
    <n v="3"/>
    <m/>
    <m/>
    <m/>
    <m/>
    <m/>
    <m/>
    <m/>
    <n v="-76.653599999999997"/>
    <n v="3.3532000000000002"/>
    <m/>
    <m/>
    <m/>
    <m/>
    <m/>
    <m/>
    <m/>
    <m/>
    <s v="Herbaceo 0.3-1.5 m"/>
    <s v="Observacion"/>
    <m/>
  </r>
  <r>
    <x v="6"/>
    <x v="3"/>
    <x v="16"/>
    <s v="FCACT6"/>
    <x v="1"/>
    <d v="2023-11-22T00:00:00"/>
    <d v="1899-12-30T00:00:00"/>
    <n v="-76.880713290000003"/>
    <n v="3.5779644660000001"/>
    <n v="8"/>
    <s v="Derecho"/>
    <m/>
    <n v="727"/>
    <n v="1"/>
    <n v="0"/>
    <n v="23.5"/>
    <s v=""/>
    <n v="5"/>
    <s v="Hojas y/o Ramas"/>
    <s v="Bosque Primario"/>
    <m/>
    <x v="31"/>
    <m/>
    <n v="1"/>
    <m/>
    <m/>
    <m/>
    <m/>
    <m/>
    <m/>
    <m/>
    <n v="-76.880600000000001"/>
    <n v="3.5783"/>
    <m/>
    <m/>
    <m/>
    <m/>
    <m/>
    <m/>
    <m/>
    <m/>
    <s v="Herbaceo 0.3-1.5 m"/>
    <s v="Observacion"/>
    <m/>
  </r>
  <r>
    <x v="6"/>
    <x v="2"/>
    <x v="19"/>
    <s v="FCCBT8"/>
    <x v="0"/>
    <d v="2023-11-15T00:00:00"/>
    <d v="1899-12-30T20:49:58"/>
    <n v="-76.641800000000003"/>
    <n v="3.3496999999999999"/>
    <n v="8"/>
    <s v="Derecho"/>
    <s v="Alvaro Fierro"/>
    <n v="2346"/>
    <n v="1"/>
    <n v="0"/>
    <n v="17.5"/>
    <s v=""/>
    <n v="23.5"/>
    <s v="Hojas y/o Ramas"/>
    <s v="Bosque Secundario"/>
    <m/>
    <x v="9"/>
    <m/>
    <n v="1"/>
    <m/>
    <m/>
    <m/>
    <m/>
    <m/>
    <m/>
    <m/>
    <n v="-76.641300000000001"/>
    <n v="3.34985"/>
    <m/>
    <m/>
    <m/>
    <m/>
    <m/>
    <m/>
    <m/>
    <m/>
    <s v="Herbaceo 0.3-1.5 m"/>
    <s v="Observacion"/>
    <m/>
  </r>
  <r>
    <x v="6"/>
    <x v="2"/>
    <x v="19"/>
    <s v="FCCBT8"/>
    <x v="0"/>
    <d v="2023-11-15T00:00:00"/>
    <d v="1899-12-30T20:49:58"/>
    <n v="-76.641499999999994"/>
    <n v="3.3498000000000001"/>
    <n v="8"/>
    <s v="Derecho"/>
    <s v="Alvaro Fierro"/>
    <n v="2346"/>
    <n v="1"/>
    <n v="0"/>
    <n v="17.5"/>
    <s v=""/>
    <n v="23.5"/>
    <s v="Hojas y/o Ramas"/>
    <s v="Bosque Secundario"/>
    <m/>
    <x v="3"/>
    <m/>
    <n v="1"/>
    <m/>
    <m/>
    <s v="Deforestación"/>
    <m/>
    <m/>
    <m/>
    <m/>
    <n v="-76.641300000000001"/>
    <n v="3.34985"/>
    <m/>
    <m/>
    <m/>
    <m/>
    <m/>
    <m/>
    <m/>
    <m/>
    <s v="Herbaceo 0.3-1.5 m"/>
    <s v="Observacion"/>
    <m/>
  </r>
  <r>
    <x v="6"/>
    <x v="2"/>
    <x v="19"/>
    <s v="FCCBT8"/>
    <x v="0"/>
    <d v="2023-11-15T00:00:00"/>
    <d v="1899-12-30T20:49:58"/>
    <n v="-76.641599999999997"/>
    <n v="3.3498000000000001"/>
    <n v="8"/>
    <s v="Derecho"/>
    <s v="Otro"/>
    <n v="2346"/>
    <n v="1"/>
    <n v="0"/>
    <n v="17.5"/>
    <s v=""/>
    <n v="23.5"/>
    <s v="Hojas y/o Ramas"/>
    <s v="Bosque Secundario"/>
    <m/>
    <x v="9"/>
    <m/>
    <n v="1"/>
    <m/>
    <m/>
    <m/>
    <m/>
    <m/>
    <m/>
    <m/>
    <n v="-76.641300000000001"/>
    <n v="3.34985"/>
    <m/>
    <m/>
    <m/>
    <m/>
    <m/>
    <m/>
    <m/>
    <m/>
    <s v="Herbaceo 0.3-1.5 m"/>
    <s v="Observacion"/>
    <m/>
  </r>
  <r>
    <x v="6"/>
    <x v="2"/>
    <x v="19"/>
    <s v="FCCBT8"/>
    <x v="0"/>
    <d v="2023-11-15T00:00:00"/>
    <d v="1899-12-30T20:49:58"/>
    <n v="-76.641594449999999"/>
    <n v="3.3496971289999999"/>
    <n v="8"/>
    <s v="Izquierdo"/>
    <s v="Otro"/>
    <n v="2346"/>
    <n v="1"/>
    <n v="0"/>
    <n v="17.5"/>
    <s v=""/>
    <n v="23.5"/>
    <m/>
    <s v="Bosque Secundario"/>
    <m/>
    <x v="9"/>
    <m/>
    <n v="2"/>
    <m/>
    <m/>
    <s v="Deforestación"/>
    <m/>
    <m/>
    <m/>
    <m/>
    <n v="-76.641300000000001"/>
    <n v="3.34985"/>
    <m/>
    <m/>
    <m/>
    <m/>
    <m/>
    <m/>
    <m/>
    <m/>
    <m/>
    <s v="Auditivo"/>
    <m/>
  </r>
  <r>
    <x v="6"/>
    <x v="2"/>
    <x v="19"/>
    <s v="FCCBT8"/>
    <x v="0"/>
    <d v="2023-11-15T00:00:00"/>
    <d v="1899-12-30T20:49:58"/>
    <n v="-76.6417"/>
    <n v="3.3498000000000001"/>
    <n v="8"/>
    <s v="Izquierdo"/>
    <s v="Otro"/>
    <n v="2346"/>
    <n v="1"/>
    <n v="0"/>
    <n v="17.5"/>
    <s v=""/>
    <n v="23.5"/>
    <s v="Hojas y/o Ramas"/>
    <s v="Bosque Secundario"/>
    <m/>
    <x v="3"/>
    <m/>
    <n v="1"/>
    <m/>
    <m/>
    <m/>
    <m/>
    <m/>
    <m/>
    <m/>
    <n v="-76.641300000000001"/>
    <n v="3.34985"/>
    <m/>
    <m/>
    <m/>
    <m/>
    <m/>
    <m/>
    <m/>
    <m/>
    <s v="Herbaceo 0.3-1.5 m"/>
    <s v="Observacion"/>
    <m/>
  </r>
  <r>
    <x v="6"/>
    <x v="2"/>
    <x v="19"/>
    <s v="FCCBT8"/>
    <x v="0"/>
    <d v="2023-11-15T00:00:00"/>
    <d v="1899-12-30T20:49:58"/>
    <n v="-76.641999999999996"/>
    <n v="3.3496000000000001"/>
    <n v="8"/>
    <s v="Derecho"/>
    <s v="Otro"/>
    <n v="2346"/>
    <n v="1"/>
    <n v="0"/>
    <n v="17.5"/>
    <s v=""/>
    <n v="23.5"/>
    <s v="Hojas y/o Ramas"/>
    <s v="Bosque Secundario"/>
    <m/>
    <x v="9"/>
    <m/>
    <n v="2"/>
    <m/>
    <m/>
    <m/>
    <m/>
    <m/>
    <m/>
    <m/>
    <n v="-76.641300000000001"/>
    <n v="3.34985"/>
    <m/>
    <m/>
    <m/>
    <m/>
    <m/>
    <m/>
    <m/>
    <m/>
    <s v="Herbaceo 0.3-1.5 m"/>
    <s v="Auditivo"/>
    <m/>
  </r>
  <r>
    <x v="6"/>
    <x v="2"/>
    <x v="19"/>
    <s v="FCCBT8"/>
    <x v="0"/>
    <d v="2023-11-15T00:00:00"/>
    <d v="1899-12-30T20:49:58"/>
    <n v="-76.641400000000004"/>
    <n v="3.3498999999999999"/>
    <n v="8"/>
    <s v="Derecho"/>
    <s v="Alvaro Fierro"/>
    <n v="2346"/>
    <n v="1"/>
    <n v="0"/>
    <n v="17.5"/>
    <s v=""/>
    <n v="23.5"/>
    <s v="Hojas y/o Ramas"/>
    <s v="Bosque Secundario"/>
    <m/>
    <x v="3"/>
    <m/>
    <n v="1"/>
    <m/>
    <m/>
    <m/>
    <m/>
    <m/>
    <m/>
    <m/>
    <n v="-76.641300000000001"/>
    <n v="3.34985"/>
    <m/>
    <m/>
    <m/>
    <m/>
    <m/>
    <m/>
    <m/>
    <m/>
    <s v="Herbaceo 0.3-1.5 m"/>
    <s v="Observacion"/>
    <m/>
  </r>
  <r>
    <x v="6"/>
    <x v="1"/>
    <x v="7"/>
    <s v="FCTBT16"/>
    <x v="1"/>
    <d v="2023-10-12T00:00:00"/>
    <d v="1899-12-30T19:33:10"/>
    <n v="-76.713885000000005"/>
    <n v="3.4876116669999999"/>
    <n v="8"/>
    <s v="Izquierdo"/>
    <s v="Otro"/>
    <m/>
    <n v="0"/>
    <n v="1"/>
    <n v="13.5"/>
    <s v=""/>
    <n v="12"/>
    <s v="Arbol"/>
    <s v="Bosque ribereño"/>
    <m/>
    <x v="7"/>
    <m/>
    <n v="5"/>
    <m/>
    <m/>
    <m/>
    <m/>
    <m/>
    <m/>
    <m/>
    <n v="-76.713926670000006"/>
    <n v="3.4875733329999998"/>
    <m/>
    <m/>
    <m/>
    <m/>
    <m/>
    <m/>
    <m/>
    <m/>
    <s v="Subarboreo 5-12 m"/>
    <s v="Auditivo"/>
    <m/>
  </r>
  <r>
    <x v="6"/>
    <x v="1"/>
    <x v="7"/>
    <s v="FCTBT16"/>
    <x v="1"/>
    <d v="2023-10-12T00:00:00"/>
    <d v="1899-12-30T19:33:10"/>
    <n v="-76.713885000000005"/>
    <n v="3.4876116669999999"/>
    <n v="8"/>
    <s v="Derecho"/>
    <s v="Otro"/>
    <n v="1816"/>
    <n v="0"/>
    <n v="1"/>
    <n v="13.5"/>
    <s v=""/>
    <n v="12"/>
    <s v="Sotobosque"/>
    <s v="Bosque ribereño"/>
    <m/>
    <x v="5"/>
    <m/>
    <n v="1"/>
    <m/>
    <m/>
    <m/>
    <m/>
    <m/>
    <m/>
    <m/>
    <n v="-76.713926670000006"/>
    <n v="3.4875733329999998"/>
    <m/>
    <m/>
    <m/>
    <m/>
    <m/>
    <m/>
    <m/>
    <m/>
    <s v="Herbaceo 0.3-1.5 m"/>
    <s v="Auditivo"/>
    <m/>
  </r>
  <r>
    <x v="6"/>
    <x v="1"/>
    <x v="7"/>
    <s v="FCTBT16"/>
    <x v="1"/>
    <d v="2023-10-12T00:00:00"/>
    <d v="1899-12-30T19:33:10"/>
    <n v="-76.713885000000005"/>
    <n v="3.4876116669999999"/>
    <n v="8"/>
    <s v="Derecho"/>
    <s v="Otro"/>
    <n v="1816"/>
    <n v="0"/>
    <n v="1"/>
    <n v="13.5"/>
    <s v=""/>
    <n v="12"/>
    <s v="Hierba"/>
    <s v="Bosque ribereño"/>
    <m/>
    <x v="34"/>
    <m/>
    <n v="1"/>
    <m/>
    <m/>
    <m/>
    <m/>
    <m/>
    <m/>
    <m/>
    <n v="-76.713926670000006"/>
    <n v="3.4875733329999998"/>
    <m/>
    <m/>
    <m/>
    <m/>
    <m/>
    <m/>
    <m/>
    <m/>
    <s v="Herbaceo 0.3-1.5 m"/>
    <s v="Auditivo"/>
    <m/>
  </r>
  <r>
    <x v="6"/>
    <x v="1"/>
    <x v="7"/>
    <s v="FCTBT16"/>
    <x v="1"/>
    <d v="2023-10-12T00:00:00"/>
    <d v="1899-12-30T19:50:28"/>
    <n v="-76.713988330000006"/>
    <n v="3.4875949999999998"/>
    <n v="8"/>
    <s v="Izquierdo"/>
    <s v="Otro"/>
    <n v="1816"/>
    <n v="1"/>
    <n v="0"/>
    <n v="13.5"/>
    <s v=""/>
    <n v="12"/>
    <s v="Sotobosque"/>
    <s v="Bosque ribereño"/>
    <m/>
    <x v="4"/>
    <m/>
    <n v="1"/>
    <m/>
    <m/>
    <m/>
    <m/>
    <m/>
    <m/>
    <m/>
    <n v="-76.713926670000006"/>
    <n v="3.4875733329999998"/>
    <m/>
    <m/>
    <m/>
    <m/>
    <m/>
    <m/>
    <m/>
    <m/>
    <s v="Rasante &lt;0.3 m"/>
    <s v="Observacion"/>
    <m/>
  </r>
  <r>
    <x v="6"/>
    <x v="1"/>
    <x v="7"/>
    <s v="FCTBT16"/>
    <x v="1"/>
    <d v="2023-10-12T00:00:00"/>
    <d v="1899-12-30T19:47:04"/>
    <n v="-76.713926670000006"/>
    <n v="3.4875733329999998"/>
    <n v="8"/>
    <s v="Derecho"/>
    <s v="Alvaro Fierro"/>
    <m/>
    <n v="1"/>
    <n v="0"/>
    <n v="13.5"/>
    <s v=""/>
    <n v="12"/>
    <s v="Sotobosque"/>
    <s v="Bosque ribereño"/>
    <m/>
    <x v="5"/>
    <m/>
    <n v="1"/>
    <m/>
    <m/>
    <m/>
    <m/>
    <m/>
    <m/>
    <m/>
    <n v="-76.713926670000006"/>
    <n v="3.4875733329999998"/>
    <m/>
    <m/>
    <m/>
    <m/>
    <m/>
    <m/>
    <m/>
    <m/>
    <s v="Herbaceo 0.3-1.5 m"/>
    <s v="Observacion"/>
    <m/>
  </r>
  <r>
    <x v="6"/>
    <x v="1"/>
    <x v="7"/>
    <s v="FCTBT16"/>
    <x v="1"/>
    <d v="2023-10-12T00:00:00"/>
    <d v="1899-12-30T19:47:04"/>
    <n v="-76.713926670000006"/>
    <n v="3.4875733329999998"/>
    <n v="8"/>
    <s v="Izquierdo"/>
    <s v="Otro"/>
    <n v="1"/>
    <n v="1"/>
    <n v="0"/>
    <n v="13.5"/>
    <s v=""/>
    <n v="12"/>
    <s v="Sotobosque"/>
    <s v="Bosque ribereño"/>
    <m/>
    <x v="34"/>
    <m/>
    <n v="1"/>
    <m/>
    <m/>
    <m/>
    <m/>
    <m/>
    <m/>
    <m/>
    <n v="-76.713926670000006"/>
    <n v="3.4875733329999998"/>
    <m/>
    <m/>
    <m/>
    <m/>
    <m/>
    <m/>
    <m/>
    <m/>
    <s v="Herbaceo 0.3-1.5 m"/>
    <s v="Observacion"/>
    <m/>
  </r>
  <r>
    <x v="6"/>
    <x v="1"/>
    <x v="7"/>
    <s v="FCTBT16"/>
    <x v="1"/>
    <d v="2023-10-12T00:00:00"/>
    <d v="1899-12-30T20:07:53"/>
    <n v="-76.714015000000003"/>
    <n v="3.4874116669999999"/>
    <n v="8"/>
    <s v="Derecho"/>
    <s v="Otro"/>
    <n v="1816"/>
    <n v="1"/>
    <n v="0"/>
    <n v="13.5"/>
    <s v=""/>
    <n v="12"/>
    <s v="Hojarasca"/>
    <s v="Bosque ribereño"/>
    <m/>
    <x v="4"/>
    <m/>
    <n v="1"/>
    <m/>
    <m/>
    <m/>
    <m/>
    <m/>
    <m/>
    <m/>
    <n v="-76.713926670000006"/>
    <n v="3.4875733329999998"/>
    <m/>
    <m/>
    <m/>
    <m/>
    <m/>
    <m/>
    <m/>
    <m/>
    <s v="Rasante &lt;0.3 m"/>
    <s v="Observacion"/>
    <m/>
  </r>
  <r>
    <x v="6"/>
    <x v="1"/>
    <x v="7"/>
    <s v="FCTBT16"/>
    <x v="1"/>
    <d v="2023-10-12T00:00:00"/>
    <d v="1899-12-30T20:09:26"/>
    <n v="-76.713893330000005"/>
    <n v="3.4873433330000001"/>
    <n v="8"/>
    <s v="Izquierdo"/>
    <s v="Otro"/>
    <n v="1816"/>
    <n v="1"/>
    <n v="0"/>
    <n v="13.5"/>
    <s v=""/>
    <n v="12"/>
    <s v="Hojarasca"/>
    <s v="Bosque ribereño"/>
    <m/>
    <x v="34"/>
    <m/>
    <n v="1"/>
    <m/>
    <m/>
    <m/>
    <m/>
    <m/>
    <m/>
    <m/>
    <n v="-76.713926670000006"/>
    <n v="3.4875733329999998"/>
    <m/>
    <m/>
    <m/>
    <m/>
    <m/>
    <m/>
    <m/>
    <m/>
    <s v="Rasante &lt;0.3 m"/>
    <s v="Observacion"/>
    <m/>
  </r>
  <r>
    <x v="6"/>
    <x v="1"/>
    <x v="7"/>
    <s v="FCTBT15"/>
    <x v="0"/>
    <d v="2023-10-12T00:00:00"/>
    <d v="1899-12-30T19:35:56"/>
    <n v="-76.713836670000006"/>
    <n v="3.4875799999999999"/>
    <n v="8"/>
    <m/>
    <m/>
    <m/>
    <n v="0"/>
    <n v="0"/>
    <n v="10"/>
    <n v="2"/>
    <n v="11"/>
    <m/>
    <m/>
    <m/>
    <x v="0"/>
    <m/>
    <n v="0"/>
    <m/>
    <m/>
    <s v="Captaciones de agua no reguladas"/>
    <m/>
    <m/>
    <m/>
    <m/>
    <n v="-76.713786670000005"/>
    <n v="3.4878650000000002"/>
    <m/>
    <m/>
    <m/>
    <m/>
    <m/>
    <m/>
    <m/>
    <m/>
    <m/>
    <m/>
    <m/>
  </r>
  <r>
    <x v="6"/>
    <x v="2"/>
    <x v="10"/>
    <s v="FCCCT18"/>
    <x v="2"/>
    <d v="2023-11-16T00:00:00"/>
    <d v="1899-12-30T00:00:00"/>
    <n v="-76.656261670000006"/>
    <n v="3.3556400000000002"/>
    <n v="8"/>
    <m/>
    <m/>
    <m/>
    <n v="0"/>
    <n v="0"/>
    <n v="28"/>
    <n v="0.75"/>
    <n v="16"/>
    <m/>
    <m/>
    <m/>
    <x v="0"/>
    <m/>
    <n v="0"/>
    <m/>
    <m/>
    <s v="Procesos de remoción en masa"/>
    <m/>
    <m/>
    <m/>
    <m/>
    <n v="-76.656549999999996"/>
    <n v="3.3551000000000002"/>
    <m/>
    <m/>
    <m/>
    <m/>
    <m/>
    <m/>
    <m/>
    <m/>
    <m/>
    <m/>
    <m/>
  </r>
  <r>
    <x v="6"/>
    <x v="2"/>
    <x v="11"/>
    <s v="FCCDT12"/>
    <x v="1"/>
    <d v="2023-11-16T00:00:00"/>
    <d v="1899-12-30T00:00:00"/>
    <n v="-76.648700000000005"/>
    <n v="3.3508"/>
    <n v="8"/>
    <s v="Derecho"/>
    <s v="Otro"/>
    <n v="2336"/>
    <n v="1"/>
    <n v="0"/>
    <n v="20"/>
    <s v=""/>
    <n v="8.5"/>
    <s v="Hojas y/o Ramas"/>
    <s v="Bosque Secundario"/>
    <m/>
    <x v="3"/>
    <m/>
    <n v="1"/>
    <m/>
    <m/>
    <m/>
    <m/>
    <m/>
    <m/>
    <m/>
    <n v="-76.649199999999993"/>
    <n v="3.3515000000000001"/>
    <m/>
    <m/>
    <m/>
    <m/>
    <m/>
    <m/>
    <m/>
    <m/>
    <s v="Herbaceo 0.3-1.5 m"/>
    <s v="Observacion"/>
    <m/>
  </r>
  <r>
    <x v="6"/>
    <x v="2"/>
    <x v="11"/>
    <s v="FCCDT12"/>
    <x v="1"/>
    <d v="2023-11-16T00:00:00"/>
    <d v="1899-12-30T00:00:00"/>
    <n v="-76.649000000000001"/>
    <n v="3.3517000000000001"/>
    <n v="8"/>
    <s v="Izquierdo"/>
    <s v="Otro"/>
    <n v="2335"/>
    <n v="1"/>
    <n v="0"/>
    <n v="20"/>
    <s v=""/>
    <n v="8.5"/>
    <s v="Hojas y/o Ramas"/>
    <s v="Bosque Secundario"/>
    <m/>
    <x v="8"/>
    <m/>
    <n v="1"/>
    <m/>
    <m/>
    <m/>
    <m/>
    <m/>
    <m/>
    <m/>
    <n v="-76.649199999999993"/>
    <n v="3.3515000000000001"/>
    <m/>
    <m/>
    <m/>
    <m/>
    <m/>
    <m/>
    <m/>
    <m/>
    <s v="Herbaceo 0.3-1.5 m"/>
    <s v="Observacion"/>
    <m/>
  </r>
  <r>
    <x v="6"/>
    <x v="2"/>
    <x v="11"/>
    <s v="FCCDT12"/>
    <x v="1"/>
    <d v="2023-11-16T00:00:00"/>
    <d v="1899-12-30T00:00:00"/>
    <n v="-76.648799999999994"/>
    <n v="3.3504999999999998"/>
    <n v="8"/>
    <s v="Izquierdo"/>
    <s v="Otro"/>
    <n v="2336"/>
    <n v="1"/>
    <n v="0"/>
    <n v="20"/>
    <s v=""/>
    <n v="8.5"/>
    <s v="Hojas y/o Ramas"/>
    <s v="Bosque Secundario"/>
    <m/>
    <x v="3"/>
    <m/>
    <n v="1"/>
    <m/>
    <m/>
    <m/>
    <m/>
    <m/>
    <m/>
    <m/>
    <n v="-76.649199999999993"/>
    <n v="3.3515000000000001"/>
    <m/>
    <m/>
    <m/>
    <m/>
    <m/>
    <m/>
    <m/>
    <m/>
    <s v="Herbaceo 0.3-1.5 m"/>
    <s v="Observacion"/>
    <m/>
  </r>
  <r>
    <x v="6"/>
    <x v="2"/>
    <x v="19"/>
    <s v="FCCBT10"/>
    <x v="2"/>
    <d v="2023-11-15T00:00:00"/>
    <d v="1899-12-30T00:00:00"/>
    <n v="-76.639968800000005"/>
    <n v="3.3506699499999999"/>
    <n v="8"/>
    <s v="Izquierdo"/>
    <s v="Alvaro Fierro"/>
    <m/>
    <n v="1"/>
    <n v="0"/>
    <n v="15"/>
    <s v=""/>
    <n v="7.5"/>
    <s v="Hojas y/o Ramas"/>
    <s v="Bosque Primario"/>
    <m/>
    <x v="3"/>
    <m/>
    <n v="1"/>
    <m/>
    <m/>
    <m/>
    <m/>
    <m/>
    <m/>
    <m/>
    <n v="-76.638900000000007"/>
    <n v="3.3502000000000001"/>
    <m/>
    <m/>
    <m/>
    <m/>
    <m/>
    <m/>
    <m/>
    <m/>
    <s v="Herbaceo 0.3-1.5 m"/>
    <s v="Observacion"/>
    <m/>
  </r>
  <r>
    <x v="6"/>
    <x v="2"/>
    <x v="19"/>
    <s v="FCCBT10"/>
    <x v="2"/>
    <d v="2023-11-15T00:00:00"/>
    <d v="1899-12-30T00:00:00"/>
    <n v="-76.639700000000005"/>
    <n v="3.3506999999999998"/>
    <n v="8"/>
    <s v="Derecho"/>
    <s v="Alvaro Fierro"/>
    <m/>
    <n v="1"/>
    <n v="0"/>
    <n v="15"/>
    <s v=""/>
    <n v="7.5"/>
    <s v="Hojas y/o Ramas"/>
    <s v="Bosque Primario"/>
    <m/>
    <x v="3"/>
    <m/>
    <n v="1"/>
    <m/>
    <m/>
    <m/>
    <m/>
    <m/>
    <m/>
    <m/>
    <n v="-76.638900000000007"/>
    <n v="3.3502000000000001"/>
    <m/>
    <m/>
    <m/>
    <m/>
    <m/>
    <m/>
    <m/>
    <m/>
    <s v="Herbaceo 0.3-1.5 m"/>
    <s v="Observacion"/>
    <m/>
  </r>
  <r>
    <x v="6"/>
    <x v="3"/>
    <x v="14"/>
    <s v="FCAAT11"/>
    <x v="0"/>
    <d v="2023-11-21T00:00:00"/>
    <d v="1899-12-30T00:00:00"/>
    <n v="-76.881045209999996"/>
    <n v="3.552585788"/>
    <n v="8"/>
    <s v="Derecho"/>
    <s v="Danny Mora"/>
    <n v="567"/>
    <n v="1"/>
    <n v="0"/>
    <n v="3"/>
    <s v=""/>
    <n v="8"/>
    <s v="Hierba"/>
    <s v="Bosque Secundario"/>
    <m/>
    <x v="28"/>
    <m/>
    <n v="4"/>
    <m/>
    <m/>
    <s v="Vías"/>
    <m/>
    <m/>
    <m/>
    <m/>
    <n v="-76.880700000000004"/>
    <n v="3.5527000000000002"/>
    <m/>
    <m/>
    <m/>
    <m/>
    <m/>
    <m/>
    <m/>
    <m/>
    <s v="Rasante &lt;0.3 m"/>
    <s v="Auditivo"/>
    <m/>
  </r>
  <r>
    <x v="6"/>
    <x v="3"/>
    <x v="12"/>
    <s v="FCABT3"/>
    <x v="2"/>
    <d v="2023-11-23T00:00:00"/>
    <d v="1899-12-30T00:00:00"/>
    <n v="-76.892827659999995"/>
    <n v="3.5965284899999999"/>
    <n v="8"/>
    <m/>
    <m/>
    <n v="649"/>
    <n v="0"/>
    <n v="0"/>
    <n v="20"/>
    <s v=""/>
    <n v="37.5"/>
    <m/>
    <m/>
    <m/>
    <x v="0"/>
    <m/>
    <n v="0"/>
    <m/>
    <m/>
    <m/>
    <m/>
    <m/>
    <m/>
    <m/>
    <n v="-76.892827659999995"/>
    <n v="3.5965284899999999"/>
    <m/>
    <m/>
    <m/>
    <m/>
    <m/>
    <m/>
    <m/>
    <m/>
    <m/>
    <m/>
    <m/>
  </r>
  <r>
    <x v="6"/>
    <x v="3"/>
    <x v="21"/>
    <s v="FCAFT26"/>
    <x v="0"/>
    <d v="2023-11-23T00:00:00"/>
    <d v="1899-12-30T00:00:00"/>
    <n v="-76.88291667"/>
    <n v="3.5921599999999998"/>
    <n v="8"/>
    <m/>
    <m/>
    <m/>
    <n v="0"/>
    <n v="0"/>
    <n v="22.5"/>
    <n v="0.75"/>
    <n v="45"/>
    <m/>
    <m/>
    <m/>
    <x v="0"/>
    <m/>
    <n v="0"/>
    <m/>
    <m/>
    <m/>
    <m/>
    <m/>
    <m/>
    <m/>
    <n v="-76.882599999999996"/>
    <n v="3.5911"/>
    <m/>
    <m/>
    <m/>
    <m/>
    <m/>
    <m/>
    <m/>
    <m/>
    <m/>
    <m/>
    <m/>
  </r>
  <r>
    <x v="6"/>
    <x v="3"/>
    <x v="15"/>
    <s v="FCAAT17"/>
    <x v="2"/>
    <d v="2023-11-21T00:00:00"/>
    <d v="1899-12-30T00:00:00"/>
    <n v="-76.88833769"/>
    <n v="3.5506537730000001"/>
    <n v="8"/>
    <s v="Derecho"/>
    <s v="Otro"/>
    <m/>
    <n v="1"/>
    <n v="0"/>
    <n v="30"/>
    <s v=""/>
    <n v="22.5"/>
    <s v="Hojas y/o Ramas"/>
    <s v="Bosque Primario"/>
    <m/>
    <x v="48"/>
    <m/>
    <n v="1"/>
    <m/>
    <m/>
    <m/>
    <m/>
    <m/>
    <m/>
    <m/>
    <n v="-76.887900000000002"/>
    <n v="3.5508000000000002"/>
    <m/>
    <m/>
    <m/>
    <m/>
    <m/>
    <m/>
    <m/>
    <m/>
    <s v="Rasante &lt;0.3 m"/>
    <s v="Auditivo"/>
    <m/>
  </r>
  <r>
    <x v="6"/>
    <x v="3"/>
    <x v="14"/>
    <s v="FCAAT13"/>
    <x v="2"/>
    <d v="2023-11-24T00:00:00"/>
    <d v="1899-12-30T00:00:00"/>
    <n v="-76.883404999999996"/>
    <n v="3.5524766670000001"/>
    <n v="8"/>
    <m/>
    <m/>
    <m/>
    <n v="0"/>
    <n v="0"/>
    <n v="20"/>
    <s v=""/>
    <n v="10"/>
    <m/>
    <m/>
    <m/>
    <x v="0"/>
    <m/>
    <n v="0"/>
    <m/>
    <m/>
    <m/>
    <m/>
    <m/>
    <m/>
    <m/>
    <n v="-76.882800000000003"/>
    <n v="3.5524766666666658"/>
    <m/>
    <m/>
    <m/>
    <m/>
    <m/>
    <m/>
    <m/>
    <m/>
    <m/>
    <m/>
    <m/>
  </r>
  <r>
    <x v="6"/>
    <x v="3"/>
    <x v="12"/>
    <s v="FCABT1"/>
    <x v="0"/>
    <d v="2023-11-23T00:00:00"/>
    <d v="1899-12-30T00:00:00"/>
    <n v="-76.891548330000006"/>
    <n v="3.5949516670000001"/>
    <n v="8"/>
    <m/>
    <m/>
    <m/>
    <n v="0"/>
    <n v="0"/>
    <n v="27"/>
    <s v=""/>
    <n v="22.5"/>
    <m/>
    <m/>
    <m/>
    <x v="0"/>
    <m/>
    <n v="0"/>
    <m/>
    <m/>
    <m/>
    <m/>
    <m/>
    <m/>
    <m/>
    <n v="-76.8917"/>
    <n v="3.5951"/>
    <m/>
    <m/>
    <m/>
    <m/>
    <m/>
    <m/>
    <m/>
    <m/>
    <m/>
    <m/>
    <m/>
  </r>
  <r>
    <x v="6"/>
    <x v="3"/>
    <x v="12"/>
    <s v="FCABT1"/>
    <x v="0"/>
    <d v="2023-11-23T00:00:00"/>
    <d v="1899-12-30T00:00:00"/>
    <n v="-76.891798550000004"/>
    <n v="3.5945087849999999"/>
    <n v="8"/>
    <m/>
    <m/>
    <m/>
    <n v="0"/>
    <n v="0"/>
    <n v="17.5"/>
    <s v=""/>
    <n v="2.5"/>
    <m/>
    <m/>
    <m/>
    <x v="0"/>
    <m/>
    <n v="0"/>
    <m/>
    <m/>
    <m/>
    <m/>
    <m/>
    <m/>
    <m/>
    <n v="-76.892099999999999"/>
    <n v="3.5952000000000002"/>
    <m/>
    <m/>
    <m/>
    <m/>
    <m/>
    <m/>
    <m/>
    <m/>
    <m/>
    <m/>
    <m/>
  </r>
  <r>
    <x v="7"/>
    <x v="4"/>
    <x v="23"/>
    <m/>
    <x v="7"/>
    <m/>
    <m/>
    <m/>
    <m/>
    <m/>
    <m/>
    <m/>
    <m/>
    <m/>
    <m/>
    <m/>
    <m/>
    <m/>
    <m/>
    <m/>
    <m/>
    <x v="51"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26EA8B-B18D-4FAF-9AFA-7B3A646D14F9}" name="TablaDinámica4" cacheId="2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5:J17" firstHeaderRow="1" firstDataRow="3" firstDataCol="1" rowPageCount="2" colPageCount="1"/>
  <pivotFields count="44">
    <pivotField axis="axisCol" outline="0" multipleItemSelectionAllowed="1" showAll="0" defaultSubtotal="0">
      <items count="8">
        <item h="1" x="0"/>
        <item h="1" x="1"/>
        <item h="1" x="2"/>
        <item h="1" x="3"/>
        <item h="1" x="4"/>
        <item x="5"/>
        <item x="6"/>
        <item h="1"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outline="0" multipleItemSelectionAllowed="1" showAll="0" defaultSubtotal="0">
      <items count="5">
        <item h="1" x="3"/>
        <item x="2"/>
        <item h="1" x="0"/>
        <item x="1"/>
        <item h="1"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>
      <items count="25">
        <item x="6"/>
        <item x="10"/>
        <item x="5"/>
        <item x="11"/>
        <item x="8"/>
        <item x="19"/>
        <item x="20"/>
        <item x="22"/>
        <item x="21"/>
        <item x="9"/>
        <item x="0"/>
        <item x="17"/>
        <item x="1"/>
        <item x="4"/>
        <item x="16"/>
        <item x="14"/>
        <item x="15"/>
        <item x="18"/>
        <item x="7"/>
        <item x="13"/>
        <item x="12"/>
        <item x="2"/>
        <item x="3"/>
        <item x="23"/>
        <item t="default"/>
      </items>
    </pivotField>
    <pivotField showAll="0"/>
    <pivotField axis="axisCol" showAll="0">
      <items count="9">
        <item x="0"/>
        <item x="1"/>
        <item x="2"/>
        <item x="3"/>
        <item x="4"/>
        <item x="6"/>
        <item x="5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59">
        <item h="1" x="26"/>
        <item h="1" x="27"/>
        <item h="1" x="47"/>
        <item h="1" x="38"/>
        <item h="1" x="39"/>
        <item h="1" x="6"/>
        <item h="1" x="23"/>
        <item h="1" x="44"/>
        <item h="1" x="7"/>
        <item h="1" x="41"/>
        <item h="1" x="49"/>
        <item h="1" x="15"/>
        <item h="1" x="40"/>
        <item h="1" x="31"/>
        <item h="1" x="21"/>
        <item h="1" x="11"/>
        <item h="1" x="30"/>
        <item h="1" x="4"/>
        <item h="1" m="1" x="54"/>
        <item h="1" x="14"/>
        <item h="1" x="8"/>
        <item h="1" x="37"/>
        <item h="1" m="1" x="53"/>
        <item h="1" m="1" x="55"/>
        <item h="1" x="22"/>
        <item h="1" x="1"/>
        <item h="1" x="2"/>
        <item h="1" x="17"/>
        <item h="1" x="45"/>
        <item h="1" x="34"/>
        <item h="1" m="1" x="56"/>
        <item h="1" x="36"/>
        <item h="1" x="9"/>
        <item h="1" x="13"/>
        <item h="1" x="12"/>
        <item h="1" x="10"/>
        <item h="1" x="18"/>
        <item h="1" x="19"/>
        <item h="1" x="33"/>
        <item h="1" x="24"/>
        <item h="1" x="48"/>
        <item h="1" x="46"/>
        <item h="1" x="5"/>
        <item h="1" x="42"/>
        <item h="1" x="16"/>
        <item x="3"/>
        <item h="1" x="32"/>
        <item h="1" x="43"/>
        <item h="1" x="35"/>
        <item h="1" m="1" x="52"/>
        <item h="1" x="25"/>
        <item h="1" x="29"/>
        <item h="1" x="20"/>
        <item h="1" x="50"/>
        <item x="0"/>
        <item h="1" x="28"/>
        <item h="1" m="1" x="57"/>
        <item h="1" x="5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10">
    <i>
      <x v="1"/>
    </i>
    <i>
      <x v="2"/>
    </i>
    <i>
      <x v="3"/>
    </i>
    <i>
      <x v="4"/>
    </i>
    <i>
      <x v="5"/>
    </i>
    <i>
      <x v="9"/>
    </i>
    <i>
      <x v="11"/>
    </i>
    <i>
      <x v="17"/>
    </i>
    <i>
      <x v="18"/>
    </i>
    <i t="grand">
      <x/>
    </i>
  </rowItems>
  <colFields count="2">
    <field x="0"/>
    <field x="4"/>
  </colFields>
  <colItems count="9">
    <i>
      <x v="5"/>
      <x/>
    </i>
    <i r="1">
      <x v="1"/>
    </i>
    <i r="1">
      <x v="2"/>
    </i>
    <i r="1">
      <x v="3"/>
    </i>
    <i>
      <x v="6"/>
      <x/>
    </i>
    <i r="1">
      <x v="1"/>
    </i>
    <i r="1">
      <x v="2"/>
    </i>
    <i r="1">
      <x v="4"/>
    </i>
    <i t="grand">
      <x/>
    </i>
  </colItems>
  <pageFields count="2">
    <pageField fld="1" hier="-1"/>
    <pageField fld="21" hier="-1"/>
  </pageFields>
  <dataFields count="1">
    <dataField name="Suma de NumeroIndividuos" fld="2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946D5-ACE9-4A51-BD99-A4B777C85996}">
  <dimension ref="A2:J17"/>
  <sheetViews>
    <sheetView zoomScale="169" workbookViewId="0">
      <selection activeCell="B10" sqref="B10"/>
    </sheetView>
  </sheetViews>
  <sheetFormatPr baseColWidth="10" defaultRowHeight="15" x14ac:dyDescent="0.2"/>
  <cols>
    <col min="1" max="1" width="23" bestFit="1" customWidth="1"/>
    <col min="2" max="2" width="20.6640625" bestFit="1" customWidth="1"/>
    <col min="3" max="5" width="5.1640625" bestFit="1" customWidth="1"/>
    <col min="6" max="6" width="7.6640625" bestFit="1" customWidth="1"/>
    <col min="7" max="9" width="5.1640625" bestFit="1" customWidth="1"/>
    <col min="10" max="10" width="11.1640625" bestFit="1" customWidth="1"/>
    <col min="11" max="11" width="5.6640625" bestFit="1" customWidth="1"/>
    <col min="12" max="12" width="5.33203125" bestFit="1" customWidth="1"/>
    <col min="13" max="13" width="7.5" bestFit="1" customWidth="1"/>
    <col min="14" max="14" width="5.6640625" bestFit="1" customWidth="1"/>
    <col min="15" max="15" width="5.33203125" bestFit="1" customWidth="1"/>
    <col min="16" max="16" width="7.5" bestFit="1" customWidth="1"/>
    <col min="17" max="17" width="5.6640625" bestFit="1" customWidth="1"/>
    <col min="18" max="18" width="5.33203125" bestFit="1" customWidth="1"/>
    <col min="19" max="19" width="9.1640625" bestFit="1" customWidth="1"/>
    <col min="20" max="20" width="5.83203125" bestFit="1" customWidth="1"/>
    <col min="21" max="21" width="5.6640625" bestFit="1" customWidth="1"/>
    <col min="22" max="22" width="5.33203125" bestFit="1" customWidth="1"/>
    <col min="23" max="23" width="9.1640625" bestFit="1" customWidth="1"/>
    <col min="24" max="24" width="5.83203125" bestFit="1" customWidth="1"/>
    <col min="25" max="25" width="5.33203125" bestFit="1" customWidth="1"/>
    <col min="26" max="26" width="11.33203125" bestFit="1" customWidth="1"/>
    <col min="27" max="27" width="20.83203125" bestFit="1" customWidth="1"/>
    <col min="28" max="28" width="14.83203125" bestFit="1" customWidth="1"/>
    <col min="29" max="29" width="14.6640625" bestFit="1" customWidth="1"/>
    <col min="30" max="30" width="19.6640625" bestFit="1" customWidth="1"/>
    <col min="31" max="31" width="19.1640625" bestFit="1" customWidth="1"/>
    <col min="32" max="32" width="17.6640625" bestFit="1" customWidth="1"/>
    <col min="33" max="33" width="19" bestFit="1" customWidth="1"/>
    <col min="34" max="34" width="18.33203125" bestFit="1" customWidth="1"/>
    <col min="35" max="35" width="22.1640625" bestFit="1" customWidth="1"/>
    <col min="36" max="36" width="16.6640625" bestFit="1" customWidth="1"/>
    <col min="37" max="37" width="17.83203125" bestFit="1" customWidth="1"/>
    <col min="38" max="38" width="17" bestFit="1" customWidth="1"/>
    <col min="39" max="39" width="17.6640625" bestFit="1" customWidth="1"/>
    <col min="40" max="40" width="18.6640625" bestFit="1" customWidth="1"/>
    <col min="41" max="41" width="20.83203125" bestFit="1" customWidth="1"/>
    <col min="42" max="42" width="16.5" bestFit="1" customWidth="1"/>
    <col min="43" max="43" width="16.33203125" bestFit="1" customWidth="1"/>
    <col min="44" max="44" width="17.1640625" bestFit="1" customWidth="1"/>
    <col min="45" max="45" width="17.83203125" bestFit="1" customWidth="1"/>
    <col min="46" max="46" width="19.6640625" bestFit="1" customWidth="1"/>
    <col min="47" max="47" width="20.5" bestFit="1" customWidth="1"/>
    <col min="48" max="48" width="22.6640625" bestFit="1" customWidth="1"/>
    <col min="49" max="49" width="17.6640625" bestFit="1" customWidth="1"/>
    <col min="50" max="50" width="15" bestFit="1" customWidth="1"/>
    <col min="51" max="51" width="13.33203125" bestFit="1" customWidth="1"/>
    <col min="52" max="52" width="14.33203125" bestFit="1" customWidth="1"/>
    <col min="53" max="53" width="11.33203125" bestFit="1" customWidth="1"/>
    <col min="54" max="54" width="14.6640625" bestFit="1" customWidth="1"/>
    <col min="55" max="55" width="19.6640625" bestFit="1" customWidth="1"/>
    <col min="56" max="56" width="19.1640625" bestFit="1" customWidth="1"/>
    <col min="57" max="57" width="22.1640625" bestFit="1" customWidth="1"/>
    <col min="58" max="58" width="16.6640625" bestFit="1" customWidth="1"/>
    <col min="59" max="59" width="17.83203125" bestFit="1" customWidth="1"/>
    <col min="60" max="60" width="20.83203125" bestFit="1" customWidth="1"/>
    <col min="61" max="61" width="16.33203125" bestFit="1" customWidth="1"/>
    <col min="62" max="62" width="17.1640625" bestFit="1" customWidth="1"/>
    <col min="63" max="63" width="17.83203125" bestFit="1" customWidth="1"/>
    <col min="64" max="64" width="19.6640625" bestFit="1" customWidth="1"/>
    <col min="65" max="65" width="20.5" bestFit="1" customWidth="1"/>
    <col min="66" max="66" width="11.1640625" bestFit="1" customWidth="1"/>
  </cols>
  <sheetData>
    <row r="2" spans="1:10" x14ac:dyDescent="0.2">
      <c r="A2" s="1" t="s">
        <v>26</v>
      </c>
      <c r="B2" t="s">
        <v>615</v>
      </c>
    </row>
    <row r="3" spans="1:10" x14ac:dyDescent="0.2">
      <c r="A3" s="1" t="s">
        <v>82</v>
      </c>
      <c r="B3" t="s">
        <v>615</v>
      </c>
    </row>
    <row r="5" spans="1:10" x14ac:dyDescent="0.2">
      <c r="A5" s="1" t="s">
        <v>560</v>
      </c>
      <c r="B5" s="1" t="s">
        <v>84</v>
      </c>
    </row>
    <row r="6" spans="1:10" x14ac:dyDescent="0.2">
      <c r="B6">
        <v>2022</v>
      </c>
      <c r="C6">
        <v>2022</v>
      </c>
      <c r="D6">
        <v>2022</v>
      </c>
      <c r="E6">
        <v>2022</v>
      </c>
      <c r="F6">
        <v>2023</v>
      </c>
      <c r="G6">
        <v>2023</v>
      </c>
      <c r="H6">
        <v>2023</v>
      </c>
      <c r="I6">
        <v>2023</v>
      </c>
      <c r="J6" t="s">
        <v>83</v>
      </c>
    </row>
    <row r="7" spans="1:10" x14ac:dyDescent="0.2">
      <c r="A7" s="1" t="s">
        <v>0</v>
      </c>
      <c r="B7" t="s">
        <v>111</v>
      </c>
      <c r="C7" t="s">
        <v>122</v>
      </c>
      <c r="D7" t="s">
        <v>127</v>
      </c>
      <c r="E7" t="s">
        <v>135</v>
      </c>
      <c r="F7" t="s">
        <v>111</v>
      </c>
      <c r="G7" t="s">
        <v>122</v>
      </c>
      <c r="H7" t="s">
        <v>127</v>
      </c>
      <c r="I7" t="s">
        <v>157</v>
      </c>
    </row>
    <row r="8" spans="1:10" x14ac:dyDescent="0.2">
      <c r="A8" s="12" t="s">
        <v>11</v>
      </c>
      <c r="B8">
        <v>1</v>
      </c>
      <c r="C8">
        <v>1</v>
      </c>
      <c r="H8">
        <v>0</v>
      </c>
      <c r="J8">
        <v>2</v>
      </c>
    </row>
    <row r="9" spans="1:10" x14ac:dyDescent="0.2">
      <c r="A9" s="12" t="s">
        <v>23</v>
      </c>
      <c r="B9">
        <v>6</v>
      </c>
      <c r="C9">
        <v>1</v>
      </c>
      <c r="D9">
        <v>0</v>
      </c>
      <c r="F9">
        <v>2</v>
      </c>
      <c r="G9">
        <v>0</v>
      </c>
      <c r="H9">
        <v>0</v>
      </c>
      <c r="J9">
        <v>9</v>
      </c>
    </row>
    <row r="10" spans="1:10" x14ac:dyDescent="0.2">
      <c r="A10" s="12" t="s">
        <v>12</v>
      </c>
      <c r="C10">
        <v>1</v>
      </c>
      <c r="E10">
        <v>1</v>
      </c>
      <c r="G10">
        <v>2</v>
      </c>
      <c r="J10">
        <v>4</v>
      </c>
    </row>
    <row r="11" spans="1:10" x14ac:dyDescent="0.2">
      <c r="A11" s="12" t="s">
        <v>13</v>
      </c>
      <c r="B11">
        <v>3</v>
      </c>
      <c r="C11">
        <v>5</v>
      </c>
      <c r="D11">
        <v>4</v>
      </c>
      <c r="F11">
        <v>6</v>
      </c>
      <c r="H11">
        <v>5</v>
      </c>
      <c r="J11">
        <v>23</v>
      </c>
    </row>
    <row r="12" spans="1:10" x14ac:dyDescent="0.2">
      <c r="A12" s="12" t="s">
        <v>69</v>
      </c>
      <c r="B12">
        <v>4</v>
      </c>
      <c r="C12">
        <v>4</v>
      </c>
      <c r="D12">
        <v>7</v>
      </c>
      <c r="F12">
        <v>3</v>
      </c>
      <c r="G12">
        <v>5</v>
      </c>
      <c r="H12">
        <v>2</v>
      </c>
      <c r="J12">
        <v>25</v>
      </c>
    </row>
    <row r="13" spans="1:10" x14ac:dyDescent="0.2">
      <c r="A13" s="12" t="s">
        <v>14</v>
      </c>
      <c r="C13">
        <v>1</v>
      </c>
      <c r="D13">
        <v>0</v>
      </c>
      <c r="E13">
        <v>0</v>
      </c>
      <c r="F13">
        <v>0</v>
      </c>
      <c r="H13">
        <v>1</v>
      </c>
      <c r="J13">
        <v>2</v>
      </c>
    </row>
    <row r="14" spans="1:10" x14ac:dyDescent="0.2">
      <c r="A14" s="12" t="s">
        <v>66</v>
      </c>
      <c r="F14">
        <v>2</v>
      </c>
      <c r="G14">
        <v>1</v>
      </c>
      <c r="J14">
        <v>3</v>
      </c>
    </row>
    <row r="15" spans="1:10" x14ac:dyDescent="0.2">
      <c r="A15" s="12" t="s">
        <v>67</v>
      </c>
      <c r="I15">
        <v>3</v>
      </c>
      <c r="J15">
        <v>3</v>
      </c>
    </row>
    <row r="16" spans="1:10" x14ac:dyDescent="0.2">
      <c r="A16" s="12" t="s">
        <v>24</v>
      </c>
      <c r="F16">
        <v>0</v>
      </c>
      <c r="J16">
        <v>0</v>
      </c>
    </row>
    <row r="17" spans="1:10" x14ac:dyDescent="0.2">
      <c r="A17" s="12" t="s">
        <v>83</v>
      </c>
      <c r="B17">
        <v>14</v>
      </c>
      <c r="C17">
        <v>13</v>
      </c>
      <c r="D17">
        <v>11</v>
      </c>
      <c r="E17">
        <v>1</v>
      </c>
      <c r="F17">
        <v>13</v>
      </c>
      <c r="G17">
        <v>8</v>
      </c>
      <c r="H17">
        <v>8</v>
      </c>
      <c r="I17">
        <v>3</v>
      </c>
      <c r="J17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BC9BA-BC20-E647-8822-05D3F9387F4B}">
  <dimension ref="A1:K27"/>
  <sheetViews>
    <sheetView zoomScale="136" workbookViewId="0">
      <selection activeCell="B14" sqref="B14"/>
    </sheetView>
  </sheetViews>
  <sheetFormatPr baseColWidth="10" defaultRowHeight="15" x14ac:dyDescent="0.2"/>
  <sheetData>
    <row r="1" spans="1:10" x14ac:dyDescent="0.2">
      <c r="A1" s="19" t="s">
        <v>0</v>
      </c>
      <c r="B1" s="19" t="s">
        <v>111</v>
      </c>
      <c r="C1" s="19" t="s">
        <v>122</v>
      </c>
      <c r="D1" s="19" t="s">
        <v>127</v>
      </c>
      <c r="E1" s="19" t="s">
        <v>135</v>
      </c>
      <c r="F1" s="19" t="s">
        <v>157</v>
      </c>
    </row>
    <row r="2" spans="1:10" x14ac:dyDescent="0.2">
      <c r="A2" s="12" t="s">
        <v>22</v>
      </c>
      <c r="B2" s="20"/>
      <c r="C2">
        <v>16</v>
      </c>
      <c r="D2">
        <v>27</v>
      </c>
      <c r="E2">
        <v>8</v>
      </c>
      <c r="F2">
        <v>13</v>
      </c>
    </row>
    <row r="3" spans="1:10" x14ac:dyDescent="0.2">
      <c r="A3" s="12" t="s">
        <v>11</v>
      </c>
      <c r="B3">
        <v>4</v>
      </c>
      <c r="C3">
        <v>3</v>
      </c>
      <c r="D3">
        <v>0</v>
      </c>
      <c r="E3" s="20"/>
      <c r="F3" s="20"/>
    </row>
    <row r="4" spans="1:10" x14ac:dyDescent="0.2">
      <c r="A4" s="12" t="s">
        <v>23</v>
      </c>
      <c r="B4">
        <v>2</v>
      </c>
      <c r="C4">
        <v>0</v>
      </c>
      <c r="D4">
        <v>0</v>
      </c>
      <c r="E4" s="20"/>
      <c r="F4" s="20"/>
    </row>
    <row r="5" spans="1:10" x14ac:dyDescent="0.2">
      <c r="A5" s="12" t="s">
        <v>12</v>
      </c>
      <c r="B5">
        <v>1</v>
      </c>
      <c r="C5">
        <v>3</v>
      </c>
      <c r="D5" s="20"/>
      <c r="E5">
        <v>2</v>
      </c>
      <c r="F5">
        <v>4</v>
      </c>
    </row>
    <row r="6" spans="1:10" x14ac:dyDescent="0.2">
      <c r="A6" s="12" t="s">
        <v>13</v>
      </c>
      <c r="B6">
        <v>8</v>
      </c>
      <c r="C6" s="20"/>
      <c r="D6">
        <v>5</v>
      </c>
      <c r="E6" s="20"/>
      <c r="F6" s="20"/>
    </row>
    <row r="7" spans="1:10" x14ac:dyDescent="0.2">
      <c r="A7" s="12" t="s">
        <v>69</v>
      </c>
      <c r="B7">
        <v>9</v>
      </c>
      <c r="C7">
        <v>5</v>
      </c>
      <c r="D7">
        <v>2</v>
      </c>
      <c r="E7" s="20"/>
      <c r="F7" s="20"/>
    </row>
    <row r="8" spans="1:10" x14ac:dyDescent="0.2">
      <c r="A8" s="12" t="s">
        <v>14</v>
      </c>
      <c r="B8">
        <v>0</v>
      </c>
      <c r="C8">
        <v>1</v>
      </c>
      <c r="D8">
        <v>2</v>
      </c>
      <c r="E8">
        <v>1</v>
      </c>
      <c r="F8" s="20"/>
    </row>
    <row r="9" spans="1:10" x14ac:dyDescent="0.2">
      <c r="A9" s="12" t="s">
        <v>66</v>
      </c>
      <c r="B9">
        <v>7</v>
      </c>
      <c r="C9">
        <v>5</v>
      </c>
      <c r="D9" s="20"/>
      <c r="E9" s="20"/>
      <c r="F9" s="20"/>
    </row>
    <row r="10" spans="1:10" x14ac:dyDescent="0.2">
      <c r="A10" s="12" t="s">
        <v>67</v>
      </c>
      <c r="B10" s="20"/>
      <c r="C10" s="20"/>
      <c r="D10" s="20"/>
      <c r="E10">
        <v>4</v>
      </c>
      <c r="F10">
        <v>5</v>
      </c>
    </row>
    <row r="11" spans="1:10" x14ac:dyDescent="0.2">
      <c r="A11" s="12" t="s">
        <v>24</v>
      </c>
      <c r="B11">
        <v>0</v>
      </c>
      <c r="C11">
        <v>12</v>
      </c>
      <c r="D11" s="20"/>
      <c r="E11" s="20"/>
      <c r="F11" s="20"/>
    </row>
    <row r="16" spans="1:10" x14ac:dyDescent="0.2">
      <c r="C16" t="s">
        <v>619</v>
      </c>
      <c r="J16" t="s">
        <v>620</v>
      </c>
    </row>
    <row r="17" spans="1:11" x14ac:dyDescent="0.2">
      <c r="A17" s="19" t="s">
        <v>0</v>
      </c>
      <c r="B17" s="19" t="s">
        <v>111</v>
      </c>
      <c r="C17" s="19" t="s">
        <v>122</v>
      </c>
      <c r="D17" s="19" t="s">
        <v>127</v>
      </c>
      <c r="E17" s="19" t="s">
        <v>135</v>
      </c>
      <c r="F17" s="19" t="s">
        <v>157</v>
      </c>
      <c r="H17" s="19" t="s">
        <v>0</v>
      </c>
      <c r="I17" s="13" t="s">
        <v>617</v>
      </c>
      <c r="J17" s="13" t="s">
        <v>618</v>
      </c>
      <c r="K17" s="13" t="s">
        <v>95</v>
      </c>
    </row>
    <row r="18" spans="1:11" x14ac:dyDescent="0.2">
      <c r="A18" t="s">
        <v>22</v>
      </c>
      <c r="B18" s="20" t="s">
        <v>616</v>
      </c>
      <c r="C18">
        <v>0</v>
      </c>
      <c r="D18">
        <v>0</v>
      </c>
      <c r="E18">
        <v>0</v>
      </c>
      <c r="F18">
        <v>0</v>
      </c>
      <c r="H18" t="s">
        <v>22</v>
      </c>
      <c r="I18">
        <v>1</v>
      </c>
      <c r="J18">
        <v>3</v>
      </c>
    </row>
    <row r="19" spans="1:11" x14ac:dyDescent="0.2">
      <c r="A19" t="s">
        <v>11</v>
      </c>
      <c r="B19">
        <v>0</v>
      </c>
      <c r="C19">
        <v>0</v>
      </c>
      <c r="D19">
        <v>0</v>
      </c>
      <c r="E19" s="20" t="s">
        <v>616</v>
      </c>
      <c r="F19" s="20" t="s">
        <v>616</v>
      </c>
      <c r="H19" t="s">
        <v>11</v>
      </c>
    </row>
    <row r="20" spans="1:11" x14ac:dyDescent="0.2">
      <c r="A20" s="12" t="s">
        <v>23</v>
      </c>
      <c r="B20">
        <v>1</v>
      </c>
      <c r="C20">
        <v>0</v>
      </c>
      <c r="D20">
        <v>0</v>
      </c>
      <c r="E20" s="20" t="s">
        <v>616</v>
      </c>
      <c r="F20" s="20" t="s">
        <v>616</v>
      </c>
      <c r="H20" s="12" t="s">
        <v>23</v>
      </c>
    </row>
    <row r="21" spans="1:11" x14ac:dyDescent="0.2">
      <c r="A21" s="12" t="s">
        <v>12</v>
      </c>
      <c r="B21">
        <v>0</v>
      </c>
      <c r="C21">
        <v>1</v>
      </c>
      <c r="D21" s="20" t="s">
        <v>616</v>
      </c>
      <c r="E21">
        <v>0</v>
      </c>
      <c r="F21">
        <v>0</v>
      </c>
      <c r="H21" s="12" t="s">
        <v>12</v>
      </c>
    </row>
    <row r="22" spans="1:11" x14ac:dyDescent="0.2">
      <c r="A22" s="12" t="s">
        <v>13</v>
      </c>
      <c r="B22">
        <v>1</v>
      </c>
      <c r="C22" s="20" t="s">
        <v>616</v>
      </c>
      <c r="D22">
        <v>1</v>
      </c>
      <c r="E22" s="20" t="s">
        <v>616</v>
      </c>
      <c r="F22" s="20" t="s">
        <v>616</v>
      </c>
      <c r="H22" s="12" t="s">
        <v>13</v>
      </c>
    </row>
    <row r="23" spans="1:11" x14ac:dyDescent="0.2">
      <c r="A23" s="12" t="s">
        <v>69</v>
      </c>
      <c r="B23">
        <v>1</v>
      </c>
      <c r="C23">
        <v>1</v>
      </c>
      <c r="D23">
        <v>1</v>
      </c>
      <c r="E23" s="20" t="s">
        <v>616</v>
      </c>
      <c r="F23" s="20" t="s">
        <v>616</v>
      </c>
      <c r="H23" s="12" t="s">
        <v>69</v>
      </c>
    </row>
    <row r="24" spans="1:11" x14ac:dyDescent="0.2">
      <c r="A24" s="12" t="s">
        <v>14</v>
      </c>
      <c r="B24">
        <v>0</v>
      </c>
      <c r="C24">
        <v>0</v>
      </c>
      <c r="D24">
        <v>1</v>
      </c>
      <c r="E24">
        <v>0</v>
      </c>
      <c r="F24" s="20" t="s">
        <v>616</v>
      </c>
      <c r="H24" s="12" t="s">
        <v>14</v>
      </c>
    </row>
    <row r="25" spans="1:11" x14ac:dyDescent="0.2">
      <c r="A25" s="12" t="s">
        <v>66</v>
      </c>
      <c r="B25">
        <v>1</v>
      </c>
      <c r="C25">
        <v>1</v>
      </c>
      <c r="D25" s="20" t="s">
        <v>616</v>
      </c>
      <c r="E25" s="20" t="s">
        <v>616</v>
      </c>
      <c r="F25" s="20" t="s">
        <v>616</v>
      </c>
      <c r="H25" s="12" t="s">
        <v>66</v>
      </c>
    </row>
    <row r="26" spans="1:11" x14ac:dyDescent="0.2">
      <c r="A26" s="12" t="s">
        <v>67</v>
      </c>
      <c r="B26" s="20" t="s">
        <v>616</v>
      </c>
      <c r="C26" s="20" t="s">
        <v>616</v>
      </c>
      <c r="D26" s="20" t="s">
        <v>616</v>
      </c>
      <c r="E26">
        <v>0</v>
      </c>
      <c r="F26">
        <v>1</v>
      </c>
      <c r="H26" s="12" t="s">
        <v>67</v>
      </c>
    </row>
    <row r="27" spans="1:11" x14ac:dyDescent="0.2">
      <c r="A27" s="12" t="s">
        <v>24</v>
      </c>
      <c r="B27">
        <v>0</v>
      </c>
      <c r="C27">
        <v>0</v>
      </c>
      <c r="D27" s="20" t="s">
        <v>616</v>
      </c>
      <c r="E27" s="20" t="s">
        <v>616</v>
      </c>
      <c r="F27" s="20" t="s">
        <v>616</v>
      </c>
      <c r="H27" s="12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21355-6B6F-4346-A2CA-EEFA6A56DEDD}">
  <dimension ref="A1:B2"/>
  <sheetViews>
    <sheetView zoomScale="245" workbookViewId="0">
      <selection activeCell="B1" sqref="B1"/>
    </sheetView>
  </sheetViews>
  <sheetFormatPr baseColWidth="10" defaultRowHeight="15" x14ac:dyDescent="0.2"/>
  <sheetData>
    <row r="1" spans="1:2" x14ac:dyDescent="0.2">
      <c r="A1" s="21">
        <v>45181</v>
      </c>
      <c r="B1" t="s">
        <v>622</v>
      </c>
    </row>
    <row r="2" spans="1:2" x14ac:dyDescent="0.2">
      <c r="A2" s="22">
        <v>0.54166666666666663</v>
      </c>
      <c r="B2" t="s">
        <v>621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E53C0-C7ED-43C2-92C1-4A1242238745}">
  <sheetPr>
    <tabColor rgb="FFFF0000"/>
  </sheetPr>
  <dimension ref="A1:AR1140"/>
  <sheetViews>
    <sheetView tabSelected="1" topLeftCell="AH1" workbookViewId="0">
      <pane ySplit="1" topLeftCell="A1010" activePane="bottomLeft" state="frozen"/>
      <selection pane="bottomLeft" activeCell="L2" sqref="L2:L1137"/>
    </sheetView>
  </sheetViews>
  <sheetFormatPr baseColWidth="10" defaultRowHeight="15" x14ac:dyDescent="0.2"/>
  <cols>
    <col min="1" max="1" width="9.1640625" bestFit="1" customWidth="1"/>
    <col min="2" max="2" width="11.5" bestFit="1" customWidth="1"/>
    <col min="3" max="3" width="24.6640625" bestFit="1" customWidth="1"/>
    <col min="4" max="4" width="14.5" bestFit="1" customWidth="1"/>
    <col min="5" max="5" width="15.33203125" bestFit="1" customWidth="1"/>
    <col min="6" max="6" width="11.1640625" style="4" bestFit="1" customWidth="1"/>
    <col min="7" max="7" width="13" bestFit="1" customWidth="1"/>
    <col min="8" max="8" width="12.6640625" bestFit="1" customWidth="1"/>
    <col min="9" max="9" width="12" bestFit="1" customWidth="1"/>
    <col min="10" max="10" width="16" bestFit="1" customWidth="1"/>
    <col min="11" max="11" width="10.1640625" bestFit="1" customWidth="1"/>
    <col min="12" max="12" width="64" bestFit="1" customWidth="1"/>
    <col min="13" max="13" width="11.5" bestFit="1" customWidth="1"/>
    <col min="14" max="14" width="12.33203125" bestFit="1" customWidth="1"/>
    <col min="15" max="15" width="14.5" bestFit="1" customWidth="1"/>
    <col min="16" max="16" width="19.33203125" bestFit="1" customWidth="1"/>
    <col min="17" max="17" width="23.5" bestFit="1" customWidth="1"/>
    <col min="18" max="18" width="14.83203125" bestFit="1" customWidth="1"/>
    <col min="19" max="20" width="22.33203125" bestFit="1" customWidth="1"/>
    <col min="21" max="21" width="43.5" bestFit="1" customWidth="1"/>
    <col min="22" max="22" width="32" bestFit="1" customWidth="1"/>
    <col min="23" max="23" width="46.1640625" bestFit="1" customWidth="1"/>
    <col min="24" max="24" width="22.1640625" bestFit="1" customWidth="1"/>
    <col min="25" max="25" width="22.5" bestFit="1" customWidth="1"/>
    <col min="26" max="26" width="25.5" bestFit="1" customWidth="1"/>
    <col min="27" max="27" width="32" bestFit="1" customWidth="1"/>
    <col min="28" max="28" width="18.1640625" bestFit="1" customWidth="1"/>
    <col min="29" max="29" width="54.1640625" bestFit="1" customWidth="1"/>
    <col min="30" max="30" width="52.5" bestFit="1" customWidth="1"/>
    <col min="31" max="31" width="30.33203125" bestFit="1" customWidth="1"/>
    <col min="32" max="32" width="12.83203125" bestFit="1" customWidth="1"/>
    <col min="33" max="33" width="12.6640625" bestFit="1" customWidth="1"/>
    <col min="34" max="34" width="18" bestFit="1" customWidth="1"/>
    <col min="35" max="35" width="14.1640625" bestFit="1" customWidth="1"/>
    <col min="36" max="36" width="13.6640625" bestFit="1" customWidth="1"/>
    <col min="37" max="37" width="12.6640625" bestFit="1" customWidth="1"/>
    <col min="38" max="38" width="12" bestFit="1" customWidth="1"/>
    <col min="39" max="39" width="18.5" bestFit="1" customWidth="1"/>
    <col min="40" max="40" width="14.6640625" bestFit="1" customWidth="1"/>
    <col min="41" max="41" width="14.33203125" bestFit="1" customWidth="1"/>
    <col min="42" max="42" width="18" bestFit="1" customWidth="1"/>
    <col min="43" max="43" width="17.5" bestFit="1" customWidth="1"/>
    <col min="44" max="44" width="18.83203125" bestFit="1" customWidth="1"/>
  </cols>
  <sheetData>
    <row r="1" spans="1:44" s="2" customFormat="1" ht="13" x14ac:dyDescent="0.15">
      <c r="A1" s="2" t="s">
        <v>25</v>
      </c>
      <c r="B1" s="2" t="s">
        <v>26</v>
      </c>
      <c r="C1" s="2" t="s">
        <v>1</v>
      </c>
      <c r="D1" s="2" t="s">
        <v>85</v>
      </c>
      <c r="E1" s="2" t="s">
        <v>86</v>
      </c>
      <c r="F1" s="3" t="s">
        <v>87</v>
      </c>
      <c r="G1" s="2" t="s">
        <v>88</v>
      </c>
      <c r="H1" s="2" t="s">
        <v>89</v>
      </c>
      <c r="I1" s="2" t="s">
        <v>90</v>
      </c>
      <c r="J1" s="2" t="s">
        <v>91</v>
      </c>
      <c r="K1" s="2" t="s">
        <v>92</v>
      </c>
      <c r="L1" s="2" t="s">
        <v>93</v>
      </c>
      <c r="M1" s="2" t="s">
        <v>94</v>
      </c>
      <c r="N1" s="2" t="s">
        <v>95</v>
      </c>
      <c r="O1" s="2" t="s">
        <v>96</v>
      </c>
      <c r="P1" s="2" t="s">
        <v>97</v>
      </c>
      <c r="Q1" s="2" t="s">
        <v>98</v>
      </c>
      <c r="R1" s="2" t="s">
        <v>99</v>
      </c>
      <c r="S1" s="2" t="s">
        <v>100</v>
      </c>
      <c r="T1" s="2" t="s">
        <v>101</v>
      </c>
      <c r="U1" s="2" t="s">
        <v>102</v>
      </c>
      <c r="V1" s="2" t="s">
        <v>82</v>
      </c>
      <c r="W1" s="2" t="s">
        <v>103</v>
      </c>
      <c r="X1" s="2" t="s">
        <v>104</v>
      </c>
      <c r="Y1" s="2" t="s">
        <v>105</v>
      </c>
      <c r="Z1" s="2" t="s">
        <v>106</v>
      </c>
      <c r="AA1" s="2" t="s">
        <v>107</v>
      </c>
      <c r="AB1" s="2" t="s">
        <v>108</v>
      </c>
      <c r="AC1" s="2" t="s">
        <v>109</v>
      </c>
      <c r="AD1" s="7" t="s">
        <v>423</v>
      </c>
      <c r="AE1" s="7" t="s">
        <v>424</v>
      </c>
      <c r="AF1" s="7" t="s">
        <v>425</v>
      </c>
      <c r="AG1" s="7" t="s">
        <v>426</v>
      </c>
      <c r="AH1" s="7" t="s">
        <v>427</v>
      </c>
      <c r="AI1" s="7" t="s">
        <v>428</v>
      </c>
      <c r="AJ1" s="7" t="s">
        <v>429</v>
      </c>
      <c r="AK1" s="7" t="s">
        <v>430</v>
      </c>
      <c r="AL1" s="7" t="s">
        <v>431</v>
      </c>
      <c r="AM1" s="7" t="s">
        <v>432</v>
      </c>
      <c r="AN1" s="7" t="s">
        <v>433</v>
      </c>
      <c r="AO1" s="7" t="s">
        <v>434</v>
      </c>
      <c r="AP1" s="7" t="s">
        <v>421</v>
      </c>
      <c r="AQ1" s="7" t="s">
        <v>422</v>
      </c>
      <c r="AR1" s="7" t="s">
        <v>542</v>
      </c>
    </row>
    <row r="2" spans="1:44" x14ac:dyDescent="0.2">
      <c r="A2">
        <v>2017</v>
      </c>
      <c r="B2" t="s">
        <v>15</v>
      </c>
      <c r="C2" t="s">
        <v>16</v>
      </c>
      <c r="D2" t="s">
        <v>110</v>
      </c>
      <c r="E2" t="s">
        <v>111</v>
      </c>
      <c r="F2" s="4">
        <v>42997</v>
      </c>
      <c r="G2" s="5">
        <v>0.38333333333333336</v>
      </c>
      <c r="H2">
        <v>-76.688502777777785</v>
      </c>
      <c r="I2">
        <v>3.4086722222222221</v>
      </c>
      <c r="J2">
        <v>1</v>
      </c>
      <c r="K2" t="s">
        <v>112</v>
      </c>
      <c r="L2" t="s">
        <v>113</v>
      </c>
      <c r="M2">
        <v>3410</v>
      </c>
      <c r="N2" t="s">
        <v>114</v>
      </c>
      <c r="O2" t="b">
        <v>1</v>
      </c>
      <c r="P2">
        <v>5</v>
      </c>
      <c r="Q2">
        <v>2</v>
      </c>
      <c r="R2">
        <v>30</v>
      </c>
      <c r="U2" t="s">
        <v>115</v>
      </c>
      <c r="V2" t="s">
        <v>47</v>
      </c>
      <c r="W2" t="s">
        <v>116</v>
      </c>
      <c r="X2">
        <v>0</v>
      </c>
      <c r="AA2" t="s">
        <v>117</v>
      </c>
    </row>
    <row r="3" spans="1:44" x14ac:dyDescent="0.2">
      <c r="A3">
        <v>2017</v>
      </c>
      <c r="B3" t="s">
        <v>15</v>
      </c>
      <c r="C3" t="s">
        <v>16</v>
      </c>
      <c r="D3" t="s">
        <v>110</v>
      </c>
      <c r="E3" t="s">
        <v>111</v>
      </c>
      <c r="F3" s="4">
        <v>42997</v>
      </c>
      <c r="G3" s="5">
        <v>0.4</v>
      </c>
      <c r="H3">
        <v>-76.688802777777781</v>
      </c>
      <c r="I3">
        <v>3.409130555555556</v>
      </c>
      <c r="J3">
        <v>1</v>
      </c>
      <c r="K3" t="s">
        <v>112</v>
      </c>
      <c r="L3" t="s">
        <v>113</v>
      </c>
      <c r="M3">
        <v>3389</v>
      </c>
      <c r="N3" t="s">
        <v>114</v>
      </c>
      <c r="O3" t="b">
        <v>1</v>
      </c>
      <c r="P3">
        <v>3</v>
      </c>
      <c r="Q3">
        <v>1.3</v>
      </c>
      <c r="R3">
        <v>35</v>
      </c>
      <c r="V3" t="s">
        <v>47</v>
      </c>
      <c r="W3" t="s">
        <v>118</v>
      </c>
      <c r="X3">
        <v>0</v>
      </c>
      <c r="AA3" t="s">
        <v>117</v>
      </c>
    </row>
    <row r="4" spans="1:44" x14ac:dyDescent="0.2">
      <c r="A4">
        <v>2017</v>
      </c>
      <c r="B4" t="s">
        <v>15</v>
      </c>
      <c r="C4" t="s">
        <v>16</v>
      </c>
      <c r="D4" t="s">
        <v>110</v>
      </c>
      <c r="E4" t="s">
        <v>111</v>
      </c>
      <c r="F4" s="4">
        <v>42997</v>
      </c>
      <c r="G4" s="5">
        <v>0.38472222222222224</v>
      </c>
      <c r="H4">
        <v>-76.688336111111099</v>
      </c>
      <c r="I4">
        <v>3.4086722222222221</v>
      </c>
      <c r="J4">
        <v>1</v>
      </c>
      <c r="K4" t="s">
        <v>119</v>
      </c>
      <c r="L4" t="s">
        <v>120</v>
      </c>
      <c r="M4">
        <v>3410</v>
      </c>
      <c r="N4" t="s">
        <v>114</v>
      </c>
      <c r="O4" t="b">
        <v>1</v>
      </c>
      <c r="P4">
        <v>5</v>
      </c>
      <c r="Q4">
        <v>2</v>
      </c>
      <c r="R4">
        <v>30</v>
      </c>
      <c r="V4" t="s">
        <v>47</v>
      </c>
      <c r="W4" t="s">
        <v>116</v>
      </c>
      <c r="X4">
        <v>0</v>
      </c>
      <c r="AA4" t="s">
        <v>117</v>
      </c>
    </row>
    <row r="5" spans="1:44" x14ac:dyDescent="0.2">
      <c r="A5">
        <v>2017</v>
      </c>
      <c r="B5" t="s">
        <v>15</v>
      </c>
      <c r="C5" t="s">
        <v>16</v>
      </c>
      <c r="D5" t="s">
        <v>110</v>
      </c>
      <c r="E5" t="s">
        <v>111</v>
      </c>
      <c r="F5" s="4">
        <v>42997</v>
      </c>
      <c r="G5" s="5">
        <v>0.40347222222222223</v>
      </c>
      <c r="H5">
        <v>-76.688600000000008</v>
      </c>
      <c r="I5">
        <v>3.4091916666666671</v>
      </c>
      <c r="J5">
        <v>1</v>
      </c>
      <c r="K5" t="s">
        <v>119</v>
      </c>
      <c r="L5" t="s">
        <v>120</v>
      </c>
      <c r="M5">
        <v>3391</v>
      </c>
      <c r="N5" t="s">
        <v>114</v>
      </c>
      <c r="O5" t="b">
        <v>1</v>
      </c>
      <c r="P5">
        <v>5</v>
      </c>
      <c r="Q5">
        <v>0.8</v>
      </c>
      <c r="R5">
        <v>60</v>
      </c>
      <c r="U5" t="s">
        <v>115</v>
      </c>
      <c r="V5" t="s">
        <v>47</v>
      </c>
      <c r="W5" t="s">
        <v>116</v>
      </c>
      <c r="X5">
        <v>0</v>
      </c>
      <c r="AA5" t="s">
        <v>117</v>
      </c>
    </row>
    <row r="6" spans="1:44" x14ac:dyDescent="0.2">
      <c r="A6">
        <v>2017</v>
      </c>
      <c r="B6" t="s">
        <v>15</v>
      </c>
      <c r="C6" t="s">
        <v>16</v>
      </c>
      <c r="D6" t="s">
        <v>121</v>
      </c>
      <c r="E6" t="s">
        <v>122</v>
      </c>
      <c r="F6" s="4">
        <v>42997</v>
      </c>
      <c r="G6" s="5">
        <v>0.42638888888888887</v>
      </c>
      <c r="H6">
        <v>-76.688336111111113</v>
      </c>
      <c r="I6">
        <v>3.409880555555556</v>
      </c>
      <c r="J6">
        <v>1</v>
      </c>
      <c r="K6" t="s">
        <v>119</v>
      </c>
      <c r="L6" t="s">
        <v>120</v>
      </c>
      <c r="M6">
        <v>3367</v>
      </c>
      <c r="N6" t="s">
        <v>114</v>
      </c>
      <c r="O6" t="b">
        <v>1</v>
      </c>
      <c r="P6">
        <v>6</v>
      </c>
      <c r="Q6">
        <v>1.3</v>
      </c>
      <c r="R6">
        <v>5</v>
      </c>
      <c r="V6" t="s">
        <v>47</v>
      </c>
      <c r="W6" t="s">
        <v>118</v>
      </c>
      <c r="X6">
        <v>0</v>
      </c>
      <c r="AA6" t="s">
        <v>117</v>
      </c>
    </row>
    <row r="7" spans="1:44" x14ac:dyDescent="0.2">
      <c r="A7">
        <v>2017</v>
      </c>
      <c r="B7" t="s">
        <v>15</v>
      </c>
      <c r="C7" t="s">
        <v>16</v>
      </c>
      <c r="D7" t="s">
        <v>121</v>
      </c>
      <c r="E7" t="s">
        <v>122</v>
      </c>
      <c r="F7" s="4">
        <v>42997</v>
      </c>
      <c r="G7" s="5">
        <v>0.43819444444444444</v>
      </c>
      <c r="H7">
        <v>-76.688472222222231</v>
      </c>
      <c r="I7">
        <v>3.4099861111111109</v>
      </c>
      <c r="J7">
        <v>1</v>
      </c>
      <c r="K7" t="s">
        <v>119</v>
      </c>
      <c r="L7" t="s">
        <v>120</v>
      </c>
      <c r="M7">
        <v>3355</v>
      </c>
      <c r="N7" t="s">
        <v>114</v>
      </c>
      <c r="O7" t="b">
        <v>1</v>
      </c>
      <c r="P7">
        <v>8</v>
      </c>
      <c r="Q7">
        <v>1.1000000000000001</v>
      </c>
      <c r="R7">
        <v>15</v>
      </c>
      <c r="U7" t="s">
        <v>123</v>
      </c>
      <c r="V7" t="s">
        <v>47</v>
      </c>
      <c r="W7" t="s">
        <v>116</v>
      </c>
      <c r="X7">
        <v>0</v>
      </c>
      <c r="AA7" t="s">
        <v>117</v>
      </c>
    </row>
    <row r="8" spans="1:44" x14ac:dyDescent="0.2">
      <c r="A8">
        <v>2017</v>
      </c>
      <c r="B8" t="s">
        <v>15</v>
      </c>
      <c r="C8" t="s">
        <v>16</v>
      </c>
      <c r="D8" t="s">
        <v>121</v>
      </c>
      <c r="E8" t="s">
        <v>122</v>
      </c>
      <c r="F8" s="4">
        <v>42997</v>
      </c>
      <c r="G8" s="5">
        <v>0.44444444444444442</v>
      </c>
      <c r="H8">
        <v>-76.688394444444455</v>
      </c>
      <c r="I8">
        <v>3.410563888888889</v>
      </c>
      <c r="J8">
        <v>1</v>
      </c>
      <c r="K8" t="s">
        <v>119</v>
      </c>
      <c r="L8" t="s">
        <v>120</v>
      </c>
      <c r="M8">
        <v>3354</v>
      </c>
      <c r="N8" t="s">
        <v>114</v>
      </c>
      <c r="O8" t="b">
        <v>1</v>
      </c>
      <c r="P8">
        <v>6</v>
      </c>
      <c r="Q8">
        <v>1</v>
      </c>
      <c r="R8">
        <v>7</v>
      </c>
      <c r="U8" t="s">
        <v>124</v>
      </c>
      <c r="V8" t="s">
        <v>47</v>
      </c>
      <c r="W8" t="s">
        <v>116</v>
      </c>
      <c r="X8">
        <v>0</v>
      </c>
      <c r="AA8" t="s">
        <v>117</v>
      </c>
    </row>
    <row r="9" spans="1:44" x14ac:dyDescent="0.2">
      <c r="A9">
        <v>2017</v>
      </c>
      <c r="B9" t="s">
        <v>15</v>
      </c>
      <c r="C9" t="s">
        <v>16</v>
      </c>
      <c r="D9" t="s">
        <v>121</v>
      </c>
      <c r="E9" t="s">
        <v>122</v>
      </c>
      <c r="F9" s="4">
        <v>42997</v>
      </c>
      <c r="G9" s="5">
        <v>0.45</v>
      </c>
      <c r="H9">
        <v>-76.688547222222226</v>
      </c>
      <c r="I9">
        <v>3.410566666666667</v>
      </c>
      <c r="J9">
        <v>1</v>
      </c>
      <c r="K9" t="s">
        <v>112</v>
      </c>
      <c r="L9" t="s">
        <v>113</v>
      </c>
      <c r="M9">
        <v>3352</v>
      </c>
      <c r="N9" t="s">
        <v>114</v>
      </c>
      <c r="O9" t="b">
        <v>1</v>
      </c>
      <c r="P9">
        <v>5</v>
      </c>
      <c r="Q9">
        <v>1.3</v>
      </c>
      <c r="R9">
        <v>12</v>
      </c>
      <c r="U9" t="s">
        <v>125</v>
      </c>
      <c r="V9" t="s">
        <v>47</v>
      </c>
      <c r="W9" t="s">
        <v>116</v>
      </c>
      <c r="X9">
        <v>0</v>
      </c>
      <c r="AA9" t="s">
        <v>117</v>
      </c>
    </row>
    <row r="10" spans="1:44" x14ac:dyDescent="0.2">
      <c r="A10">
        <v>2017</v>
      </c>
      <c r="B10" t="s">
        <v>15</v>
      </c>
      <c r="C10" t="s">
        <v>16</v>
      </c>
      <c r="D10" t="s">
        <v>121</v>
      </c>
      <c r="E10" t="s">
        <v>122</v>
      </c>
      <c r="F10" s="4">
        <v>42997</v>
      </c>
      <c r="G10" s="5">
        <v>0.45416666666666666</v>
      </c>
      <c r="H10">
        <v>-76.688541666666666</v>
      </c>
      <c r="I10">
        <v>3.410563888888889</v>
      </c>
      <c r="J10">
        <v>1</v>
      </c>
      <c r="K10" t="s">
        <v>112</v>
      </c>
      <c r="L10" t="s">
        <v>113</v>
      </c>
      <c r="M10">
        <v>3356</v>
      </c>
      <c r="N10" t="s">
        <v>114</v>
      </c>
      <c r="O10" t="b">
        <v>1</v>
      </c>
      <c r="P10">
        <v>4</v>
      </c>
      <c r="Q10">
        <v>1</v>
      </c>
      <c r="R10">
        <v>10</v>
      </c>
      <c r="U10" t="s">
        <v>115</v>
      </c>
      <c r="V10" t="s">
        <v>47</v>
      </c>
      <c r="W10" t="s">
        <v>116</v>
      </c>
      <c r="X10">
        <v>0</v>
      </c>
      <c r="AA10" t="s">
        <v>117</v>
      </c>
    </row>
    <row r="11" spans="1:44" x14ac:dyDescent="0.2">
      <c r="A11">
        <v>2017</v>
      </c>
      <c r="B11" t="s">
        <v>15</v>
      </c>
      <c r="C11" t="s">
        <v>16</v>
      </c>
      <c r="D11" t="s">
        <v>126</v>
      </c>
      <c r="E11" t="s">
        <v>127</v>
      </c>
      <c r="F11" s="4">
        <v>42997</v>
      </c>
      <c r="G11" s="5">
        <v>0.47916666666666669</v>
      </c>
      <c r="H11">
        <v>-76.689163888888899</v>
      </c>
      <c r="I11">
        <v>3.4109472222222221</v>
      </c>
      <c r="J11">
        <v>1</v>
      </c>
      <c r="K11" t="s">
        <v>119</v>
      </c>
      <c r="L11" t="s">
        <v>120</v>
      </c>
      <c r="M11">
        <v>3313</v>
      </c>
      <c r="N11" t="s">
        <v>114</v>
      </c>
      <c r="O11" t="b">
        <v>1</v>
      </c>
      <c r="P11">
        <v>3</v>
      </c>
      <c r="R11">
        <v>25</v>
      </c>
      <c r="U11" t="s">
        <v>128</v>
      </c>
      <c r="V11" t="s">
        <v>47</v>
      </c>
      <c r="W11" t="s">
        <v>116</v>
      </c>
      <c r="X11">
        <v>0</v>
      </c>
      <c r="AA11" t="s">
        <v>117</v>
      </c>
    </row>
    <row r="12" spans="1:44" x14ac:dyDescent="0.2">
      <c r="A12">
        <v>2017</v>
      </c>
      <c r="B12" t="s">
        <v>15</v>
      </c>
      <c r="C12" t="s">
        <v>16</v>
      </c>
      <c r="D12" t="s">
        <v>126</v>
      </c>
      <c r="E12" t="s">
        <v>127</v>
      </c>
      <c r="F12" s="4">
        <v>42997</v>
      </c>
      <c r="G12" s="5">
        <v>0.49236111111111114</v>
      </c>
      <c r="H12">
        <v>-76.689147222222232</v>
      </c>
      <c r="I12">
        <v>3.4113833333333332</v>
      </c>
      <c r="J12">
        <v>1</v>
      </c>
      <c r="K12" t="s">
        <v>119</v>
      </c>
      <c r="L12" t="s">
        <v>120</v>
      </c>
      <c r="M12">
        <v>3314</v>
      </c>
      <c r="N12" t="s">
        <v>114</v>
      </c>
      <c r="O12" t="b">
        <v>1</v>
      </c>
      <c r="P12">
        <v>6</v>
      </c>
      <c r="R12">
        <v>30</v>
      </c>
      <c r="U12" t="s">
        <v>129</v>
      </c>
      <c r="V12" t="s">
        <v>47</v>
      </c>
      <c r="W12" t="s">
        <v>116</v>
      </c>
      <c r="X12">
        <v>0</v>
      </c>
      <c r="AA12" t="s">
        <v>117</v>
      </c>
    </row>
    <row r="13" spans="1:44" x14ac:dyDescent="0.2">
      <c r="A13">
        <v>2017</v>
      </c>
      <c r="B13" t="s">
        <v>15</v>
      </c>
      <c r="C13" t="s">
        <v>16</v>
      </c>
      <c r="D13" t="s">
        <v>126</v>
      </c>
      <c r="E13" t="s">
        <v>127</v>
      </c>
      <c r="F13" s="4">
        <v>42997</v>
      </c>
      <c r="G13" s="5">
        <v>0.4861111111111111</v>
      </c>
      <c r="H13">
        <v>-76.689163888888899</v>
      </c>
      <c r="I13">
        <v>3.4109472222222221</v>
      </c>
      <c r="J13">
        <v>1</v>
      </c>
      <c r="K13" t="s">
        <v>112</v>
      </c>
      <c r="L13" t="s">
        <v>113</v>
      </c>
      <c r="M13">
        <v>3312</v>
      </c>
      <c r="N13" t="s">
        <v>114</v>
      </c>
      <c r="O13" t="b">
        <v>1</v>
      </c>
      <c r="P13">
        <v>6</v>
      </c>
      <c r="R13">
        <v>20</v>
      </c>
      <c r="U13" t="s">
        <v>130</v>
      </c>
      <c r="V13" t="s">
        <v>47</v>
      </c>
      <c r="W13" t="s">
        <v>116</v>
      </c>
      <c r="X13">
        <v>0</v>
      </c>
      <c r="AA13" t="s">
        <v>117</v>
      </c>
    </row>
    <row r="14" spans="1:44" x14ac:dyDescent="0.2">
      <c r="A14">
        <v>2017</v>
      </c>
      <c r="B14" t="s">
        <v>15</v>
      </c>
      <c r="C14" t="s">
        <v>16</v>
      </c>
      <c r="D14" t="s">
        <v>126</v>
      </c>
      <c r="E14" t="s">
        <v>127</v>
      </c>
      <c r="F14" s="4">
        <v>42997</v>
      </c>
      <c r="G14" s="5">
        <v>0.5</v>
      </c>
      <c r="H14">
        <v>-76.689111111111117</v>
      </c>
      <c r="I14">
        <v>3.4113027777777778</v>
      </c>
      <c r="J14">
        <v>1</v>
      </c>
      <c r="K14" t="s">
        <v>112</v>
      </c>
      <c r="L14" t="s">
        <v>113</v>
      </c>
      <c r="M14">
        <v>3315</v>
      </c>
      <c r="N14" t="s">
        <v>114</v>
      </c>
      <c r="O14" t="b">
        <v>1</v>
      </c>
      <c r="P14">
        <v>7</v>
      </c>
      <c r="R14">
        <v>10</v>
      </c>
      <c r="U14" t="s">
        <v>130</v>
      </c>
      <c r="V14" t="s">
        <v>47</v>
      </c>
      <c r="W14" t="s">
        <v>116</v>
      </c>
      <c r="X14">
        <v>0</v>
      </c>
      <c r="AA14" t="s">
        <v>117</v>
      </c>
    </row>
    <row r="15" spans="1:44" x14ac:dyDescent="0.2">
      <c r="A15">
        <v>2017</v>
      </c>
      <c r="B15" t="s">
        <v>15</v>
      </c>
      <c r="C15" t="s">
        <v>16</v>
      </c>
      <c r="D15" t="s">
        <v>126</v>
      </c>
      <c r="E15" t="s">
        <v>127</v>
      </c>
      <c r="F15" s="4">
        <v>42997</v>
      </c>
      <c r="G15" s="5"/>
      <c r="H15">
        <v>-76.689163888888899</v>
      </c>
      <c r="I15">
        <v>3.411661111111111</v>
      </c>
      <c r="J15">
        <v>1</v>
      </c>
      <c r="K15" t="s">
        <v>112</v>
      </c>
      <c r="M15">
        <v>3314</v>
      </c>
      <c r="N15" t="s">
        <v>114</v>
      </c>
      <c r="O15" t="b">
        <v>1</v>
      </c>
      <c r="P15">
        <v>4</v>
      </c>
      <c r="R15">
        <v>6</v>
      </c>
      <c r="U15" t="s">
        <v>131</v>
      </c>
      <c r="V15" t="s">
        <v>47</v>
      </c>
      <c r="W15" t="s">
        <v>116</v>
      </c>
      <c r="X15">
        <v>0</v>
      </c>
      <c r="AA15" t="s">
        <v>117</v>
      </c>
    </row>
    <row r="16" spans="1:44" x14ac:dyDescent="0.2">
      <c r="A16">
        <v>2017</v>
      </c>
      <c r="B16" t="s">
        <v>15</v>
      </c>
      <c r="C16" t="s">
        <v>16</v>
      </c>
      <c r="D16" t="s">
        <v>121</v>
      </c>
      <c r="E16" t="s">
        <v>122</v>
      </c>
      <c r="F16" s="4">
        <v>42997</v>
      </c>
      <c r="G16" s="5">
        <v>0.42638888888888887</v>
      </c>
      <c r="H16">
        <v>-76.688336111111113</v>
      </c>
      <c r="I16">
        <v>3.409880555555556</v>
      </c>
      <c r="J16">
        <v>1</v>
      </c>
      <c r="K16" t="s">
        <v>119</v>
      </c>
      <c r="L16" t="s">
        <v>120</v>
      </c>
      <c r="M16">
        <v>3367</v>
      </c>
      <c r="N16" t="s">
        <v>114</v>
      </c>
      <c r="O16" t="b">
        <v>1</v>
      </c>
      <c r="P16">
        <v>6</v>
      </c>
      <c r="Q16">
        <v>1.3</v>
      </c>
      <c r="R16">
        <v>5</v>
      </c>
      <c r="V16" t="s">
        <v>47</v>
      </c>
      <c r="W16" t="s">
        <v>118</v>
      </c>
      <c r="X16">
        <v>0</v>
      </c>
      <c r="AA16" t="s">
        <v>117</v>
      </c>
    </row>
    <row r="17" spans="1:27" x14ac:dyDescent="0.2">
      <c r="A17">
        <v>2017</v>
      </c>
      <c r="B17" t="s">
        <v>15</v>
      </c>
      <c r="C17" t="s">
        <v>16</v>
      </c>
      <c r="D17" t="s">
        <v>121</v>
      </c>
      <c r="E17" t="s">
        <v>122</v>
      </c>
      <c r="F17" s="4">
        <v>42997</v>
      </c>
      <c r="G17" s="5">
        <v>0.43819444444444444</v>
      </c>
      <c r="H17">
        <v>-76.688472222222231</v>
      </c>
      <c r="I17">
        <v>3.4099861111111109</v>
      </c>
      <c r="J17">
        <v>1</v>
      </c>
      <c r="K17" t="s">
        <v>119</v>
      </c>
      <c r="L17" t="s">
        <v>120</v>
      </c>
      <c r="M17">
        <v>3355</v>
      </c>
      <c r="N17" t="s">
        <v>114</v>
      </c>
      <c r="O17" t="b">
        <v>1</v>
      </c>
      <c r="P17">
        <v>8</v>
      </c>
      <c r="Q17">
        <v>1.1000000000000001</v>
      </c>
      <c r="R17">
        <v>15</v>
      </c>
      <c r="U17" t="s">
        <v>123</v>
      </c>
      <c r="V17" t="s">
        <v>47</v>
      </c>
      <c r="W17" t="s">
        <v>116</v>
      </c>
      <c r="X17">
        <v>0</v>
      </c>
      <c r="AA17" t="s">
        <v>117</v>
      </c>
    </row>
    <row r="18" spans="1:27" x14ac:dyDescent="0.2">
      <c r="A18">
        <v>2017</v>
      </c>
      <c r="B18" t="s">
        <v>15</v>
      </c>
      <c r="C18" t="s">
        <v>16</v>
      </c>
      <c r="D18" t="s">
        <v>121</v>
      </c>
      <c r="E18" t="s">
        <v>122</v>
      </c>
      <c r="F18" s="4">
        <v>42997</v>
      </c>
      <c r="G18" s="5">
        <v>0.44444444444444442</v>
      </c>
      <c r="H18">
        <v>-76.688394444444455</v>
      </c>
      <c r="I18">
        <v>3.410563888888889</v>
      </c>
      <c r="J18">
        <v>1</v>
      </c>
      <c r="K18" t="s">
        <v>119</v>
      </c>
      <c r="L18" t="s">
        <v>120</v>
      </c>
      <c r="M18">
        <v>3354</v>
      </c>
      <c r="N18" t="s">
        <v>114</v>
      </c>
      <c r="O18" t="b">
        <v>1</v>
      </c>
      <c r="P18">
        <v>6</v>
      </c>
      <c r="Q18">
        <v>1</v>
      </c>
      <c r="R18">
        <v>7</v>
      </c>
      <c r="U18" t="s">
        <v>124</v>
      </c>
      <c r="V18" t="s">
        <v>47</v>
      </c>
      <c r="W18" t="s">
        <v>116</v>
      </c>
      <c r="X18">
        <v>0</v>
      </c>
      <c r="AA18" t="s">
        <v>117</v>
      </c>
    </row>
    <row r="19" spans="1:27" x14ac:dyDescent="0.2">
      <c r="A19">
        <v>2017</v>
      </c>
      <c r="B19" t="s">
        <v>15</v>
      </c>
      <c r="C19" t="s">
        <v>16</v>
      </c>
      <c r="D19" t="s">
        <v>126</v>
      </c>
      <c r="E19" t="s">
        <v>127</v>
      </c>
      <c r="F19" s="4">
        <v>42997</v>
      </c>
      <c r="G19" s="5">
        <v>0.91666666666666663</v>
      </c>
      <c r="H19">
        <v>-76.689166666666665</v>
      </c>
      <c r="I19">
        <v>3.4113055555555549</v>
      </c>
      <c r="J19">
        <v>1</v>
      </c>
      <c r="K19" t="s">
        <v>112</v>
      </c>
      <c r="L19" t="s">
        <v>113</v>
      </c>
      <c r="M19">
        <v>3293</v>
      </c>
      <c r="N19" t="s">
        <v>114</v>
      </c>
      <c r="O19" t="b">
        <v>1</v>
      </c>
      <c r="P19">
        <v>4</v>
      </c>
      <c r="R19">
        <v>25</v>
      </c>
      <c r="S19" t="s">
        <v>132</v>
      </c>
      <c r="U19" t="s">
        <v>133</v>
      </c>
      <c r="V19" t="s">
        <v>5</v>
      </c>
      <c r="X19">
        <v>1</v>
      </c>
      <c r="AA19" t="s">
        <v>117</v>
      </c>
    </row>
    <row r="20" spans="1:27" x14ac:dyDescent="0.2">
      <c r="A20">
        <v>2017</v>
      </c>
      <c r="B20" t="s">
        <v>15</v>
      </c>
      <c r="C20" t="s">
        <v>16</v>
      </c>
      <c r="D20" t="s">
        <v>134</v>
      </c>
      <c r="E20" t="s">
        <v>135</v>
      </c>
      <c r="F20" s="4">
        <v>42997</v>
      </c>
      <c r="G20" s="5">
        <v>0.95138888888888884</v>
      </c>
      <c r="H20">
        <v>-76.689361111111111</v>
      </c>
      <c r="I20">
        <v>3.4115833333333332</v>
      </c>
      <c r="J20">
        <v>1</v>
      </c>
      <c r="K20" t="s">
        <v>112</v>
      </c>
      <c r="L20" t="s">
        <v>136</v>
      </c>
      <c r="M20">
        <v>3295</v>
      </c>
      <c r="N20" t="s">
        <v>114</v>
      </c>
      <c r="O20" t="b">
        <v>1</v>
      </c>
      <c r="P20">
        <v>6</v>
      </c>
      <c r="Q20">
        <v>0.5</v>
      </c>
      <c r="R20">
        <v>10</v>
      </c>
      <c r="U20" t="s">
        <v>137</v>
      </c>
      <c r="V20" t="s">
        <v>47</v>
      </c>
      <c r="W20" t="s">
        <v>116</v>
      </c>
      <c r="X20">
        <v>0</v>
      </c>
      <c r="AA20" t="s">
        <v>117</v>
      </c>
    </row>
    <row r="21" spans="1:27" x14ac:dyDescent="0.2">
      <c r="A21">
        <v>2017</v>
      </c>
      <c r="B21" t="s">
        <v>15</v>
      </c>
      <c r="C21" t="s">
        <v>17</v>
      </c>
      <c r="D21" t="s">
        <v>138</v>
      </c>
      <c r="E21" t="s">
        <v>135</v>
      </c>
      <c r="F21" s="4">
        <v>42998</v>
      </c>
      <c r="G21" s="5">
        <v>0.4236111111111111</v>
      </c>
      <c r="H21">
        <v>-76.690694444444446</v>
      </c>
      <c r="I21">
        <v>3.406194444444445</v>
      </c>
      <c r="J21">
        <v>1</v>
      </c>
      <c r="K21" t="s">
        <v>119</v>
      </c>
      <c r="L21" t="s">
        <v>120</v>
      </c>
      <c r="M21">
        <v>3416</v>
      </c>
      <c r="N21" t="b">
        <v>1</v>
      </c>
      <c r="O21" t="s">
        <v>114</v>
      </c>
      <c r="P21">
        <v>0.3</v>
      </c>
      <c r="R21">
        <v>14</v>
      </c>
      <c r="U21" t="s">
        <v>115</v>
      </c>
      <c r="V21" t="s">
        <v>47</v>
      </c>
      <c r="W21" t="s">
        <v>116</v>
      </c>
      <c r="X21">
        <v>0</v>
      </c>
      <c r="AA21" t="s">
        <v>117</v>
      </c>
    </row>
    <row r="22" spans="1:27" x14ac:dyDescent="0.2">
      <c r="A22">
        <v>2017</v>
      </c>
      <c r="B22" t="s">
        <v>15</v>
      </c>
      <c r="C22" t="s">
        <v>17</v>
      </c>
      <c r="D22" t="s">
        <v>138</v>
      </c>
      <c r="E22" t="s">
        <v>135</v>
      </c>
      <c r="F22" s="4">
        <v>42998</v>
      </c>
      <c r="G22" s="5">
        <v>0.41736111111111113</v>
      </c>
      <c r="H22">
        <v>-76.690777777777782</v>
      </c>
      <c r="I22">
        <v>3.4060555555555561</v>
      </c>
      <c r="J22">
        <v>1</v>
      </c>
      <c r="K22" t="s">
        <v>112</v>
      </c>
      <c r="L22" t="s">
        <v>113</v>
      </c>
      <c r="M22">
        <v>3422</v>
      </c>
      <c r="N22" t="b">
        <v>1</v>
      </c>
      <c r="O22" t="s">
        <v>114</v>
      </c>
      <c r="P22">
        <v>1.5</v>
      </c>
      <c r="R22">
        <v>15</v>
      </c>
      <c r="U22" t="s">
        <v>139</v>
      </c>
      <c r="V22" t="s">
        <v>47</v>
      </c>
      <c r="W22" t="s">
        <v>116</v>
      </c>
      <c r="X22">
        <v>0</v>
      </c>
      <c r="AA22" t="s">
        <v>117</v>
      </c>
    </row>
    <row r="23" spans="1:27" x14ac:dyDescent="0.2">
      <c r="A23">
        <v>2017</v>
      </c>
      <c r="B23" t="s">
        <v>15</v>
      </c>
      <c r="C23" t="s">
        <v>17</v>
      </c>
      <c r="D23" t="s">
        <v>138</v>
      </c>
      <c r="E23" t="s">
        <v>135</v>
      </c>
      <c r="F23" s="4">
        <v>42998</v>
      </c>
      <c r="G23" s="5">
        <v>0.4236111111111111</v>
      </c>
      <c r="H23">
        <v>-76.690750000000008</v>
      </c>
      <c r="I23">
        <v>3.4061111111111111</v>
      </c>
      <c r="J23">
        <v>1</v>
      </c>
      <c r="K23" t="s">
        <v>112</v>
      </c>
      <c r="L23" t="s">
        <v>140</v>
      </c>
      <c r="M23">
        <v>3419</v>
      </c>
      <c r="N23" t="b">
        <v>1</v>
      </c>
      <c r="O23" t="s">
        <v>114</v>
      </c>
      <c r="P23">
        <v>2</v>
      </c>
      <c r="R23">
        <v>12</v>
      </c>
      <c r="U23" t="s">
        <v>141</v>
      </c>
      <c r="V23" t="s">
        <v>47</v>
      </c>
      <c r="W23" t="s">
        <v>116</v>
      </c>
      <c r="X23">
        <v>0</v>
      </c>
      <c r="AA23" t="s">
        <v>117</v>
      </c>
    </row>
    <row r="24" spans="1:27" x14ac:dyDescent="0.2">
      <c r="A24">
        <v>2017</v>
      </c>
      <c r="B24" t="s">
        <v>15</v>
      </c>
      <c r="C24" t="s">
        <v>17</v>
      </c>
      <c r="D24" t="s">
        <v>142</v>
      </c>
      <c r="E24" t="s">
        <v>111</v>
      </c>
      <c r="F24" s="4">
        <v>42998</v>
      </c>
      <c r="G24" s="5">
        <v>0.45902777777777776</v>
      </c>
      <c r="H24">
        <v>-76.688527777777779</v>
      </c>
      <c r="I24">
        <v>3.4080277777777779</v>
      </c>
      <c r="J24">
        <v>1</v>
      </c>
      <c r="K24" t="s">
        <v>112</v>
      </c>
      <c r="L24" t="s">
        <v>120</v>
      </c>
      <c r="M24">
        <v>3420</v>
      </c>
      <c r="N24" t="b">
        <v>1</v>
      </c>
      <c r="O24" t="s">
        <v>114</v>
      </c>
      <c r="P24">
        <v>2</v>
      </c>
      <c r="R24">
        <v>8</v>
      </c>
      <c r="U24" t="s">
        <v>115</v>
      </c>
      <c r="V24" t="s">
        <v>47</v>
      </c>
      <c r="W24" t="s">
        <v>116</v>
      </c>
      <c r="X24">
        <v>0</v>
      </c>
      <c r="AA24" t="s">
        <v>117</v>
      </c>
    </row>
    <row r="25" spans="1:27" x14ac:dyDescent="0.2">
      <c r="A25">
        <v>2017</v>
      </c>
      <c r="B25" t="s">
        <v>15</v>
      </c>
      <c r="C25" t="s">
        <v>17</v>
      </c>
      <c r="D25" t="s">
        <v>143</v>
      </c>
      <c r="E25" t="s">
        <v>127</v>
      </c>
      <c r="F25" s="4">
        <v>42998</v>
      </c>
      <c r="G25" s="5">
        <v>0.90833333333333333</v>
      </c>
      <c r="H25">
        <v>-76.690583333333336</v>
      </c>
      <c r="I25">
        <v>3.4066666666666672</v>
      </c>
      <c r="J25">
        <v>1</v>
      </c>
      <c r="K25" t="s">
        <v>119</v>
      </c>
      <c r="L25" t="s">
        <v>120</v>
      </c>
      <c r="M25">
        <v>3420</v>
      </c>
      <c r="N25" t="b">
        <v>1</v>
      </c>
      <c r="O25" t="s">
        <v>114</v>
      </c>
      <c r="P25">
        <v>2</v>
      </c>
      <c r="R25">
        <v>6</v>
      </c>
      <c r="S25" t="s">
        <v>144</v>
      </c>
      <c r="T25" t="s">
        <v>145</v>
      </c>
      <c r="V25" t="s">
        <v>6</v>
      </c>
      <c r="X25">
        <v>1</v>
      </c>
      <c r="AA25" t="s">
        <v>117</v>
      </c>
    </row>
    <row r="26" spans="1:27" x14ac:dyDescent="0.2">
      <c r="A26">
        <v>2017</v>
      </c>
      <c r="B26" t="s">
        <v>15</v>
      </c>
      <c r="C26" t="s">
        <v>17</v>
      </c>
      <c r="D26" t="s">
        <v>138</v>
      </c>
      <c r="E26" t="s">
        <v>135</v>
      </c>
      <c r="F26" s="4">
        <v>42998</v>
      </c>
      <c r="G26" s="5">
        <v>0.92361111111111116</v>
      </c>
      <c r="H26">
        <v>-76.69061111111111</v>
      </c>
      <c r="I26">
        <v>3.4063888888888889</v>
      </c>
      <c r="J26">
        <v>1</v>
      </c>
      <c r="K26" t="s">
        <v>119</v>
      </c>
      <c r="L26" t="s">
        <v>120</v>
      </c>
      <c r="M26">
        <v>3429</v>
      </c>
      <c r="N26" t="b">
        <v>1</v>
      </c>
      <c r="O26" t="s">
        <v>114</v>
      </c>
      <c r="R26">
        <v>8</v>
      </c>
      <c r="S26" t="s">
        <v>146</v>
      </c>
      <c r="T26" t="s">
        <v>145</v>
      </c>
      <c r="V26" t="s">
        <v>6</v>
      </c>
      <c r="X26">
        <v>1</v>
      </c>
      <c r="AA26" t="s">
        <v>117</v>
      </c>
    </row>
    <row r="27" spans="1:27" x14ac:dyDescent="0.2">
      <c r="A27">
        <v>2017</v>
      </c>
      <c r="B27" t="s">
        <v>15</v>
      </c>
      <c r="C27" t="s">
        <v>17</v>
      </c>
      <c r="D27" t="s">
        <v>138</v>
      </c>
      <c r="E27" t="s">
        <v>135</v>
      </c>
      <c r="F27" s="4">
        <v>42998</v>
      </c>
      <c r="G27" s="5">
        <v>0.96111111111111114</v>
      </c>
      <c r="H27">
        <v>-76.690555555555562</v>
      </c>
      <c r="I27">
        <v>3.4060833333333331</v>
      </c>
      <c r="J27">
        <v>1</v>
      </c>
      <c r="K27" t="s">
        <v>119</v>
      </c>
      <c r="L27" t="s">
        <v>120</v>
      </c>
      <c r="M27">
        <v>3430</v>
      </c>
      <c r="N27" t="b">
        <v>1</v>
      </c>
      <c r="O27" t="s">
        <v>114</v>
      </c>
      <c r="P27">
        <v>2</v>
      </c>
      <c r="R27">
        <v>15</v>
      </c>
      <c r="S27" t="s">
        <v>147</v>
      </c>
      <c r="T27" t="s">
        <v>145</v>
      </c>
      <c r="V27" t="s">
        <v>6</v>
      </c>
      <c r="X27">
        <v>1</v>
      </c>
      <c r="AA27" t="s">
        <v>117</v>
      </c>
    </row>
    <row r="28" spans="1:27" x14ac:dyDescent="0.2">
      <c r="A28">
        <v>2017</v>
      </c>
      <c r="B28" t="s">
        <v>15</v>
      </c>
      <c r="C28" t="s">
        <v>17</v>
      </c>
      <c r="D28" t="s">
        <v>143</v>
      </c>
      <c r="E28" t="s">
        <v>127</v>
      </c>
      <c r="F28" s="4">
        <v>42998</v>
      </c>
      <c r="G28" s="5">
        <v>0.89930555555555558</v>
      </c>
      <c r="H28">
        <v>-76.6905</v>
      </c>
      <c r="I28">
        <v>3.4067777777777781</v>
      </c>
      <c r="J28">
        <v>1</v>
      </c>
      <c r="K28" t="s">
        <v>112</v>
      </c>
      <c r="L28" t="s">
        <v>148</v>
      </c>
      <c r="M28">
        <v>3430</v>
      </c>
      <c r="N28" t="b">
        <v>1</v>
      </c>
      <c r="O28" t="s">
        <v>114</v>
      </c>
      <c r="P28">
        <v>3.5</v>
      </c>
      <c r="R28">
        <v>10</v>
      </c>
      <c r="S28" t="s">
        <v>149</v>
      </c>
      <c r="T28" t="s">
        <v>145</v>
      </c>
      <c r="V28" t="s">
        <v>6</v>
      </c>
      <c r="X28">
        <v>1</v>
      </c>
      <c r="AA28" t="s">
        <v>117</v>
      </c>
    </row>
    <row r="29" spans="1:27" x14ac:dyDescent="0.2">
      <c r="A29">
        <v>2017</v>
      </c>
      <c r="B29" t="s">
        <v>15</v>
      </c>
      <c r="C29" t="s">
        <v>17</v>
      </c>
      <c r="D29" t="s">
        <v>138</v>
      </c>
      <c r="E29" t="s">
        <v>135</v>
      </c>
      <c r="F29" s="4">
        <v>42998</v>
      </c>
      <c r="G29" s="5">
        <v>0.91666666666666663</v>
      </c>
      <c r="H29">
        <v>-76.69061111111111</v>
      </c>
      <c r="I29">
        <v>3.4063888888888889</v>
      </c>
      <c r="J29">
        <v>1</v>
      </c>
      <c r="K29" t="s">
        <v>112</v>
      </c>
      <c r="L29" t="s">
        <v>148</v>
      </c>
      <c r="M29">
        <v>3429</v>
      </c>
      <c r="N29" t="b">
        <v>1</v>
      </c>
      <c r="O29" t="s">
        <v>114</v>
      </c>
      <c r="P29">
        <v>1</v>
      </c>
      <c r="R29">
        <v>20</v>
      </c>
      <c r="S29" t="s">
        <v>149</v>
      </c>
      <c r="T29" t="s">
        <v>145</v>
      </c>
      <c r="V29" t="s">
        <v>6</v>
      </c>
      <c r="X29">
        <v>1</v>
      </c>
      <c r="AA29" t="s">
        <v>117</v>
      </c>
    </row>
    <row r="30" spans="1:27" x14ac:dyDescent="0.2">
      <c r="A30">
        <v>2017</v>
      </c>
      <c r="B30" t="s">
        <v>15</v>
      </c>
      <c r="C30" t="s">
        <v>17</v>
      </c>
      <c r="D30" t="s">
        <v>138</v>
      </c>
      <c r="E30" t="s">
        <v>135</v>
      </c>
      <c r="F30" s="4">
        <v>42998</v>
      </c>
      <c r="G30" s="5">
        <v>0.93263888888888891</v>
      </c>
      <c r="H30">
        <v>-76.69061111111111</v>
      </c>
      <c r="I30">
        <v>3.4063888888888889</v>
      </c>
      <c r="J30">
        <v>1</v>
      </c>
      <c r="K30" t="s">
        <v>112</v>
      </c>
      <c r="L30" t="s">
        <v>148</v>
      </c>
      <c r="M30">
        <v>3429</v>
      </c>
      <c r="N30" t="b">
        <v>1</v>
      </c>
      <c r="O30" t="s">
        <v>114</v>
      </c>
      <c r="P30">
        <v>1</v>
      </c>
      <c r="R30">
        <v>20</v>
      </c>
      <c r="S30" t="s">
        <v>149</v>
      </c>
      <c r="T30" t="s">
        <v>145</v>
      </c>
      <c r="V30" t="s">
        <v>6</v>
      </c>
      <c r="X30">
        <v>1</v>
      </c>
      <c r="AA30" t="s">
        <v>117</v>
      </c>
    </row>
    <row r="31" spans="1:27" x14ac:dyDescent="0.2">
      <c r="A31">
        <v>2017</v>
      </c>
      <c r="B31" t="s">
        <v>15</v>
      </c>
      <c r="C31" t="s">
        <v>17</v>
      </c>
      <c r="D31" t="s">
        <v>138</v>
      </c>
      <c r="E31" t="s">
        <v>135</v>
      </c>
      <c r="F31" s="4">
        <v>42998</v>
      </c>
      <c r="G31" s="5">
        <v>0.93263888888888891</v>
      </c>
      <c r="H31">
        <v>-76.69061111111111</v>
      </c>
      <c r="I31">
        <v>3.4063888888888889</v>
      </c>
      <c r="J31">
        <v>1</v>
      </c>
      <c r="K31" t="s">
        <v>112</v>
      </c>
      <c r="L31" t="s">
        <v>148</v>
      </c>
      <c r="M31">
        <v>3429</v>
      </c>
      <c r="N31" t="b">
        <v>1</v>
      </c>
      <c r="O31" t="s">
        <v>114</v>
      </c>
      <c r="P31">
        <v>1</v>
      </c>
      <c r="R31">
        <v>20</v>
      </c>
      <c r="S31" t="s">
        <v>149</v>
      </c>
      <c r="T31" t="s">
        <v>145</v>
      </c>
      <c r="V31" t="s">
        <v>6</v>
      </c>
      <c r="X31">
        <v>1</v>
      </c>
      <c r="AA31" t="s">
        <v>117</v>
      </c>
    </row>
    <row r="32" spans="1:27" x14ac:dyDescent="0.2">
      <c r="A32">
        <v>2017</v>
      </c>
      <c r="B32" t="s">
        <v>15</v>
      </c>
      <c r="C32" t="s">
        <v>17</v>
      </c>
      <c r="D32" t="s">
        <v>138</v>
      </c>
      <c r="E32" t="s">
        <v>135</v>
      </c>
      <c r="F32" s="4">
        <v>42998</v>
      </c>
      <c r="G32" s="5">
        <v>0.9458333333333333</v>
      </c>
      <c r="H32">
        <v>-76.690583333333336</v>
      </c>
      <c r="I32">
        <v>3.406222222222222</v>
      </c>
      <c r="J32">
        <v>1</v>
      </c>
      <c r="K32" t="s">
        <v>112</v>
      </c>
      <c r="L32" t="s">
        <v>148</v>
      </c>
      <c r="M32">
        <v>3420</v>
      </c>
      <c r="N32" t="b">
        <v>1</v>
      </c>
      <c r="O32" t="s">
        <v>114</v>
      </c>
      <c r="P32">
        <v>2.5</v>
      </c>
      <c r="R32">
        <v>15</v>
      </c>
      <c r="S32" t="s">
        <v>149</v>
      </c>
      <c r="T32" t="s">
        <v>145</v>
      </c>
      <c r="V32" t="s">
        <v>6</v>
      </c>
      <c r="X32">
        <v>1</v>
      </c>
      <c r="AA32" t="s">
        <v>117</v>
      </c>
    </row>
    <row r="33" spans="1:27" x14ac:dyDescent="0.2">
      <c r="A33">
        <v>2017</v>
      </c>
      <c r="B33" t="s">
        <v>15</v>
      </c>
      <c r="C33" t="s">
        <v>17</v>
      </c>
      <c r="D33" t="s">
        <v>138</v>
      </c>
      <c r="E33" t="s">
        <v>135</v>
      </c>
      <c r="F33" s="4">
        <v>42998</v>
      </c>
      <c r="G33" s="5">
        <v>0.95347222222222228</v>
      </c>
      <c r="H33">
        <v>-76.690694444444446</v>
      </c>
      <c r="I33">
        <v>3.406138888888889</v>
      </c>
      <c r="J33">
        <v>1</v>
      </c>
      <c r="K33" t="s">
        <v>112</v>
      </c>
      <c r="L33" t="s">
        <v>148</v>
      </c>
      <c r="M33">
        <v>3430</v>
      </c>
      <c r="N33" t="b">
        <v>1</v>
      </c>
      <c r="O33" t="s">
        <v>114</v>
      </c>
      <c r="P33">
        <v>1</v>
      </c>
      <c r="R33">
        <v>10</v>
      </c>
      <c r="S33" t="s">
        <v>149</v>
      </c>
      <c r="T33" t="s">
        <v>145</v>
      </c>
      <c r="V33" t="s">
        <v>6</v>
      </c>
      <c r="X33">
        <v>1</v>
      </c>
      <c r="AA33" t="s">
        <v>117</v>
      </c>
    </row>
    <row r="34" spans="1:27" x14ac:dyDescent="0.2">
      <c r="A34">
        <v>2017</v>
      </c>
      <c r="B34" t="s">
        <v>15</v>
      </c>
      <c r="C34" t="s">
        <v>17</v>
      </c>
      <c r="D34" t="s">
        <v>138</v>
      </c>
      <c r="E34" t="s">
        <v>135</v>
      </c>
      <c r="F34" s="4">
        <v>42998</v>
      </c>
      <c r="G34" s="5">
        <v>0.96250000000000002</v>
      </c>
      <c r="H34">
        <v>-76.69072222222222</v>
      </c>
      <c r="I34">
        <v>3.4060555555555561</v>
      </c>
      <c r="J34">
        <v>1</v>
      </c>
      <c r="K34" t="s">
        <v>112</v>
      </c>
      <c r="L34" t="s">
        <v>148</v>
      </c>
      <c r="M34">
        <v>3420</v>
      </c>
      <c r="N34" t="b">
        <v>1</v>
      </c>
      <c r="O34" t="s">
        <v>114</v>
      </c>
      <c r="P34">
        <v>1</v>
      </c>
      <c r="R34">
        <v>25</v>
      </c>
      <c r="S34" t="s">
        <v>149</v>
      </c>
      <c r="T34" t="s">
        <v>145</v>
      </c>
      <c r="V34" t="s">
        <v>6</v>
      </c>
      <c r="X34">
        <v>1</v>
      </c>
      <c r="AA34" t="s">
        <v>117</v>
      </c>
    </row>
    <row r="35" spans="1:27" x14ac:dyDescent="0.2">
      <c r="A35">
        <v>2017</v>
      </c>
      <c r="B35" t="s">
        <v>15</v>
      </c>
      <c r="C35" t="s">
        <v>17</v>
      </c>
      <c r="D35" t="s">
        <v>143</v>
      </c>
      <c r="E35" t="s">
        <v>127</v>
      </c>
      <c r="F35" s="4">
        <v>42998</v>
      </c>
      <c r="G35" s="5">
        <v>0.89583333333333337</v>
      </c>
      <c r="H35">
        <v>-76.690222222222232</v>
      </c>
      <c r="I35">
        <v>3.407027777777778</v>
      </c>
      <c r="J35">
        <v>1</v>
      </c>
      <c r="K35" t="s">
        <v>119</v>
      </c>
      <c r="L35" t="s">
        <v>113</v>
      </c>
      <c r="M35">
        <v>3497</v>
      </c>
      <c r="N35" t="b">
        <v>1</v>
      </c>
      <c r="O35" t="s">
        <v>114</v>
      </c>
      <c r="V35" t="s">
        <v>47</v>
      </c>
      <c r="X35">
        <v>0</v>
      </c>
      <c r="AA35" t="s">
        <v>117</v>
      </c>
    </row>
    <row r="36" spans="1:27" x14ac:dyDescent="0.2">
      <c r="A36">
        <v>2017</v>
      </c>
      <c r="B36" t="s">
        <v>15</v>
      </c>
      <c r="C36" t="s">
        <v>17</v>
      </c>
      <c r="D36" t="s">
        <v>142</v>
      </c>
      <c r="E36" t="s">
        <v>111</v>
      </c>
      <c r="F36" s="4">
        <v>42998</v>
      </c>
      <c r="G36" s="5">
        <v>0.8305555555555556</v>
      </c>
      <c r="H36">
        <v>-76.688638888888889</v>
      </c>
      <c r="I36">
        <v>3.4079999999999999</v>
      </c>
      <c r="J36">
        <v>1</v>
      </c>
      <c r="K36" t="s">
        <v>119</v>
      </c>
      <c r="L36" t="s">
        <v>120</v>
      </c>
      <c r="M36">
        <v>3420</v>
      </c>
      <c r="N36" t="b">
        <v>1</v>
      </c>
      <c r="O36" t="s">
        <v>114</v>
      </c>
      <c r="P36">
        <v>0.6</v>
      </c>
      <c r="R36">
        <v>6</v>
      </c>
      <c r="U36" t="s">
        <v>115</v>
      </c>
      <c r="V36" t="s">
        <v>47</v>
      </c>
      <c r="W36" t="s">
        <v>116</v>
      </c>
      <c r="X36">
        <v>0</v>
      </c>
      <c r="AA36" t="s">
        <v>117</v>
      </c>
    </row>
    <row r="37" spans="1:27" x14ac:dyDescent="0.2">
      <c r="A37">
        <v>2017</v>
      </c>
      <c r="B37" t="s">
        <v>15</v>
      </c>
      <c r="C37" t="s">
        <v>19</v>
      </c>
      <c r="D37" t="s">
        <v>150</v>
      </c>
      <c r="E37" t="s">
        <v>122</v>
      </c>
      <c r="F37" s="4">
        <v>42999</v>
      </c>
      <c r="G37" s="5">
        <v>0.83333333333333337</v>
      </c>
      <c r="H37">
        <v>-76.680027777777781</v>
      </c>
      <c r="I37">
        <v>3.4011111111111112</v>
      </c>
      <c r="J37">
        <v>1</v>
      </c>
      <c r="L37" t="s">
        <v>113</v>
      </c>
      <c r="M37">
        <v>3070</v>
      </c>
      <c r="N37" t="b">
        <v>1</v>
      </c>
      <c r="O37" t="s">
        <v>114</v>
      </c>
      <c r="V37" t="s">
        <v>47</v>
      </c>
      <c r="X37">
        <v>0</v>
      </c>
      <c r="AA37" t="s">
        <v>117</v>
      </c>
    </row>
    <row r="38" spans="1:27" x14ac:dyDescent="0.2">
      <c r="A38">
        <v>2017</v>
      </c>
      <c r="B38" t="s">
        <v>15</v>
      </c>
      <c r="C38" t="s">
        <v>20</v>
      </c>
      <c r="D38" t="s">
        <v>151</v>
      </c>
      <c r="E38" t="s">
        <v>111</v>
      </c>
      <c r="F38" s="4">
        <v>42999</v>
      </c>
      <c r="G38" s="5">
        <v>0.94791666666666663</v>
      </c>
      <c r="H38">
        <v>-76.678472222222226</v>
      </c>
      <c r="I38">
        <v>3.401666666666666</v>
      </c>
      <c r="J38">
        <v>1</v>
      </c>
      <c r="K38" t="s">
        <v>112</v>
      </c>
      <c r="L38" t="s">
        <v>113</v>
      </c>
      <c r="M38">
        <v>2990</v>
      </c>
      <c r="N38" t="b">
        <v>1</v>
      </c>
      <c r="O38" t="s">
        <v>114</v>
      </c>
      <c r="P38">
        <v>20</v>
      </c>
      <c r="R38">
        <v>15</v>
      </c>
      <c r="U38" t="s">
        <v>152</v>
      </c>
      <c r="V38" t="s">
        <v>47</v>
      </c>
      <c r="W38" t="s">
        <v>116</v>
      </c>
      <c r="X38">
        <v>0</v>
      </c>
      <c r="AA38" t="s">
        <v>117</v>
      </c>
    </row>
    <row r="39" spans="1:27" x14ac:dyDescent="0.2">
      <c r="A39">
        <v>2017</v>
      </c>
      <c r="B39" t="s">
        <v>15</v>
      </c>
      <c r="C39" t="s">
        <v>19</v>
      </c>
      <c r="D39" t="s">
        <v>153</v>
      </c>
      <c r="E39" t="s">
        <v>127</v>
      </c>
      <c r="F39" s="4">
        <v>42999</v>
      </c>
      <c r="G39" s="5">
        <v>0.95138888888888884</v>
      </c>
      <c r="H39">
        <v>-76.678750000000008</v>
      </c>
      <c r="I39">
        <v>3.4009722222222218</v>
      </c>
      <c r="J39">
        <v>1</v>
      </c>
      <c r="L39" t="s">
        <v>113</v>
      </c>
      <c r="M39">
        <v>3110</v>
      </c>
      <c r="N39" t="b">
        <v>1</v>
      </c>
      <c r="O39" t="s">
        <v>114</v>
      </c>
      <c r="V39" t="s">
        <v>47</v>
      </c>
      <c r="X39">
        <v>0</v>
      </c>
      <c r="AA39" t="s">
        <v>117</v>
      </c>
    </row>
    <row r="40" spans="1:27" x14ac:dyDescent="0.2">
      <c r="A40">
        <v>2017</v>
      </c>
      <c r="B40" t="s">
        <v>15</v>
      </c>
      <c r="C40" t="s">
        <v>20</v>
      </c>
      <c r="D40" t="s">
        <v>151</v>
      </c>
      <c r="E40" t="s">
        <v>111</v>
      </c>
      <c r="F40" s="4">
        <v>42999</v>
      </c>
      <c r="G40" s="5">
        <v>0.97916666666666663</v>
      </c>
      <c r="H40">
        <v>-76.678166666666669</v>
      </c>
      <c r="I40">
        <v>3.4021111111111111</v>
      </c>
      <c r="J40">
        <v>1</v>
      </c>
      <c r="L40" t="s">
        <v>113</v>
      </c>
      <c r="M40">
        <v>3000</v>
      </c>
      <c r="N40" t="b">
        <v>1</v>
      </c>
      <c r="O40" t="s">
        <v>114</v>
      </c>
      <c r="V40" t="s">
        <v>47</v>
      </c>
      <c r="X40">
        <v>0</v>
      </c>
      <c r="AA40" t="s">
        <v>117</v>
      </c>
    </row>
    <row r="41" spans="1:27" x14ac:dyDescent="0.2">
      <c r="A41">
        <v>2017</v>
      </c>
      <c r="B41" t="s">
        <v>15</v>
      </c>
      <c r="C41" t="s">
        <v>18</v>
      </c>
      <c r="D41" t="s">
        <v>154</v>
      </c>
      <c r="E41" t="s">
        <v>111</v>
      </c>
      <c r="F41" s="4">
        <v>43000</v>
      </c>
      <c r="G41" s="5">
        <v>0.83333333333333337</v>
      </c>
      <c r="H41">
        <v>-76.687305555555554</v>
      </c>
      <c r="I41">
        <v>3.3858888888888892</v>
      </c>
      <c r="J41">
        <v>1</v>
      </c>
      <c r="L41" t="s">
        <v>113</v>
      </c>
      <c r="M41">
        <v>3600</v>
      </c>
      <c r="N41" t="b">
        <v>1</v>
      </c>
      <c r="O41" t="s">
        <v>114</v>
      </c>
      <c r="V41" t="s">
        <v>47</v>
      </c>
      <c r="X41">
        <v>0</v>
      </c>
      <c r="AA41" t="s">
        <v>117</v>
      </c>
    </row>
    <row r="42" spans="1:27" x14ac:dyDescent="0.2">
      <c r="A42">
        <v>2017</v>
      </c>
      <c r="B42" t="s">
        <v>15</v>
      </c>
      <c r="C42" t="s">
        <v>18</v>
      </c>
      <c r="D42" t="s">
        <v>155</v>
      </c>
      <c r="E42" t="s">
        <v>122</v>
      </c>
      <c r="F42" s="4">
        <v>43000</v>
      </c>
      <c r="G42" s="5">
        <v>0.875</v>
      </c>
      <c r="H42">
        <v>-76.687638888888898</v>
      </c>
      <c r="I42">
        <v>3.3858611111111112</v>
      </c>
      <c r="J42">
        <v>1</v>
      </c>
      <c r="L42" t="s">
        <v>113</v>
      </c>
      <c r="M42">
        <v>3610</v>
      </c>
      <c r="N42" t="b">
        <v>1</v>
      </c>
      <c r="O42" t="s">
        <v>114</v>
      </c>
      <c r="V42" t="s">
        <v>47</v>
      </c>
      <c r="X42">
        <v>0</v>
      </c>
      <c r="AA42" t="s">
        <v>117</v>
      </c>
    </row>
    <row r="43" spans="1:27" x14ac:dyDescent="0.2">
      <c r="A43">
        <v>2017</v>
      </c>
      <c r="B43" t="s">
        <v>15</v>
      </c>
      <c r="C43" t="s">
        <v>18</v>
      </c>
      <c r="D43" t="s">
        <v>156</v>
      </c>
      <c r="E43" t="s">
        <v>157</v>
      </c>
      <c r="F43" s="4">
        <v>43000</v>
      </c>
      <c r="G43" s="5">
        <v>0.91666666666666663</v>
      </c>
      <c r="H43">
        <v>-76.688416666666669</v>
      </c>
      <c r="I43">
        <v>3.385472222222222</v>
      </c>
      <c r="J43">
        <v>1</v>
      </c>
      <c r="L43" t="s">
        <v>113</v>
      </c>
      <c r="M43">
        <v>3600</v>
      </c>
      <c r="N43" t="b">
        <v>1</v>
      </c>
      <c r="O43" t="s">
        <v>114</v>
      </c>
      <c r="V43" t="s">
        <v>47</v>
      </c>
      <c r="X43">
        <v>0</v>
      </c>
      <c r="AA43" t="s">
        <v>117</v>
      </c>
    </row>
    <row r="44" spans="1:27" x14ac:dyDescent="0.2">
      <c r="A44">
        <v>2017</v>
      </c>
      <c r="B44" t="s">
        <v>21</v>
      </c>
      <c r="C44" t="s">
        <v>23</v>
      </c>
      <c r="D44" t="s">
        <v>158</v>
      </c>
      <c r="E44" t="s">
        <v>111</v>
      </c>
      <c r="F44" s="4">
        <v>43060</v>
      </c>
      <c r="G44" s="5">
        <v>0.82291666666666663</v>
      </c>
      <c r="H44">
        <v>-76.722916666666663</v>
      </c>
      <c r="I44">
        <v>3.4827499999999998</v>
      </c>
      <c r="J44">
        <v>1</v>
      </c>
      <c r="K44" t="s">
        <v>119</v>
      </c>
      <c r="L44" t="s">
        <v>120</v>
      </c>
      <c r="M44">
        <v>1975</v>
      </c>
      <c r="N44" t="b">
        <v>1</v>
      </c>
      <c r="O44" t="s">
        <v>114</v>
      </c>
      <c r="P44">
        <v>8</v>
      </c>
      <c r="R44">
        <v>3</v>
      </c>
      <c r="S44" t="s">
        <v>159</v>
      </c>
      <c r="T44" t="s">
        <v>145</v>
      </c>
      <c r="V44" t="s">
        <v>9</v>
      </c>
      <c r="X44">
        <v>1</v>
      </c>
      <c r="AA44" t="s">
        <v>117</v>
      </c>
    </row>
    <row r="45" spans="1:27" x14ac:dyDescent="0.2">
      <c r="A45">
        <v>2017</v>
      </c>
      <c r="B45" t="s">
        <v>21</v>
      </c>
      <c r="C45" t="s">
        <v>23</v>
      </c>
      <c r="D45" t="s">
        <v>158</v>
      </c>
      <c r="E45" t="s">
        <v>111</v>
      </c>
      <c r="F45" s="4">
        <v>43060</v>
      </c>
      <c r="G45" s="5">
        <v>0.83333333333333337</v>
      </c>
      <c r="H45">
        <v>-76.722972222222225</v>
      </c>
      <c r="I45">
        <v>3.4827222222222218</v>
      </c>
      <c r="J45">
        <v>1</v>
      </c>
      <c r="K45" t="s">
        <v>119</v>
      </c>
      <c r="L45" t="s">
        <v>113</v>
      </c>
      <c r="M45">
        <v>2019</v>
      </c>
      <c r="N45" t="b">
        <v>1</v>
      </c>
      <c r="O45" t="s">
        <v>114</v>
      </c>
      <c r="P45">
        <v>8</v>
      </c>
      <c r="R45">
        <v>15</v>
      </c>
      <c r="S45" t="s">
        <v>159</v>
      </c>
      <c r="T45" t="s">
        <v>145</v>
      </c>
      <c r="V45" t="s">
        <v>4</v>
      </c>
      <c r="X45">
        <v>1</v>
      </c>
      <c r="AA45" t="s">
        <v>117</v>
      </c>
    </row>
    <row r="46" spans="1:27" x14ac:dyDescent="0.2">
      <c r="A46">
        <v>2017</v>
      </c>
      <c r="B46" t="s">
        <v>21</v>
      </c>
      <c r="C46" t="s">
        <v>23</v>
      </c>
      <c r="D46" t="s">
        <v>158</v>
      </c>
      <c r="E46" t="s">
        <v>111</v>
      </c>
      <c r="F46" s="4">
        <v>43060</v>
      </c>
      <c r="G46" s="5">
        <v>0.83750000000000002</v>
      </c>
      <c r="H46">
        <v>-76.722972222222225</v>
      </c>
      <c r="I46">
        <v>3.4827222222222218</v>
      </c>
      <c r="J46">
        <v>1</v>
      </c>
      <c r="K46" t="s">
        <v>119</v>
      </c>
      <c r="L46" t="s">
        <v>148</v>
      </c>
      <c r="M46">
        <v>2019</v>
      </c>
      <c r="N46" t="b">
        <v>1</v>
      </c>
      <c r="O46" t="s">
        <v>114</v>
      </c>
      <c r="P46">
        <v>4</v>
      </c>
      <c r="R46">
        <v>5</v>
      </c>
      <c r="S46" t="s">
        <v>159</v>
      </c>
      <c r="T46" t="s">
        <v>145</v>
      </c>
      <c r="V46" t="s">
        <v>4</v>
      </c>
      <c r="X46">
        <v>1</v>
      </c>
      <c r="AA46" t="s">
        <v>117</v>
      </c>
    </row>
    <row r="47" spans="1:27" x14ac:dyDescent="0.2">
      <c r="A47">
        <v>2017</v>
      </c>
      <c r="B47" t="s">
        <v>21</v>
      </c>
      <c r="C47" t="s">
        <v>23</v>
      </c>
      <c r="D47" t="s">
        <v>158</v>
      </c>
      <c r="E47" t="s">
        <v>111</v>
      </c>
      <c r="F47" s="4">
        <v>43060</v>
      </c>
      <c r="G47" s="5">
        <v>0.84444444444444444</v>
      </c>
      <c r="H47">
        <v>-76.722972222222225</v>
      </c>
      <c r="I47">
        <v>3.4827222222222218</v>
      </c>
      <c r="J47">
        <v>1</v>
      </c>
      <c r="K47" t="s">
        <v>119</v>
      </c>
      <c r="L47" t="s">
        <v>160</v>
      </c>
      <c r="M47">
        <v>2019</v>
      </c>
      <c r="N47" t="b">
        <v>1</v>
      </c>
      <c r="O47" t="s">
        <v>114</v>
      </c>
      <c r="P47">
        <v>5</v>
      </c>
      <c r="R47">
        <v>3</v>
      </c>
      <c r="S47" t="s">
        <v>159</v>
      </c>
      <c r="T47" t="s">
        <v>145</v>
      </c>
      <c r="V47" t="s">
        <v>4</v>
      </c>
      <c r="X47">
        <v>1</v>
      </c>
      <c r="AA47" t="s">
        <v>117</v>
      </c>
    </row>
    <row r="48" spans="1:27" x14ac:dyDescent="0.2">
      <c r="A48">
        <v>2017</v>
      </c>
      <c r="B48" t="s">
        <v>21</v>
      </c>
      <c r="C48" t="s">
        <v>23</v>
      </c>
      <c r="D48" t="s">
        <v>158</v>
      </c>
      <c r="E48" t="s">
        <v>111</v>
      </c>
      <c r="F48" s="4">
        <v>43060</v>
      </c>
      <c r="G48" s="5">
        <v>0.84722222222222221</v>
      </c>
      <c r="H48">
        <v>-76.722916666666663</v>
      </c>
      <c r="I48">
        <v>3.4827499999999998</v>
      </c>
      <c r="J48">
        <v>1</v>
      </c>
      <c r="K48" t="s">
        <v>119</v>
      </c>
      <c r="L48" t="s">
        <v>120</v>
      </c>
      <c r="M48">
        <v>2035</v>
      </c>
      <c r="N48" t="b">
        <v>1</v>
      </c>
      <c r="O48" t="s">
        <v>114</v>
      </c>
      <c r="P48">
        <v>8</v>
      </c>
      <c r="R48">
        <v>5</v>
      </c>
      <c r="S48" t="s">
        <v>159</v>
      </c>
      <c r="T48" t="s">
        <v>145</v>
      </c>
      <c r="V48" t="s">
        <v>4</v>
      </c>
      <c r="X48">
        <v>1</v>
      </c>
      <c r="AA48" t="s">
        <v>117</v>
      </c>
    </row>
    <row r="49" spans="1:27" x14ac:dyDescent="0.2">
      <c r="A49">
        <v>2017</v>
      </c>
      <c r="B49" t="s">
        <v>21</v>
      </c>
      <c r="C49" t="s">
        <v>23</v>
      </c>
      <c r="D49" t="s">
        <v>158</v>
      </c>
      <c r="E49" t="s">
        <v>111</v>
      </c>
      <c r="F49" s="4">
        <v>43060</v>
      </c>
      <c r="G49" s="5">
        <v>0.82291666666666663</v>
      </c>
      <c r="H49">
        <v>-76.723194444444445</v>
      </c>
      <c r="I49">
        <v>3.4828055555555562</v>
      </c>
      <c r="J49">
        <v>1</v>
      </c>
      <c r="K49" t="s">
        <v>112</v>
      </c>
      <c r="L49" t="s">
        <v>113</v>
      </c>
      <c r="M49">
        <v>1972</v>
      </c>
      <c r="N49" t="b">
        <v>1</v>
      </c>
      <c r="O49" t="s">
        <v>114</v>
      </c>
      <c r="P49">
        <v>6</v>
      </c>
      <c r="R49">
        <v>1</v>
      </c>
      <c r="S49" t="s">
        <v>159</v>
      </c>
      <c r="T49" t="s">
        <v>145</v>
      </c>
      <c r="V49" t="s">
        <v>9</v>
      </c>
      <c r="X49">
        <v>1</v>
      </c>
      <c r="AA49" t="s">
        <v>117</v>
      </c>
    </row>
    <row r="50" spans="1:27" x14ac:dyDescent="0.2">
      <c r="A50">
        <v>2017</v>
      </c>
      <c r="B50" t="s">
        <v>21</v>
      </c>
      <c r="C50" t="s">
        <v>23</v>
      </c>
      <c r="D50" t="s">
        <v>158</v>
      </c>
      <c r="E50" t="s">
        <v>111</v>
      </c>
      <c r="F50" s="4">
        <v>43060</v>
      </c>
      <c r="G50" s="5">
        <v>0.82291666666666663</v>
      </c>
      <c r="H50">
        <v>-76.723194444444445</v>
      </c>
      <c r="I50">
        <v>3.4828055555555562</v>
      </c>
      <c r="J50">
        <v>1</v>
      </c>
      <c r="K50" t="s">
        <v>112</v>
      </c>
      <c r="L50" t="s">
        <v>161</v>
      </c>
      <c r="M50">
        <v>1972</v>
      </c>
      <c r="N50" t="b">
        <v>1</v>
      </c>
      <c r="O50" t="s">
        <v>114</v>
      </c>
      <c r="P50">
        <v>6</v>
      </c>
      <c r="R50">
        <v>1</v>
      </c>
      <c r="S50" t="s">
        <v>159</v>
      </c>
      <c r="T50" t="s">
        <v>145</v>
      </c>
      <c r="V50" t="s">
        <v>9</v>
      </c>
      <c r="X50">
        <v>1</v>
      </c>
      <c r="AA50" t="s">
        <v>117</v>
      </c>
    </row>
    <row r="51" spans="1:27" x14ac:dyDescent="0.2">
      <c r="A51">
        <v>2017</v>
      </c>
      <c r="B51" t="s">
        <v>21</v>
      </c>
      <c r="C51" t="s">
        <v>23</v>
      </c>
      <c r="D51" t="s">
        <v>158</v>
      </c>
      <c r="E51" t="s">
        <v>111</v>
      </c>
      <c r="F51" s="4">
        <v>43060</v>
      </c>
      <c r="G51" s="5">
        <v>0.82638888888888884</v>
      </c>
      <c r="H51">
        <v>-76.723194444444445</v>
      </c>
      <c r="I51">
        <v>3.4828055555555562</v>
      </c>
      <c r="J51">
        <v>1</v>
      </c>
      <c r="K51" t="s">
        <v>112</v>
      </c>
      <c r="L51" t="s">
        <v>113</v>
      </c>
      <c r="M51">
        <v>1972</v>
      </c>
      <c r="N51" t="b">
        <v>1</v>
      </c>
      <c r="O51" t="s">
        <v>114</v>
      </c>
      <c r="P51">
        <v>9</v>
      </c>
      <c r="R51">
        <v>5</v>
      </c>
      <c r="S51" t="s">
        <v>159</v>
      </c>
      <c r="T51" t="s">
        <v>145</v>
      </c>
      <c r="V51" t="s">
        <v>9</v>
      </c>
      <c r="X51">
        <v>1</v>
      </c>
      <c r="AA51" t="s">
        <v>117</v>
      </c>
    </row>
    <row r="52" spans="1:27" x14ac:dyDescent="0.2">
      <c r="A52">
        <v>2017</v>
      </c>
      <c r="B52" t="s">
        <v>21</v>
      </c>
      <c r="C52" t="s">
        <v>23</v>
      </c>
      <c r="D52" t="s">
        <v>158</v>
      </c>
      <c r="E52" t="s">
        <v>111</v>
      </c>
      <c r="F52" s="4">
        <v>43060</v>
      </c>
      <c r="G52" s="5">
        <v>0.84375</v>
      </c>
      <c r="H52">
        <v>-76.722972222222225</v>
      </c>
      <c r="I52">
        <v>3.4827222222222218</v>
      </c>
      <c r="J52">
        <v>1</v>
      </c>
      <c r="K52" t="s">
        <v>112</v>
      </c>
      <c r="L52" t="s">
        <v>161</v>
      </c>
      <c r="M52">
        <v>2019</v>
      </c>
      <c r="N52" t="b">
        <v>1</v>
      </c>
      <c r="O52" t="s">
        <v>114</v>
      </c>
      <c r="R52">
        <v>50</v>
      </c>
      <c r="S52" t="s">
        <v>159</v>
      </c>
      <c r="T52" t="s">
        <v>145</v>
      </c>
      <c r="V52" t="s">
        <v>9</v>
      </c>
      <c r="X52">
        <v>1</v>
      </c>
      <c r="AA52" t="s">
        <v>117</v>
      </c>
    </row>
    <row r="53" spans="1:27" x14ac:dyDescent="0.2">
      <c r="A53">
        <v>2017</v>
      </c>
      <c r="B53" t="s">
        <v>21</v>
      </c>
      <c r="C53" t="s">
        <v>23</v>
      </c>
      <c r="D53" t="s">
        <v>158</v>
      </c>
      <c r="E53" t="s">
        <v>111</v>
      </c>
      <c r="F53" s="4">
        <v>43060</v>
      </c>
      <c r="G53" s="5">
        <v>0.84444444444444444</v>
      </c>
      <c r="H53">
        <v>-76.722972222222225</v>
      </c>
      <c r="I53">
        <v>3.4827222222222218</v>
      </c>
      <c r="J53">
        <v>1</v>
      </c>
      <c r="K53" t="s">
        <v>112</v>
      </c>
      <c r="L53" t="s">
        <v>161</v>
      </c>
      <c r="M53">
        <v>2019</v>
      </c>
      <c r="N53" t="b">
        <v>1</v>
      </c>
      <c r="O53" t="s">
        <v>114</v>
      </c>
      <c r="R53">
        <v>50</v>
      </c>
      <c r="S53" t="s">
        <v>159</v>
      </c>
      <c r="T53" t="s">
        <v>145</v>
      </c>
      <c r="V53" t="s">
        <v>9</v>
      </c>
      <c r="X53">
        <v>1</v>
      </c>
      <c r="AA53" t="s">
        <v>117</v>
      </c>
    </row>
    <row r="54" spans="1:27" x14ac:dyDescent="0.2">
      <c r="A54">
        <v>2017</v>
      </c>
      <c r="B54" t="s">
        <v>21</v>
      </c>
      <c r="C54" t="s">
        <v>23</v>
      </c>
      <c r="D54" t="s">
        <v>158</v>
      </c>
      <c r="E54" t="s">
        <v>111</v>
      </c>
      <c r="F54" s="4">
        <v>43060</v>
      </c>
      <c r="G54" s="5">
        <v>0.88541666666666663</v>
      </c>
      <c r="H54">
        <v>-76.722805555555553</v>
      </c>
      <c r="I54">
        <v>3.4824166666666669</v>
      </c>
      <c r="J54">
        <v>1</v>
      </c>
      <c r="K54" t="s">
        <v>119</v>
      </c>
      <c r="L54" t="s">
        <v>120</v>
      </c>
      <c r="M54">
        <v>2068</v>
      </c>
      <c r="N54" t="b">
        <v>1</v>
      </c>
      <c r="O54" t="s">
        <v>114</v>
      </c>
      <c r="P54">
        <v>6</v>
      </c>
      <c r="R54">
        <v>10</v>
      </c>
      <c r="S54" t="s">
        <v>159</v>
      </c>
      <c r="T54" t="s">
        <v>145</v>
      </c>
      <c r="U54" t="s">
        <v>162</v>
      </c>
      <c r="V54" t="s">
        <v>8</v>
      </c>
      <c r="X54">
        <v>1</v>
      </c>
      <c r="AA54" t="s">
        <v>117</v>
      </c>
    </row>
    <row r="55" spans="1:27" x14ac:dyDescent="0.2">
      <c r="A55">
        <v>2017</v>
      </c>
      <c r="B55" t="s">
        <v>21</v>
      </c>
      <c r="C55" t="s">
        <v>22</v>
      </c>
      <c r="D55" t="s">
        <v>163</v>
      </c>
      <c r="E55" t="s">
        <v>157</v>
      </c>
      <c r="F55" s="4">
        <v>43060</v>
      </c>
      <c r="G55" s="5">
        <v>0.93055555555555558</v>
      </c>
      <c r="H55">
        <v>-76.722972222222225</v>
      </c>
      <c r="I55">
        <v>3.481527777777778</v>
      </c>
      <c r="J55">
        <v>1</v>
      </c>
      <c r="K55" t="s">
        <v>119</v>
      </c>
      <c r="L55" t="s">
        <v>148</v>
      </c>
      <c r="M55">
        <v>2086</v>
      </c>
      <c r="N55" t="b">
        <v>1</v>
      </c>
      <c r="O55" t="s">
        <v>114</v>
      </c>
      <c r="P55">
        <v>10</v>
      </c>
      <c r="R55">
        <v>15</v>
      </c>
      <c r="S55" t="s">
        <v>159</v>
      </c>
      <c r="T55" t="s">
        <v>145</v>
      </c>
      <c r="U55" t="s">
        <v>164</v>
      </c>
      <c r="V55" t="s">
        <v>8</v>
      </c>
      <c r="X55">
        <v>1</v>
      </c>
      <c r="AA55" t="s">
        <v>117</v>
      </c>
    </row>
    <row r="56" spans="1:27" x14ac:dyDescent="0.2">
      <c r="A56">
        <v>2017</v>
      </c>
      <c r="B56" t="s">
        <v>21</v>
      </c>
      <c r="C56" t="s">
        <v>22</v>
      </c>
      <c r="D56" t="s">
        <v>163</v>
      </c>
      <c r="E56" t="s">
        <v>157</v>
      </c>
      <c r="F56" s="4">
        <v>43060</v>
      </c>
      <c r="G56" s="5">
        <v>0.94930555555555551</v>
      </c>
      <c r="H56">
        <v>-76.723027777777773</v>
      </c>
      <c r="I56">
        <v>3.4813888888888891</v>
      </c>
      <c r="J56">
        <v>1</v>
      </c>
      <c r="K56" t="s">
        <v>119</v>
      </c>
      <c r="L56" t="s">
        <v>120</v>
      </c>
      <c r="M56">
        <v>2094</v>
      </c>
      <c r="N56" t="b">
        <v>1</v>
      </c>
      <c r="O56" t="s">
        <v>114</v>
      </c>
      <c r="P56">
        <v>10</v>
      </c>
      <c r="R56">
        <v>5</v>
      </c>
      <c r="S56" t="s">
        <v>159</v>
      </c>
      <c r="T56" t="s">
        <v>145</v>
      </c>
      <c r="V56" t="s">
        <v>8</v>
      </c>
      <c r="X56">
        <v>1</v>
      </c>
      <c r="AA56" t="s">
        <v>117</v>
      </c>
    </row>
    <row r="57" spans="1:27" x14ac:dyDescent="0.2">
      <c r="A57">
        <v>2017</v>
      </c>
      <c r="B57" t="s">
        <v>21</v>
      </c>
      <c r="C57" t="s">
        <v>22</v>
      </c>
      <c r="D57" t="s">
        <v>163</v>
      </c>
      <c r="E57" t="s">
        <v>157</v>
      </c>
      <c r="F57" s="4">
        <v>43060</v>
      </c>
      <c r="G57" s="5">
        <v>0.93402777777777779</v>
      </c>
      <c r="H57">
        <v>-76.722999999999999</v>
      </c>
      <c r="I57">
        <v>3.481527777777778</v>
      </c>
      <c r="J57">
        <v>1</v>
      </c>
      <c r="K57" t="s">
        <v>112</v>
      </c>
      <c r="L57" t="s">
        <v>161</v>
      </c>
      <c r="M57">
        <v>2090</v>
      </c>
      <c r="N57" t="b">
        <v>1</v>
      </c>
      <c r="O57" t="s">
        <v>114</v>
      </c>
      <c r="P57">
        <v>12</v>
      </c>
      <c r="R57">
        <v>30</v>
      </c>
      <c r="S57" t="s">
        <v>159</v>
      </c>
      <c r="T57" t="s">
        <v>145</v>
      </c>
      <c r="V57" t="s">
        <v>8</v>
      </c>
      <c r="X57">
        <v>1</v>
      </c>
      <c r="AA57" t="s">
        <v>117</v>
      </c>
    </row>
    <row r="58" spans="1:27" x14ac:dyDescent="0.2">
      <c r="A58">
        <v>2017</v>
      </c>
      <c r="B58" t="s">
        <v>21</v>
      </c>
      <c r="C58" t="s">
        <v>22</v>
      </c>
      <c r="D58" t="s">
        <v>163</v>
      </c>
      <c r="E58" t="s">
        <v>157</v>
      </c>
      <c r="F58" s="4">
        <v>43060</v>
      </c>
      <c r="G58" s="5">
        <v>0.94444444444444442</v>
      </c>
      <c r="H58">
        <v>-76.722861111111115</v>
      </c>
      <c r="I58">
        <v>3.4813611111111111</v>
      </c>
      <c r="J58">
        <v>1</v>
      </c>
      <c r="K58" t="s">
        <v>112</v>
      </c>
      <c r="L58" t="s">
        <v>161</v>
      </c>
      <c r="M58">
        <v>2089</v>
      </c>
      <c r="N58" t="b">
        <v>1</v>
      </c>
      <c r="O58" t="s">
        <v>114</v>
      </c>
      <c r="P58">
        <v>10</v>
      </c>
      <c r="R58">
        <v>20</v>
      </c>
      <c r="S58" t="s">
        <v>159</v>
      </c>
      <c r="T58" t="s">
        <v>145</v>
      </c>
      <c r="V58" t="s">
        <v>8</v>
      </c>
      <c r="X58">
        <v>1</v>
      </c>
      <c r="AA58" t="s">
        <v>117</v>
      </c>
    </row>
    <row r="59" spans="1:27" x14ac:dyDescent="0.2">
      <c r="A59">
        <v>2017</v>
      </c>
      <c r="B59" t="s">
        <v>21</v>
      </c>
      <c r="C59" t="s">
        <v>22</v>
      </c>
      <c r="D59" t="s">
        <v>163</v>
      </c>
      <c r="E59" t="s">
        <v>157</v>
      </c>
      <c r="F59" s="4">
        <v>43060</v>
      </c>
      <c r="G59" s="5">
        <v>0.9458333333333333</v>
      </c>
      <c r="H59">
        <v>-76.722861111111115</v>
      </c>
      <c r="I59">
        <v>3.4813611111111111</v>
      </c>
      <c r="J59">
        <v>1</v>
      </c>
      <c r="K59" t="s">
        <v>112</v>
      </c>
      <c r="L59" t="s">
        <v>161</v>
      </c>
      <c r="M59">
        <v>2089</v>
      </c>
      <c r="N59" t="b">
        <v>1</v>
      </c>
      <c r="O59" t="s">
        <v>114</v>
      </c>
      <c r="P59">
        <v>15</v>
      </c>
      <c r="R59">
        <v>20</v>
      </c>
      <c r="S59" t="s">
        <v>159</v>
      </c>
      <c r="T59" t="s">
        <v>145</v>
      </c>
      <c r="V59" t="s">
        <v>8</v>
      </c>
      <c r="X59">
        <v>1</v>
      </c>
      <c r="AA59" t="s">
        <v>117</v>
      </c>
    </row>
    <row r="60" spans="1:27" x14ac:dyDescent="0.2">
      <c r="A60">
        <v>2017</v>
      </c>
      <c r="B60" t="s">
        <v>21</v>
      </c>
      <c r="C60" t="s">
        <v>22</v>
      </c>
      <c r="D60" t="s">
        <v>163</v>
      </c>
      <c r="E60" t="s">
        <v>157</v>
      </c>
      <c r="F60" s="4">
        <v>43060</v>
      </c>
      <c r="G60" s="5">
        <v>0.98541666666666672</v>
      </c>
      <c r="H60">
        <v>-76.723138888888897</v>
      </c>
      <c r="I60">
        <v>3.480777777777778</v>
      </c>
      <c r="J60">
        <v>1</v>
      </c>
      <c r="K60" t="s">
        <v>119</v>
      </c>
      <c r="L60" t="s">
        <v>160</v>
      </c>
      <c r="M60">
        <v>2108</v>
      </c>
      <c r="N60" t="b">
        <v>1</v>
      </c>
      <c r="O60" t="s">
        <v>114</v>
      </c>
      <c r="P60">
        <v>10</v>
      </c>
      <c r="R60">
        <v>15</v>
      </c>
      <c r="S60" t="s">
        <v>159</v>
      </c>
      <c r="T60" t="s">
        <v>145</v>
      </c>
      <c r="V60" t="s">
        <v>2</v>
      </c>
      <c r="X60">
        <v>1</v>
      </c>
      <c r="AA60" t="s">
        <v>117</v>
      </c>
    </row>
    <row r="61" spans="1:27" x14ac:dyDescent="0.2">
      <c r="A61">
        <v>2017</v>
      </c>
      <c r="B61" t="s">
        <v>21</v>
      </c>
      <c r="C61" t="s">
        <v>22</v>
      </c>
      <c r="D61" t="s">
        <v>163</v>
      </c>
      <c r="E61" t="s">
        <v>157</v>
      </c>
      <c r="F61" s="4">
        <v>43060</v>
      </c>
      <c r="G61" s="5">
        <v>0.98750000000000004</v>
      </c>
      <c r="H61">
        <v>-76.723111111111109</v>
      </c>
      <c r="I61">
        <v>3.48075</v>
      </c>
      <c r="J61">
        <v>1</v>
      </c>
      <c r="K61" t="s">
        <v>119</v>
      </c>
      <c r="L61" t="s">
        <v>160</v>
      </c>
      <c r="M61">
        <v>2108</v>
      </c>
      <c r="N61" t="b">
        <v>1</v>
      </c>
      <c r="O61" t="s">
        <v>114</v>
      </c>
      <c r="P61">
        <v>10</v>
      </c>
      <c r="R61">
        <v>20</v>
      </c>
      <c r="S61" t="s">
        <v>159</v>
      </c>
      <c r="T61" t="s">
        <v>145</v>
      </c>
      <c r="V61" t="s">
        <v>8</v>
      </c>
      <c r="X61">
        <v>1</v>
      </c>
      <c r="AA61" t="s">
        <v>117</v>
      </c>
    </row>
    <row r="62" spans="1:27" x14ac:dyDescent="0.2">
      <c r="A62">
        <v>2017</v>
      </c>
      <c r="B62" t="s">
        <v>21</v>
      </c>
      <c r="C62" t="s">
        <v>22</v>
      </c>
      <c r="D62" t="s">
        <v>163</v>
      </c>
      <c r="E62" t="s">
        <v>157</v>
      </c>
      <c r="F62" s="4">
        <v>43060</v>
      </c>
      <c r="G62" s="5">
        <v>0.96875</v>
      </c>
      <c r="H62">
        <v>-76.723138888888897</v>
      </c>
      <c r="I62">
        <v>3.4810833333333329</v>
      </c>
      <c r="J62">
        <v>1</v>
      </c>
      <c r="K62" t="s">
        <v>112</v>
      </c>
      <c r="L62" t="s">
        <v>161</v>
      </c>
      <c r="M62">
        <v>2101</v>
      </c>
      <c r="N62" t="b">
        <v>1</v>
      </c>
      <c r="O62" t="s">
        <v>114</v>
      </c>
      <c r="P62">
        <v>9</v>
      </c>
      <c r="R62">
        <v>15</v>
      </c>
      <c r="S62" t="s">
        <v>159</v>
      </c>
      <c r="T62" t="s">
        <v>145</v>
      </c>
      <c r="V62" t="s">
        <v>9</v>
      </c>
      <c r="X62">
        <v>1</v>
      </c>
      <c r="AA62" t="s">
        <v>117</v>
      </c>
    </row>
    <row r="63" spans="1:27" x14ac:dyDescent="0.2">
      <c r="A63">
        <v>2017</v>
      </c>
      <c r="B63" t="s">
        <v>21</v>
      </c>
      <c r="C63" t="s">
        <v>22</v>
      </c>
      <c r="D63" t="s">
        <v>163</v>
      </c>
      <c r="E63" t="s">
        <v>157</v>
      </c>
      <c r="F63" s="4">
        <v>43060</v>
      </c>
      <c r="G63" s="5">
        <v>0.97569444444444442</v>
      </c>
      <c r="H63">
        <v>-76.723138888888897</v>
      </c>
      <c r="I63">
        <v>3.4809166666666669</v>
      </c>
      <c r="J63">
        <v>1</v>
      </c>
      <c r="K63" t="s">
        <v>112</v>
      </c>
      <c r="L63" t="s">
        <v>161</v>
      </c>
      <c r="M63">
        <v>2101</v>
      </c>
      <c r="N63" t="b">
        <v>1</v>
      </c>
      <c r="O63" t="s">
        <v>114</v>
      </c>
      <c r="P63">
        <v>10</v>
      </c>
      <c r="R63">
        <v>10</v>
      </c>
      <c r="S63" t="s">
        <v>159</v>
      </c>
      <c r="T63" t="s">
        <v>145</v>
      </c>
      <c r="V63" t="s">
        <v>8</v>
      </c>
      <c r="X63">
        <v>1</v>
      </c>
      <c r="AA63" t="s">
        <v>117</v>
      </c>
    </row>
    <row r="64" spans="1:27" x14ac:dyDescent="0.2">
      <c r="A64">
        <v>2017</v>
      </c>
      <c r="B64" t="s">
        <v>21</v>
      </c>
      <c r="C64" t="s">
        <v>22</v>
      </c>
      <c r="D64" t="s">
        <v>163</v>
      </c>
      <c r="E64" t="s">
        <v>157</v>
      </c>
      <c r="F64" s="4">
        <v>43060</v>
      </c>
      <c r="G64" s="5">
        <v>0.98263888888888884</v>
      </c>
      <c r="H64">
        <v>-76.723250000000007</v>
      </c>
      <c r="I64">
        <v>3.480777777777778</v>
      </c>
      <c r="J64">
        <v>1</v>
      </c>
      <c r="K64" t="s">
        <v>112</v>
      </c>
      <c r="L64" t="s">
        <v>161</v>
      </c>
      <c r="M64">
        <v>2107</v>
      </c>
      <c r="N64" t="b">
        <v>1</v>
      </c>
      <c r="O64" t="s">
        <v>114</v>
      </c>
      <c r="P64">
        <v>12</v>
      </c>
      <c r="R64">
        <v>15</v>
      </c>
      <c r="S64" t="s">
        <v>159</v>
      </c>
      <c r="T64" t="s">
        <v>145</v>
      </c>
      <c r="V64" t="s">
        <v>8</v>
      </c>
      <c r="X64">
        <v>1</v>
      </c>
      <c r="AA64" t="s">
        <v>117</v>
      </c>
    </row>
    <row r="65" spans="1:27" x14ac:dyDescent="0.2">
      <c r="A65">
        <v>2017</v>
      </c>
      <c r="B65" t="s">
        <v>21</v>
      </c>
      <c r="C65" t="s">
        <v>22</v>
      </c>
      <c r="D65" t="s">
        <v>163</v>
      </c>
      <c r="E65" t="s">
        <v>157</v>
      </c>
      <c r="F65" s="4">
        <v>43060</v>
      </c>
      <c r="G65" s="5">
        <v>0.98263888888888884</v>
      </c>
      <c r="H65">
        <v>-76.723250000000007</v>
      </c>
      <c r="I65">
        <v>3.480777777777778</v>
      </c>
      <c r="J65">
        <v>1</v>
      </c>
      <c r="K65" t="s">
        <v>112</v>
      </c>
      <c r="L65" t="s">
        <v>161</v>
      </c>
      <c r="M65">
        <v>2107</v>
      </c>
      <c r="N65" t="b">
        <v>1</v>
      </c>
      <c r="O65" t="s">
        <v>114</v>
      </c>
      <c r="P65">
        <v>12</v>
      </c>
      <c r="R65">
        <v>15</v>
      </c>
      <c r="S65" t="s">
        <v>159</v>
      </c>
      <c r="T65" t="s">
        <v>145</v>
      </c>
      <c r="V65" t="s">
        <v>2</v>
      </c>
      <c r="X65">
        <v>1</v>
      </c>
      <c r="AA65" t="s">
        <v>117</v>
      </c>
    </row>
    <row r="66" spans="1:27" x14ac:dyDescent="0.2">
      <c r="A66">
        <v>2017</v>
      </c>
      <c r="B66" t="s">
        <v>21</v>
      </c>
      <c r="C66" t="s">
        <v>22</v>
      </c>
      <c r="D66" t="s">
        <v>163</v>
      </c>
      <c r="E66" t="s">
        <v>157</v>
      </c>
      <c r="F66" s="4">
        <v>43060</v>
      </c>
      <c r="G66" s="5">
        <v>0.98958333333333337</v>
      </c>
      <c r="H66">
        <v>-76.723250000000007</v>
      </c>
      <c r="I66">
        <v>3.48075</v>
      </c>
      <c r="J66">
        <v>1</v>
      </c>
      <c r="K66" t="s">
        <v>112</v>
      </c>
      <c r="L66" t="s">
        <v>113</v>
      </c>
      <c r="M66">
        <v>2108</v>
      </c>
      <c r="N66" t="b">
        <v>1</v>
      </c>
      <c r="O66" t="s">
        <v>114</v>
      </c>
      <c r="P66">
        <v>10</v>
      </c>
      <c r="R66">
        <v>5</v>
      </c>
      <c r="S66" t="s">
        <v>159</v>
      </c>
      <c r="T66" t="s">
        <v>145</v>
      </c>
      <c r="V66" t="s">
        <v>8</v>
      </c>
      <c r="X66">
        <v>1</v>
      </c>
      <c r="AA66" t="s">
        <v>117</v>
      </c>
    </row>
    <row r="67" spans="1:27" x14ac:dyDescent="0.2">
      <c r="A67">
        <v>2017</v>
      </c>
      <c r="B67" t="s">
        <v>21</v>
      </c>
      <c r="C67" t="s">
        <v>22</v>
      </c>
      <c r="D67" t="s">
        <v>163</v>
      </c>
      <c r="E67" t="s">
        <v>157</v>
      </c>
      <c r="F67" s="4">
        <v>43060</v>
      </c>
      <c r="G67" s="5">
        <v>0.99305555555555558</v>
      </c>
      <c r="H67">
        <v>-76.723250000000007</v>
      </c>
      <c r="I67">
        <v>3.4805277777777781</v>
      </c>
      <c r="J67">
        <v>1</v>
      </c>
      <c r="K67" t="s">
        <v>112</v>
      </c>
      <c r="L67" t="s">
        <v>161</v>
      </c>
      <c r="M67">
        <v>2137</v>
      </c>
      <c r="N67" t="b">
        <v>1</v>
      </c>
      <c r="O67" t="s">
        <v>114</v>
      </c>
      <c r="P67">
        <v>10</v>
      </c>
      <c r="R67">
        <v>5</v>
      </c>
      <c r="S67" t="s">
        <v>159</v>
      </c>
      <c r="T67" t="s">
        <v>145</v>
      </c>
      <c r="V67" t="s">
        <v>8</v>
      </c>
      <c r="X67">
        <v>1</v>
      </c>
      <c r="AA67" t="s">
        <v>117</v>
      </c>
    </row>
    <row r="68" spans="1:27" x14ac:dyDescent="0.2">
      <c r="A68">
        <v>2017</v>
      </c>
      <c r="B68" t="s">
        <v>21</v>
      </c>
      <c r="C68" t="s">
        <v>23</v>
      </c>
      <c r="D68" t="s">
        <v>165</v>
      </c>
      <c r="E68" t="s">
        <v>122</v>
      </c>
      <c r="F68" s="4">
        <v>43060</v>
      </c>
      <c r="G68" s="5">
        <v>2.7777777777777776E-2</v>
      </c>
      <c r="H68">
        <v>-76.724000000000004</v>
      </c>
      <c r="I68">
        <v>3.4841666666666669</v>
      </c>
      <c r="J68">
        <v>1</v>
      </c>
      <c r="K68" t="s">
        <v>112</v>
      </c>
      <c r="L68" t="s">
        <v>120</v>
      </c>
      <c r="M68">
        <v>2068</v>
      </c>
      <c r="N68" t="b">
        <v>1</v>
      </c>
      <c r="O68" t="s">
        <v>114</v>
      </c>
      <c r="P68">
        <v>8</v>
      </c>
      <c r="R68">
        <v>10</v>
      </c>
      <c r="S68" t="s">
        <v>159</v>
      </c>
      <c r="T68" t="s">
        <v>145</v>
      </c>
      <c r="V68" t="s">
        <v>9</v>
      </c>
      <c r="X68">
        <v>1</v>
      </c>
      <c r="AA68" t="s">
        <v>117</v>
      </c>
    </row>
    <row r="69" spans="1:27" x14ac:dyDescent="0.2">
      <c r="A69">
        <v>2017</v>
      </c>
      <c r="B69" t="s">
        <v>21</v>
      </c>
      <c r="C69" t="s">
        <v>24</v>
      </c>
      <c r="D69" t="s">
        <v>166</v>
      </c>
      <c r="E69" t="s">
        <v>111</v>
      </c>
      <c r="F69" s="4">
        <v>43061</v>
      </c>
      <c r="G69" s="5">
        <v>0.85555555555555551</v>
      </c>
      <c r="H69">
        <v>-76.713916666666663</v>
      </c>
      <c r="I69">
        <v>3.487805555555556</v>
      </c>
      <c r="J69">
        <v>1</v>
      </c>
      <c r="K69" t="s">
        <v>119</v>
      </c>
      <c r="L69" t="s">
        <v>120</v>
      </c>
      <c r="M69">
        <v>1859</v>
      </c>
      <c r="N69" t="s">
        <v>114</v>
      </c>
      <c r="O69" t="b">
        <v>1</v>
      </c>
      <c r="P69">
        <v>15</v>
      </c>
      <c r="Q69">
        <v>1.1499999999999999</v>
      </c>
      <c r="R69">
        <v>30</v>
      </c>
      <c r="S69" t="s">
        <v>159</v>
      </c>
      <c r="T69" t="s">
        <v>167</v>
      </c>
      <c r="V69" t="s">
        <v>9</v>
      </c>
      <c r="X69">
        <v>1</v>
      </c>
      <c r="AA69" t="s">
        <v>117</v>
      </c>
    </row>
    <row r="70" spans="1:27" x14ac:dyDescent="0.2">
      <c r="A70">
        <v>2017</v>
      </c>
      <c r="B70" t="s">
        <v>21</v>
      </c>
      <c r="C70" t="s">
        <v>24</v>
      </c>
      <c r="D70" t="s">
        <v>166</v>
      </c>
      <c r="E70" t="s">
        <v>111</v>
      </c>
      <c r="F70" s="4">
        <v>43061</v>
      </c>
      <c r="G70" s="5">
        <v>0.86041666666666672</v>
      </c>
      <c r="H70">
        <v>-76.714055555555561</v>
      </c>
      <c r="I70">
        <v>3.487805555555556</v>
      </c>
      <c r="J70">
        <v>1</v>
      </c>
      <c r="K70" t="s">
        <v>119</v>
      </c>
      <c r="L70" t="s">
        <v>168</v>
      </c>
      <c r="M70">
        <v>1863</v>
      </c>
      <c r="N70" t="s">
        <v>114</v>
      </c>
      <c r="O70" t="b">
        <v>1</v>
      </c>
      <c r="P70">
        <v>12</v>
      </c>
      <c r="Q70">
        <v>1</v>
      </c>
      <c r="R70">
        <v>20</v>
      </c>
      <c r="S70" t="s">
        <v>159</v>
      </c>
      <c r="T70" t="s">
        <v>167</v>
      </c>
      <c r="V70" t="s">
        <v>9</v>
      </c>
      <c r="X70">
        <v>1</v>
      </c>
      <c r="AA70" t="s">
        <v>117</v>
      </c>
    </row>
    <row r="71" spans="1:27" x14ac:dyDescent="0.2">
      <c r="A71">
        <v>2017</v>
      </c>
      <c r="B71" t="s">
        <v>21</v>
      </c>
      <c r="C71" t="s">
        <v>24</v>
      </c>
      <c r="D71" t="s">
        <v>166</v>
      </c>
      <c r="E71" t="s">
        <v>111</v>
      </c>
      <c r="F71" s="4">
        <v>43061</v>
      </c>
      <c r="G71" s="5">
        <v>0.86111111111111116</v>
      </c>
      <c r="H71">
        <v>-76.713999999999999</v>
      </c>
      <c r="I71">
        <v>3.487805555555556</v>
      </c>
      <c r="J71">
        <v>1</v>
      </c>
      <c r="K71" t="s">
        <v>119</v>
      </c>
      <c r="L71" t="s">
        <v>168</v>
      </c>
      <c r="M71">
        <v>1865</v>
      </c>
      <c r="N71" t="s">
        <v>114</v>
      </c>
      <c r="O71" t="b">
        <v>1</v>
      </c>
      <c r="P71">
        <v>15</v>
      </c>
      <c r="Q71">
        <v>1</v>
      </c>
      <c r="R71">
        <v>15</v>
      </c>
      <c r="S71" t="s">
        <v>159</v>
      </c>
      <c r="T71" t="s">
        <v>167</v>
      </c>
      <c r="U71" t="s">
        <v>169</v>
      </c>
      <c r="V71" t="s">
        <v>8</v>
      </c>
      <c r="X71">
        <v>1</v>
      </c>
      <c r="AA71" t="s">
        <v>117</v>
      </c>
    </row>
    <row r="72" spans="1:27" x14ac:dyDescent="0.2">
      <c r="A72">
        <v>2017</v>
      </c>
      <c r="B72" t="s">
        <v>21</v>
      </c>
      <c r="C72" t="s">
        <v>24</v>
      </c>
      <c r="D72" t="s">
        <v>170</v>
      </c>
      <c r="E72" t="s">
        <v>122</v>
      </c>
      <c r="F72" s="4">
        <v>43061</v>
      </c>
      <c r="G72" s="5">
        <v>0.87152777777777779</v>
      </c>
      <c r="H72">
        <v>-76.714194444444445</v>
      </c>
      <c r="I72">
        <v>3.4877777777777781</v>
      </c>
      <c r="J72">
        <v>1</v>
      </c>
      <c r="K72" t="s">
        <v>119</v>
      </c>
      <c r="L72" t="s">
        <v>161</v>
      </c>
      <c r="M72">
        <v>1863</v>
      </c>
      <c r="N72" t="s">
        <v>114</v>
      </c>
      <c r="O72" t="b">
        <v>1</v>
      </c>
      <c r="P72">
        <v>15</v>
      </c>
      <c r="Q72">
        <v>1.3</v>
      </c>
      <c r="R72">
        <v>15</v>
      </c>
      <c r="S72" t="s">
        <v>159</v>
      </c>
      <c r="T72" t="s">
        <v>167</v>
      </c>
      <c r="U72" t="s">
        <v>171</v>
      </c>
      <c r="V72" t="s">
        <v>3</v>
      </c>
      <c r="X72">
        <v>1</v>
      </c>
      <c r="AA72" t="s">
        <v>117</v>
      </c>
    </row>
    <row r="73" spans="1:27" x14ac:dyDescent="0.2">
      <c r="A73">
        <v>2017</v>
      </c>
      <c r="B73" t="s">
        <v>21</v>
      </c>
      <c r="C73" t="s">
        <v>24</v>
      </c>
      <c r="D73" t="s">
        <v>170</v>
      </c>
      <c r="E73" t="s">
        <v>122</v>
      </c>
      <c r="F73" s="4">
        <v>43061</v>
      </c>
      <c r="G73" s="5">
        <v>0.87916666666666665</v>
      </c>
      <c r="H73">
        <v>-76.714194444444445</v>
      </c>
      <c r="I73">
        <v>3.4877500000000001</v>
      </c>
      <c r="J73">
        <v>1</v>
      </c>
      <c r="K73" t="s">
        <v>119</v>
      </c>
      <c r="L73" t="s">
        <v>168</v>
      </c>
      <c r="M73">
        <v>1865</v>
      </c>
      <c r="N73" t="s">
        <v>114</v>
      </c>
      <c r="O73" t="b">
        <v>1</v>
      </c>
      <c r="P73">
        <v>15</v>
      </c>
      <c r="Q73">
        <v>1.1000000000000001</v>
      </c>
      <c r="R73">
        <v>20</v>
      </c>
      <c r="S73" t="s">
        <v>159</v>
      </c>
      <c r="T73" t="s">
        <v>167</v>
      </c>
      <c r="U73" t="s">
        <v>172</v>
      </c>
      <c r="V73" t="s">
        <v>8</v>
      </c>
      <c r="X73">
        <v>1</v>
      </c>
      <c r="AA73" t="s">
        <v>117</v>
      </c>
    </row>
    <row r="74" spans="1:27" x14ac:dyDescent="0.2">
      <c r="A74">
        <v>2017</v>
      </c>
      <c r="B74" t="s">
        <v>21</v>
      </c>
      <c r="C74" t="s">
        <v>24</v>
      </c>
      <c r="D74" t="s">
        <v>166</v>
      </c>
      <c r="E74" t="s">
        <v>111</v>
      </c>
      <c r="F74" s="4">
        <v>43061</v>
      </c>
      <c r="G74" s="5">
        <v>0.86111111111111116</v>
      </c>
      <c r="H74">
        <v>-76.713999999999999</v>
      </c>
      <c r="I74">
        <v>3.487805555555556</v>
      </c>
      <c r="J74">
        <v>1</v>
      </c>
      <c r="K74" t="s">
        <v>112</v>
      </c>
      <c r="L74" t="s">
        <v>161</v>
      </c>
      <c r="M74">
        <v>1865</v>
      </c>
      <c r="N74" t="s">
        <v>114</v>
      </c>
      <c r="O74" t="b">
        <v>1</v>
      </c>
      <c r="P74">
        <v>15</v>
      </c>
      <c r="Q74">
        <v>1</v>
      </c>
      <c r="R74">
        <v>1</v>
      </c>
      <c r="S74" t="s">
        <v>159</v>
      </c>
      <c r="T74" t="s">
        <v>167</v>
      </c>
      <c r="U74" t="s">
        <v>173</v>
      </c>
      <c r="V74" t="s">
        <v>8</v>
      </c>
      <c r="X74">
        <v>1</v>
      </c>
      <c r="AA74" t="s">
        <v>117</v>
      </c>
    </row>
    <row r="75" spans="1:27" x14ac:dyDescent="0.2">
      <c r="A75">
        <v>2017</v>
      </c>
      <c r="B75" t="s">
        <v>21</v>
      </c>
      <c r="C75" t="s">
        <v>24</v>
      </c>
      <c r="D75" t="s">
        <v>170</v>
      </c>
      <c r="E75" t="s">
        <v>122</v>
      </c>
      <c r="F75" s="4">
        <v>43061</v>
      </c>
      <c r="G75" s="5">
        <v>0.875</v>
      </c>
      <c r="H75">
        <v>-76.714194444444445</v>
      </c>
      <c r="I75">
        <v>3.4877777777777781</v>
      </c>
      <c r="J75">
        <v>1</v>
      </c>
      <c r="K75" t="s">
        <v>112</v>
      </c>
      <c r="L75" t="s">
        <v>160</v>
      </c>
      <c r="M75">
        <v>1863</v>
      </c>
      <c r="N75" t="s">
        <v>114</v>
      </c>
      <c r="O75" t="b">
        <v>1</v>
      </c>
      <c r="P75">
        <v>20</v>
      </c>
      <c r="Q75">
        <v>1.5</v>
      </c>
      <c r="R75">
        <v>1.5</v>
      </c>
      <c r="S75" t="s">
        <v>159</v>
      </c>
      <c r="T75" t="s">
        <v>167</v>
      </c>
      <c r="V75" t="s">
        <v>8</v>
      </c>
      <c r="X75">
        <v>1</v>
      </c>
      <c r="AA75" t="s">
        <v>117</v>
      </c>
    </row>
    <row r="76" spans="1:27" x14ac:dyDescent="0.2">
      <c r="A76">
        <v>2017</v>
      </c>
      <c r="B76" t="s">
        <v>21</v>
      </c>
      <c r="C76" t="s">
        <v>24</v>
      </c>
      <c r="D76" t="s">
        <v>170</v>
      </c>
      <c r="E76" t="s">
        <v>122</v>
      </c>
      <c r="F76" s="4">
        <v>43061</v>
      </c>
      <c r="G76" s="5">
        <v>0.91736111111111107</v>
      </c>
      <c r="H76">
        <v>-76.714666666666673</v>
      </c>
      <c r="I76">
        <v>3.4874999999999998</v>
      </c>
      <c r="J76">
        <v>1</v>
      </c>
      <c r="K76" t="s">
        <v>119</v>
      </c>
      <c r="L76" t="s">
        <v>120</v>
      </c>
      <c r="M76">
        <v>1878</v>
      </c>
      <c r="N76" t="s">
        <v>114</v>
      </c>
      <c r="O76" t="b">
        <v>1</v>
      </c>
      <c r="P76">
        <v>15</v>
      </c>
      <c r="Q76">
        <v>1.2</v>
      </c>
      <c r="R76">
        <v>10</v>
      </c>
      <c r="S76" t="s">
        <v>159</v>
      </c>
      <c r="T76" t="s">
        <v>167</v>
      </c>
      <c r="V76" t="s">
        <v>8</v>
      </c>
      <c r="X76">
        <v>1</v>
      </c>
      <c r="AA76" t="s">
        <v>117</v>
      </c>
    </row>
    <row r="77" spans="1:27" x14ac:dyDescent="0.2">
      <c r="A77">
        <v>2017</v>
      </c>
      <c r="B77" t="s">
        <v>21</v>
      </c>
      <c r="C77" t="s">
        <v>24</v>
      </c>
      <c r="D77" t="s">
        <v>170</v>
      </c>
      <c r="E77" t="s">
        <v>122</v>
      </c>
      <c r="F77" s="4">
        <v>43061</v>
      </c>
      <c r="G77" s="5">
        <v>0.92013888888888884</v>
      </c>
      <c r="H77">
        <v>-76.714805555555557</v>
      </c>
      <c r="I77">
        <v>3.4873888888888889</v>
      </c>
      <c r="J77">
        <v>1</v>
      </c>
      <c r="K77" t="s">
        <v>119</v>
      </c>
      <c r="L77" t="s">
        <v>174</v>
      </c>
      <c r="M77">
        <v>1878</v>
      </c>
      <c r="N77" t="s">
        <v>114</v>
      </c>
      <c r="O77" t="b">
        <v>1</v>
      </c>
      <c r="P77">
        <v>12</v>
      </c>
      <c r="Q77">
        <v>1.1599999999999999</v>
      </c>
      <c r="R77">
        <v>7</v>
      </c>
      <c r="S77" t="s">
        <v>159</v>
      </c>
      <c r="T77" t="s">
        <v>167</v>
      </c>
      <c r="V77" t="s">
        <v>8</v>
      </c>
      <c r="X77">
        <v>1</v>
      </c>
      <c r="AA77" t="s">
        <v>117</v>
      </c>
    </row>
    <row r="78" spans="1:27" x14ac:dyDescent="0.2">
      <c r="A78">
        <v>2017</v>
      </c>
      <c r="B78" t="s">
        <v>21</v>
      </c>
      <c r="C78" t="s">
        <v>24</v>
      </c>
      <c r="D78" t="s">
        <v>170</v>
      </c>
      <c r="E78" t="s">
        <v>122</v>
      </c>
      <c r="F78" s="4">
        <v>43061</v>
      </c>
      <c r="G78" s="5">
        <v>0.92708333333333337</v>
      </c>
      <c r="H78">
        <v>-76.714777777777783</v>
      </c>
      <c r="I78">
        <v>3.487305555555555</v>
      </c>
      <c r="J78">
        <v>1</v>
      </c>
      <c r="K78" t="s">
        <v>119</v>
      </c>
      <c r="L78" t="s">
        <v>120</v>
      </c>
      <c r="M78">
        <v>1880</v>
      </c>
      <c r="N78" t="s">
        <v>114</v>
      </c>
      <c r="O78" t="b">
        <v>1</v>
      </c>
      <c r="P78">
        <v>15</v>
      </c>
      <c r="Q78">
        <v>1</v>
      </c>
      <c r="S78" t="s">
        <v>175</v>
      </c>
      <c r="T78" t="s">
        <v>167</v>
      </c>
      <c r="V78" t="s">
        <v>9</v>
      </c>
      <c r="X78">
        <v>1</v>
      </c>
      <c r="AA78" t="s">
        <v>117</v>
      </c>
    </row>
    <row r="79" spans="1:27" x14ac:dyDescent="0.2">
      <c r="A79">
        <v>2017</v>
      </c>
      <c r="B79" t="s">
        <v>21</v>
      </c>
      <c r="C79" t="s">
        <v>24</v>
      </c>
      <c r="D79" t="s">
        <v>170</v>
      </c>
      <c r="E79" t="s">
        <v>122</v>
      </c>
      <c r="F79" s="4">
        <v>43061</v>
      </c>
      <c r="G79" s="5">
        <v>0.92708333333333337</v>
      </c>
      <c r="H79">
        <v>-76.714777777777783</v>
      </c>
      <c r="I79">
        <v>3.487305555555555</v>
      </c>
      <c r="J79">
        <v>1</v>
      </c>
      <c r="K79" t="s">
        <v>119</v>
      </c>
      <c r="L79" t="s">
        <v>148</v>
      </c>
      <c r="M79">
        <v>1880</v>
      </c>
      <c r="N79" t="s">
        <v>114</v>
      </c>
      <c r="O79" t="b">
        <v>1</v>
      </c>
      <c r="P79">
        <v>15</v>
      </c>
      <c r="Q79">
        <v>1</v>
      </c>
      <c r="S79" t="s">
        <v>144</v>
      </c>
      <c r="T79" t="s">
        <v>167</v>
      </c>
      <c r="V79" t="s">
        <v>8</v>
      </c>
      <c r="X79">
        <v>1</v>
      </c>
      <c r="AA79" t="s">
        <v>117</v>
      </c>
    </row>
    <row r="80" spans="1:27" x14ac:dyDescent="0.2">
      <c r="A80">
        <v>2017</v>
      </c>
      <c r="B80" t="s">
        <v>21</v>
      </c>
      <c r="C80" t="s">
        <v>24</v>
      </c>
      <c r="D80" t="s">
        <v>176</v>
      </c>
      <c r="E80" t="s">
        <v>127</v>
      </c>
      <c r="F80" s="4">
        <v>43061</v>
      </c>
      <c r="G80" s="5">
        <v>0.94374999999999998</v>
      </c>
      <c r="H80">
        <v>-76.714833333333331</v>
      </c>
      <c r="I80">
        <v>3.487055555555556</v>
      </c>
      <c r="J80">
        <v>1</v>
      </c>
      <c r="K80" t="s">
        <v>119</v>
      </c>
      <c r="L80" t="s">
        <v>161</v>
      </c>
      <c r="M80">
        <v>1888</v>
      </c>
      <c r="N80" t="s">
        <v>114</v>
      </c>
      <c r="O80" t="b">
        <v>1</v>
      </c>
      <c r="P80">
        <v>8</v>
      </c>
      <c r="Q80">
        <v>1</v>
      </c>
      <c r="R80">
        <v>20</v>
      </c>
      <c r="S80" t="s">
        <v>144</v>
      </c>
      <c r="T80" t="s">
        <v>167</v>
      </c>
      <c r="V80" t="s">
        <v>8</v>
      </c>
      <c r="X80">
        <v>1</v>
      </c>
      <c r="AA80" t="s">
        <v>117</v>
      </c>
    </row>
    <row r="81" spans="1:27" x14ac:dyDescent="0.2">
      <c r="A81">
        <v>2017</v>
      </c>
      <c r="B81" t="s">
        <v>21</v>
      </c>
      <c r="C81" t="s">
        <v>24</v>
      </c>
      <c r="D81" t="s">
        <v>170</v>
      </c>
      <c r="E81" t="s">
        <v>122</v>
      </c>
      <c r="F81" s="4">
        <v>43061</v>
      </c>
      <c r="G81" s="5">
        <v>0.90972222222222221</v>
      </c>
      <c r="H81">
        <v>-76.714638888888885</v>
      </c>
      <c r="I81">
        <v>3.4875277777777778</v>
      </c>
      <c r="J81">
        <v>1</v>
      </c>
      <c r="K81" t="s">
        <v>112</v>
      </c>
      <c r="L81" t="s">
        <v>161</v>
      </c>
      <c r="M81">
        <v>1876</v>
      </c>
      <c r="N81" t="s">
        <v>114</v>
      </c>
      <c r="O81" t="b">
        <v>1</v>
      </c>
      <c r="P81">
        <v>15</v>
      </c>
      <c r="Q81">
        <v>1</v>
      </c>
      <c r="R81">
        <v>50</v>
      </c>
      <c r="T81" t="s">
        <v>167</v>
      </c>
      <c r="V81" t="s">
        <v>8</v>
      </c>
      <c r="X81">
        <v>1</v>
      </c>
      <c r="AA81" t="s">
        <v>117</v>
      </c>
    </row>
    <row r="82" spans="1:27" x14ac:dyDescent="0.2">
      <c r="A82">
        <v>2017</v>
      </c>
      <c r="B82" t="s">
        <v>21</v>
      </c>
      <c r="C82" t="s">
        <v>24</v>
      </c>
      <c r="D82" t="s">
        <v>170</v>
      </c>
      <c r="E82" t="s">
        <v>122</v>
      </c>
      <c r="F82" s="4">
        <v>43061</v>
      </c>
      <c r="G82" s="5">
        <v>0.92361111111111116</v>
      </c>
      <c r="H82">
        <v>-76.714722222222221</v>
      </c>
      <c r="I82">
        <v>3.487333333333333</v>
      </c>
      <c r="J82">
        <v>1</v>
      </c>
      <c r="K82" t="s">
        <v>112</v>
      </c>
      <c r="L82" t="s">
        <v>161</v>
      </c>
      <c r="M82">
        <v>1878</v>
      </c>
      <c r="N82" t="s">
        <v>114</v>
      </c>
      <c r="O82" t="b">
        <v>1</v>
      </c>
      <c r="P82">
        <v>12</v>
      </c>
      <c r="Q82">
        <v>1</v>
      </c>
      <c r="R82">
        <v>3</v>
      </c>
      <c r="T82" t="s">
        <v>167</v>
      </c>
      <c r="V82" t="s">
        <v>8</v>
      </c>
      <c r="X82">
        <v>1</v>
      </c>
      <c r="AA82" t="s">
        <v>117</v>
      </c>
    </row>
    <row r="83" spans="1:27" x14ac:dyDescent="0.2">
      <c r="A83">
        <v>2017</v>
      </c>
      <c r="B83" t="s">
        <v>21</v>
      </c>
      <c r="C83" t="s">
        <v>24</v>
      </c>
      <c r="D83" t="s">
        <v>166</v>
      </c>
      <c r="E83" t="s">
        <v>111</v>
      </c>
      <c r="F83" s="4">
        <v>43061</v>
      </c>
      <c r="G83" s="5"/>
      <c r="H83">
        <v>-76.713972222222225</v>
      </c>
      <c r="I83">
        <v>3.487833333333334</v>
      </c>
      <c r="J83">
        <v>1</v>
      </c>
      <c r="L83" t="s">
        <v>113</v>
      </c>
      <c r="M83">
        <v>1857</v>
      </c>
      <c r="N83" t="s">
        <v>114</v>
      </c>
      <c r="O83" t="b">
        <v>1</v>
      </c>
      <c r="V83" t="s">
        <v>47</v>
      </c>
      <c r="X83">
        <v>0</v>
      </c>
      <c r="AA83" t="s">
        <v>117</v>
      </c>
    </row>
    <row r="84" spans="1:27" x14ac:dyDescent="0.2">
      <c r="A84">
        <v>2017</v>
      </c>
      <c r="B84" t="s">
        <v>10</v>
      </c>
      <c r="C84" t="s">
        <v>13</v>
      </c>
      <c r="D84" t="s">
        <v>177</v>
      </c>
      <c r="E84" t="s">
        <v>111</v>
      </c>
      <c r="F84" s="4">
        <v>43013</v>
      </c>
      <c r="G84" s="5">
        <v>0.86805555555555558</v>
      </c>
      <c r="H84">
        <v>-76.644383333333337</v>
      </c>
      <c r="I84">
        <v>3.3494888888888892</v>
      </c>
      <c r="J84">
        <v>1</v>
      </c>
      <c r="K84" t="s">
        <v>119</v>
      </c>
      <c r="L84" t="s">
        <v>160</v>
      </c>
      <c r="M84">
        <v>2479</v>
      </c>
      <c r="N84" t="b">
        <v>1</v>
      </c>
      <c r="O84" t="s">
        <v>114</v>
      </c>
      <c r="R84">
        <v>7</v>
      </c>
      <c r="S84" t="s">
        <v>175</v>
      </c>
      <c r="T84" t="s">
        <v>145</v>
      </c>
      <c r="V84" t="s">
        <v>59</v>
      </c>
      <c r="X84">
        <v>1</v>
      </c>
      <c r="AA84" t="s">
        <v>117</v>
      </c>
    </row>
    <row r="85" spans="1:27" x14ac:dyDescent="0.2">
      <c r="A85">
        <v>2017</v>
      </c>
      <c r="B85" t="s">
        <v>10</v>
      </c>
      <c r="C85" t="s">
        <v>13</v>
      </c>
      <c r="D85" t="s">
        <v>177</v>
      </c>
      <c r="E85" t="s">
        <v>111</v>
      </c>
      <c r="F85" s="4">
        <v>43013</v>
      </c>
      <c r="G85" s="5"/>
      <c r="H85">
        <v>-76.64425</v>
      </c>
      <c r="I85">
        <v>3.3495833333333329</v>
      </c>
      <c r="J85">
        <v>1</v>
      </c>
      <c r="K85" t="s">
        <v>119</v>
      </c>
      <c r="L85" t="s">
        <v>120</v>
      </c>
      <c r="M85">
        <v>2478</v>
      </c>
      <c r="N85" t="b">
        <v>1</v>
      </c>
      <c r="O85" t="s">
        <v>114</v>
      </c>
      <c r="S85" t="s">
        <v>159</v>
      </c>
      <c r="T85" t="s">
        <v>145</v>
      </c>
      <c r="V85" t="s">
        <v>59</v>
      </c>
      <c r="X85">
        <v>1</v>
      </c>
      <c r="AA85" t="s">
        <v>117</v>
      </c>
    </row>
    <row r="86" spans="1:27" x14ac:dyDescent="0.2">
      <c r="A86">
        <v>2017</v>
      </c>
      <c r="B86" t="s">
        <v>10</v>
      </c>
      <c r="C86" t="s">
        <v>13</v>
      </c>
      <c r="D86" t="s">
        <v>177</v>
      </c>
      <c r="E86" t="s">
        <v>111</v>
      </c>
      <c r="F86" s="4">
        <v>43013</v>
      </c>
      <c r="G86" s="5"/>
      <c r="H86">
        <v>-76.64425</v>
      </c>
      <c r="I86">
        <v>3.3495833333333329</v>
      </c>
      <c r="J86">
        <v>1</v>
      </c>
      <c r="K86" t="s">
        <v>119</v>
      </c>
      <c r="L86" t="s">
        <v>160</v>
      </c>
      <c r="M86">
        <v>2478</v>
      </c>
      <c r="N86" t="b">
        <v>1</v>
      </c>
      <c r="O86" t="s">
        <v>114</v>
      </c>
      <c r="P86">
        <v>10</v>
      </c>
      <c r="S86" t="s">
        <v>159</v>
      </c>
      <c r="T86" t="s">
        <v>145</v>
      </c>
      <c r="V86" t="s">
        <v>59</v>
      </c>
      <c r="X86">
        <v>1</v>
      </c>
      <c r="AA86" t="s">
        <v>117</v>
      </c>
    </row>
    <row r="87" spans="1:27" x14ac:dyDescent="0.2">
      <c r="A87">
        <v>2017</v>
      </c>
      <c r="B87" t="s">
        <v>10</v>
      </c>
      <c r="C87" t="s">
        <v>13</v>
      </c>
      <c r="D87" t="s">
        <v>177</v>
      </c>
      <c r="E87" t="s">
        <v>111</v>
      </c>
      <c r="F87" s="4">
        <v>43013</v>
      </c>
      <c r="G87" s="5">
        <v>0.91249999999999998</v>
      </c>
      <c r="H87">
        <v>-76.644333333333336</v>
      </c>
      <c r="I87">
        <v>3.3495555555555558</v>
      </c>
      <c r="J87">
        <v>1</v>
      </c>
      <c r="K87" t="s">
        <v>119</v>
      </c>
      <c r="L87" t="s">
        <v>178</v>
      </c>
      <c r="M87">
        <v>2472</v>
      </c>
      <c r="N87" t="b">
        <v>1</v>
      </c>
      <c r="O87" t="s">
        <v>114</v>
      </c>
      <c r="P87">
        <v>20</v>
      </c>
      <c r="S87" t="s">
        <v>159</v>
      </c>
      <c r="T87" t="s">
        <v>145</v>
      </c>
      <c r="V87" t="s">
        <v>59</v>
      </c>
      <c r="X87">
        <v>1</v>
      </c>
      <c r="AA87" t="s">
        <v>117</v>
      </c>
    </row>
    <row r="88" spans="1:27" x14ac:dyDescent="0.2">
      <c r="A88">
        <v>2017</v>
      </c>
      <c r="B88" t="s">
        <v>10</v>
      </c>
      <c r="C88" t="s">
        <v>13</v>
      </c>
      <c r="D88" t="s">
        <v>177</v>
      </c>
      <c r="E88" t="s">
        <v>111</v>
      </c>
      <c r="F88" s="4">
        <v>43013</v>
      </c>
      <c r="G88" s="5">
        <v>0.85416666666666663</v>
      </c>
      <c r="H88">
        <v>-76.644383333333337</v>
      </c>
      <c r="I88">
        <v>3.3494888888888892</v>
      </c>
      <c r="J88">
        <v>1</v>
      </c>
      <c r="K88" t="s">
        <v>112</v>
      </c>
      <c r="L88" t="s">
        <v>161</v>
      </c>
      <c r="M88">
        <v>2479</v>
      </c>
      <c r="N88" t="b">
        <v>1</v>
      </c>
      <c r="O88" t="s">
        <v>114</v>
      </c>
      <c r="P88">
        <v>8</v>
      </c>
      <c r="R88">
        <v>5</v>
      </c>
      <c r="S88" t="s">
        <v>159</v>
      </c>
      <c r="T88" t="s">
        <v>145</v>
      </c>
      <c r="V88" t="s">
        <v>9</v>
      </c>
      <c r="X88">
        <v>1</v>
      </c>
      <c r="AA88" t="s">
        <v>117</v>
      </c>
    </row>
    <row r="89" spans="1:27" x14ac:dyDescent="0.2">
      <c r="A89">
        <v>2017</v>
      </c>
      <c r="B89" t="s">
        <v>10</v>
      </c>
      <c r="C89" t="s">
        <v>13</v>
      </c>
      <c r="D89" t="s">
        <v>177</v>
      </c>
      <c r="E89" t="s">
        <v>111</v>
      </c>
      <c r="F89" s="4">
        <v>43013</v>
      </c>
      <c r="G89" s="5">
        <v>0.88194444444444442</v>
      </c>
      <c r="H89">
        <v>-76.644383333333337</v>
      </c>
      <c r="I89">
        <v>3.3494888888888892</v>
      </c>
      <c r="J89">
        <v>1</v>
      </c>
      <c r="K89" t="s">
        <v>112</v>
      </c>
      <c r="L89" t="s">
        <v>161</v>
      </c>
      <c r="M89">
        <v>2479</v>
      </c>
      <c r="N89" t="b">
        <v>1</v>
      </c>
      <c r="O89" t="s">
        <v>114</v>
      </c>
      <c r="P89">
        <v>8</v>
      </c>
      <c r="R89">
        <v>10</v>
      </c>
      <c r="S89" t="s">
        <v>159</v>
      </c>
      <c r="T89" t="s">
        <v>145</v>
      </c>
      <c r="V89" t="s">
        <v>59</v>
      </c>
      <c r="X89">
        <v>1</v>
      </c>
      <c r="AA89" t="s">
        <v>117</v>
      </c>
    </row>
    <row r="90" spans="1:27" x14ac:dyDescent="0.2">
      <c r="A90">
        <v>2017</v>
      </c>
      <c r="B90" t="s">
        <v>10</v>
      </c>
      <c r="C90" t="s">
        <v>13</v>
      </c>
      <c r="D90" t="s">
        <v>177</v>
      </c>
      <c r="E90" t="s">
        <v>111</v>
      </c>
      <c r="F90" s="4">
        <v>43013</v>
      </c>
      <c r="G90" s="5">
        <v>0.89444444444444449</v>
      </c>
      <c r="H90">
        <v>-76.64425555555556</v>
      </c>
      <c r="I90">
        <v>3.3495833333333329</v>
      </c>
      <c r="J90">
        <v>1</v>
      </c>
      <c r="K90" t="s">
        <v>112</v>
      </c>
      <c r="L90" t="s">
        <v>161</v>
      </c>
      <c r="M90">
        <v>2471</v>
      </c>
      <c r="N90" t="b">
        <v>1</v>
      </c>
      <c r="O90" t="s">
        <v>114</v>
      </c>
      <c r="P90">
        <v>10</v>
      </c>
      <c r="R90">
        <v>2</v>
      </c>
      <c r="S90" t="s">
        <v>159</v>
      </c>
      <c r="T90" t="s">
        <v>145</v>
      </c>
      <c r="V90" t="s">
        <v>9</v>
      </c>
      <c r="X90">
        <v>1</v>
      </c>
      <c r="AA90" t="s">
        <v>117</v>
      </c>
    </row>
    <row r="91" spans="1:27" x14ac:dyDescent="0.2">
      <c r="A91">
        <v>2017</v>
      </c>
      <c r="B91" t="s">
        <v>10</v>
      </c>
      <c r="C91" t="s">
        <v>13</v>
      </c>
      <c r="D91" t="s">
        <v>177</v>
      </c>
      <c r="E91" t="s">
        <v>111</v>
      </c>
      <c r="F91" s="4">
        <v>43013</v>
      </c>
      <c r="G91" s="5">
        <v>0.90277777777777779</v>
      </c>
      <c r="H91">
        <v>-76.644194444444452</v>
      </c>
      <c r="I91">
        <v>3.3495833333333329</v>
      </c>
      <c r="J91">
        <v>1</v>
      </c>
      <c r="K91" t="s">
        <v>112</v>
      </c>
      <c r="L91" t="s">
        <v>113</v>
      </c>
      <c r="M91">
        <v>2469</v>
      </c>
      <c r="N91" t="b">
        <v>1</v>
      </c>
      <c r="O91" t="s">
        <v>114</v>
      </c>
      <c r="P91">
        <v>12</v>
      </c>
      <c r="R91">
        <v>8</v>
      </c>
      <c r="S91" t="s">
        <v>159</v>
      </c>
      <c r="T91" t="s">
        <v>145</v>
      </c>
      <c r="V91" t="s">
        <v>9</v>
      </c>
      <c r="X91">
        <v>1</v>
      </c>
      <c r="AA91" t="s">
        <v>117</v>
      </c>
    </row>
    <row r="92" spans="1:27" x14ac:dyDescent="0.2">
      <c r="A92">
        <v>2017</v>
      </c>
      <c r="B92" t="s">
        <v>10</v>
      </c>
      <c r="C92" t="s">
        <v>13</v>
      </c>
      <c r="D92" t="s">
        <v>179</v>
      </c>
      <c r="E92" t="s">
        <v>122</v>
      </c>
      <c r="F92" s="4">
        <v>43013</v>
      </c>
      <c r="G92" s="5">
        <v>0.92361111111111116</v>
      </c>
      <c r="H92">
        <v>-76.643416666666667</v>
      </c>
      <c r="I92">
        <v>3.3474444444444451</v>
      </c>
      <c r="J92">
        <v>1</v>
      </c>
      <c r="K92" t="s">
        <v>112</v>
      </c>
      <c r="L92" t="s">
        <v>160</v>
      </c>
      <c r="M92">
        <v>2465</v>
      </c>
      <c r="N92" t="b">
        <v>1</v>
      </c>
      <c r="O92" t="s">
        <v>114</v>
      </c>
      <c r="P92">
        <v>5</v>
      </c>
      <c r="R92">
        <v>80</v>
      </c>
      <c r="S92" t="s">
        <v>159</v>
      </c>
      <c r="T92" t="s">
        <v>145</v>
      </c>
      <c r="V92" t="s">
        <v>2</v>
      </c>
      <c r="X92">
        <v>1</v>
      </c>
      <c r="AA92" t="s">
        <v>117</v>
      </c>
    </row>
    <row r="93" spans="1:27" x14ac:dyDescent="0.2">
      <c r="A93">
        <v>2017</v>
      </c>
      <c r="B93" t="s">
        <v>10</v>
      </c>
      <c r="C93" t="s">
        <v>13</v>
      </c>
      <c r="D93" t="s">
        <v>179</v>
      </c>
      <c r="E93" t="s">
        <v>122</v>
      </c>
      <c r="F93" s="4">
        <v>43013</v>
      </c>
      <c r="G93" s="5">
        <v>0.93819444444444444</v>
      </c>
      <c r="H93">
        <v>-76.643305555555557</v>
      </c>
      <c r="I93">
        <v>3.349472222222222</v>
      </c>
      <c r="J93">
        <v>1</v>
      </c>
      <c r="K93" t="s">
        <v>112</v>
      </c>
      <c r="L93" t="s">
        <v>113</v>
      </c>
      <c r="M93">
        <v>2466</v>
      </c>
      <c r="N93" t="b">
        <v>1</v>
      </c>
      <c r="O93" t="s">
        <v>114</v>
      </c>
      <c r="P93">
        <v>10</v>
      </c>
      <c r="R93">
        <v>85</v>
      </c>
      <c r="S93" t="s">
        <v>159</v>
      </c>
      <c r="T93" t="s">
        <v>145</v>
      </c>
      <c r="V93" t="s">
        <v>59</v>
      </c>
      <c r="X93">
        <v>1</v>
      </c>
      <c r="AA93" t="s">
        <v>117</v>
      </c>
    </row>
    <row r="94" spans="1:27" x14ac:dyDescent="0.2">
      <c r="A94">
        <v>2017</v>
      </c>
      <c r="B94" t="s">
        <v>10</v>
      </c>
      <c r="C94" t="s">
        <v>14</v>
      </c>
      <c r="D94" t="s">
        <v>180</v>
      </c>
      <c r="E94" t="s">
        <v>122</v>
      </c>
      <c r="F94" s="4">
        <v>43014</v>
      </c>
      <c r="G94" s="5">
        <v>4.1666666666666664E-2</v>
      </c>
      <c r="H94">
        <v>-76.647083333333342</v>
      </c>
      <c r="I94">
        <v>3.3495833333333329</v>
      </c>
      <c r="J94">
        <v>1</v>
      </c>
      <c r="K94" t="s">
        <v>119</v>
      </c>
      <c r="L94" t="s">
        <v>113</v>
      </c>
      <c r="M94">
        <v>2447</v>
      </c>
      <c r="N94" t="s">
        <v>114</v>
      </c>
      <c r="O94" t="b">
        <v>1</v>
      </c>
      <c r="Q94">
        <v>1.5</v>
      </c>
      <c r="T94" t="s">
        <v>167</v>
      </c>
      <c r="V94" t="s">
        <v>47</v>
      </c>
      <c r="W94" t="s">
        <v>181</v>
      </c>
      <c r="X94">
        <v>0</v>
      </c>
      <c r="AA94" t="s">
        <v>117</v>
      </c>
    </row>
    <row r="95" spans="1:27" x14ac:dyDescent="0.2">
      <c r="A95">
        <v>2017</v>
      </c>
      <c r="B95" t="s">
        <v>10</v>
      </c>
      <c r="C95" t="s">
        <v>11</v>
      </c>
      <c r="D95" t="s">
        <v>182</v>
      </c>
      <c r="E95" t="s">
        <v>127</v>
      </c>
      <c r="F95" s="4">
        <v>43014</v>
      </c>
      <c r="G95" s="5">
        <v>0.78472222222222221</v>
      </c>
      <c r="H95">
        <v>-76.6564388888889</v>
      </c>
      <c r="I95">
        <v>3.355202777777778</v>
      </c>
      <c r="J95">
        <v>1</v>
      </c>
      <c r="K95" t="s">
        <v>119</v>
      </c>
      <c r="L95" t="s">
        <v>161</v>
      </c>
      <c r="M95">
        <v>2619</v>
      </c>
      <c r="N95" t="s">
        <v>114</v>
      </c>
      <c r="O95" t="b">
        <v>1</v>
      </c>
      <c r="P95">
        <v>8</v>
      </c>
      <c r="Q95">
        <v>0.57999999999999996</v>
      </c>
      <c r="R95">
        <v>5</v>
      </c>
      <c r="S95" t="s">
        <v>159</v>
      </c>
      <c r="T95" t="s">
        <v>167</v>
      </c>
      <c r="V95" t="s">
        <v>59</v>
      </c>
      <c r="X95">
        <v>1</v>
      </c>
      <c r="AA95" t="s">
        <v>117</v>
      </c>
    </row>
    <row r="96" spans="1:27" x14ac:dyDescent="0.2">
      <c r="A96">
        <v>2017</v>
      </c>
      <c r="B96" t="s">
        <v>10</v>
      </c>
      <c r="C96" t="s">
        <v>11</v>
      </c>
      <c r="D96" t="s">
        <v>182</v>
      </c>
      <c r="E96" t="s">
        <v>127</v>
      </c>
      <c r="F96" s="4">
        <v>43014</v>
      </c>
      <c r="G96" s="5">
        <v>0.78472222222222221</v>
      </c>
      <c r="H96">
        <v>-76.6564388888889</v>
      </c>
      <c r="I96">
        <v>3.355202777777778</v>
      </c>
      <c r="J96">
        <v>1</v>
      </c>
      <c r="K96" t="s">
        <v>112</v>
      </c>
      <c r="L96" t="s">
        <v>161</v>
      </c>
      <c r="M96">
        <v>2619</v>
      </c>
      <c r="N96" t="s">
        <v>114</v>
      </c>
      <c r="O96" t="b">
        <v>1</v>
      </c>
      <c r="P96">
        <v>8</v>
      </c>
      <c r="Q96">
        <v>0.5</v>
      </c>
      <c r="R96">
        <v>2</v>
      </c>
      <c r="S96" t="s">
        <v>183</v>
      </c>
      <c r="T96" t="s">
        <v>167</v>
      </c>
      <c r="V96" t="s">
        <v>7</v>
      </c>
      <c r="X96">
        <v>1</v>
      </c>
      <c r="AA96" t="s">
        <v>117</v>
      </c>
    </row>
    <row r="97" spans="1:27" x14ac:dyDescent="0.2">
      <c r="A97">
        <v>2017</v>
      </c>
      <c r="B97" t="s">
        <v>10</v>
      </c>
      <c r="C97" t="s">
        <v>11</v>
      </c>
      <c r="D97" t="s">
        <v>182</v>
      </c>
      <c r="E97" t="s">
        <v>127</v>
      </c>
      <c r="F97" s="4">
        <v>43014</v>
      </c>
      <c r="G97" s="5">
        <v>0.80208333333333337</v>
      </c>
      <c r="H97">
        <v>-76.656166666666678</v>
      </c>
      <c r="I97">
        <v>3.3552499999999998</v>
      </c>
      <c r="J97">
        <v>1</v>
      </c>
      <c r="K97" t="s">
        <v>112</v>
      </c>
      <c r="L97" t="s">
        <v>161</v>
      </c>
      <c r="M97">
        <v>2599</v>
      </c>
      <c r="N97" t="s">
        <v>114</v>
      </c>
      <c r="O97" t="b">
        <v>1</v>
      </c>
      <c r="P97">
        <v>10</v>
      </c>
      <c r="Q97">
        <v>0.8</v>
      </c>
      <c r="R97">
        <v>10</v>
      </c>
      <c r="S97" t="s">
        <v>159</v>
      </c>
      <c r="T97" t="s">
        <v>167</v>
      </c>
      <c r="V97" t="s">
        <v>59</v>
      </c>
      <c r="X97">
        <v>1</v>
      </c>
      <c r="AA97" t="s">
        <v>117</v>
      </c>
    </row>
    <row r="98" spans="1:27" x14ac:dyDescent="0.2">
      <c r="A98">
        <v>2017</v>
      </c>
      <c r="B98" t="s">
        <v>10</v>
      </c>
      <c r="C98" t="s">
        <v>11</v>
      </c>
      <c r="D98" t="s">
        <v>182</v>
      </c>
      <c r="E98" t="s">
        <v>127</v>
      </c>
      <c r="F98" s="4">
        <v>43014</v>
      </c>
      <c r="G98" s="5">
        <v>0.80277777777777781</v>
      </c>
      <c r="H98">
        <v>-76.656166666666678</v>
      </c>
      <c r="I98">
        <v>3.3552499999999998</v>
      </c>
      <c r="J98">
        <v>1</v>
      </c>
      <c r="K98" t="s">
        <v>112</v>
      </c>
      <c r="L98" t="s">
        <v>160</v>
      </c>
      <c r="M98">
        <v>2599</v>
      </c>
      <c r="N98" t="s">
        <v>114</v>
      </c>
      <c r="O98" t="b">
        <v>1</v>
      </c>
      <c r="P98">
        <v>10</v>
      </c>
      <c r="Q98">
        <v>0.4</v>
      </c>
      <c r="R98">
        <v>15</v>
      </c>
      <c r="S98" t="s">
        <v>184</v>
      </c>
      <c r="T98" t="s">
        <v>167</v>
      </c>
      <c r="V98" t="s">
        <v>59</v>
      </c>
      <c r="X98">
        <v>1</v>
      </c>
      <c r="AA98" t="s">
        <v>117</v>
      </c>
    </row>
    <row r="99" spans="1:27" x14ac:dyDescent="0.2">
      <c r="A99">
        <v>2017</v>
      </c>
      <c r="B99" t="s">
        <v>10</v>
      </c>
      <c r="C99" t="s">
        <v>11</v>
      </c>
      <c r="D99" t="s">
        <v>182</v>
      </c>
      <c r="E99" t="s">
        <v>127</v>
      </c>
      <c r="F99" s="4">
        <v>43014</v>
      </c>
      <c r="G99" s="5">
        <v>0.83333333333333337</v>
      </c>
      <c r="H99">
        <v>-76.656194444444452</v>
      </c>
      <c r="I99">
        <v>3.3553888888888892</v>
      </c>
      <c r="J99">
        <v>1</v>
      </c>
      <c r="K99" t="s">
        <v>112</v>
      </c>
      <c r="L99" t="s">
        <v>160</v>
      </c>
      <c r="M99">
        <v>2580</v>
      </c>
      <c r="N99" t="s">
        <v>114</v>
      </c>
      <c r="O99" t="b">
        <v>1</v>
      </c>
      <c r="P99">
        <v>10</v>
      </c>
      <c r="Q99">
        <v>0.4</v>
      </c>
      <c r="R99">
        <v>30</v>
      </c>
      <c r="S99" t="s">
        <v>185</v>
      </c>
      <c r="T99" t="s">
        <v>167</v>
      </c>
      <c r="V99" t="s">
        <v>9</v>
      </c>
      <c r="X99">
        <v>1</v>
      </c>
      <c r="AA99" t="s">
        <v>117</v>
      </c>
    </row>
    <row r="100" spans="1:27" x14ac:dyDescent="0.2">
      <c r="A100">
        <v>2017</v>
      </c>
      <c r="B100" t="s">
        <v>10</v>
      </c>
      <c r="C100" t="s">
        <v>11</v>
      </c>
      <c r="D100" t="s">
        <v>186</v>
      </c>
      <c r="E100" t="s">
        <v>122</v>
      </c>
      <c r="F100" s="4">
        <v>43014</v>
      </c>
      <c r="G100" s="5">
        <v>0.87361111111111112</v>
      </c>
      <c r="H100">
        <v>-76.65613888888889</v>
      </c>
      <c r="I100">
        <v>3.3547500000000001</v>
      </c>
      <c r="J100">
        <v>1</v>
      </c>
      <c r="K100" t="s">
        <v>119</v>
      </c>
      <c r="L100" t="s">
        <v>120</v>
      </c>
      <c r="M100">
        <v>2585</v>
      </c>
      <c r="N100" t="b">
        <v>1</v>
      </c>
      <c r="O100" t="s">
        <v>114</v>
      </c>
      <c r="P100">
        <v>15</v>
      </c>
      <c r="R100">
        <v>20</v>
      </c>
      <c r="S100" t="s">
        <v>159</v>
      </c>
      <c r="T100" t="s">
        <v>145</v>
      </c>
      <c r="U100" t="s">
        <v>187</v>
      </c>
      <c r="V100" t="s">
        <v>9</v>
      </c>
      <c r="X100">
        <v>1</v>
      </c>
      <c r="AA100" t="s">
        <v>117</v>
      </c>
    </row>
    <row r="101" spans="1:27" x14ac:dyDescent="0.2">
      <c r="A101">
        <v>2017</v>
      </c>
      <c r="B101" t="s">
        <v>10</v>
      </c>
      <c r="C101" t="s">
        <v>11</v>
      </c>
      <c r="D101" t="s">
        <v>186</v>
      </c>
      <c r="E101" t="s">
        <v>122</v>
      </c>
      <c r="F101" s="4">
        <v>43014</v>
      </c>
      <c r="G101" s="5">
        <v>0.86805555555555558</v>
      </c>
      <c r="H101">
        <v>-76.65613888888889</v>
      </c>
      <c r="I101">
        <v>3.3547500000000001</v>
      </c>
      <c r="J101">
        <v>1</v>
      </c>
      <c r="K101" t="s">
        <v>112</v>
      </c>
      <c r="L101" t="s">
        <v>161</v>
      </c>
      <c r="M101">
        <v>2585</v>
      </c>
      <c r="N101" t="b">
        <v>1</v>
      </c>
      <c r="O101" t="s">
        <v>114</v>
      </c>
      <c r="P101">
        <v>10</v>
      </c>
      <c r="R101">
        <v>50</v>
      </c>
      <c r="S101" t="s">
        <v>159</v>
      </c>
      <c r="T101" t="s">
        <v>145</v>
      </c>
      <c r="U101" t="s">
        <v>188</v>
      </c>
      <c r="V101" t="s">
        <v>59</v>
      </c>
      <c r="X101">
        <v>1</v>
      </c>
      <c r="AA101" t="s">
        <v>117</v>
      </c>
    </row>
    <row r="102" spans="1:27" x14ac:dyDescent="0.2">
      <c r="A102">
        <v>2017</v>
      </c>
      <c r="B102" t="s">
        <v>10</v>
      </c>
      <c r="C102" t="s">
        <v>11</v>
      </c>
      <c r="D102" t="s">
        <v>186</v>
      </c>
      <c r="E102" t="s">
        <v>122</v>
      </c>
      <c r="F102" s="4">
        <v>43014</v>
      </c>
      <c r="G102" s="5">
        <v>0.88888888888888884</v>
      </c>
      <c r="H102">
        <v>-76.65591666666667</v>
      </c>
      <c r="I102">
        <v>3.354805555555556</v>
      </c>
      <c r="J102">
        <v>1</v>
      </c>
      <c r="K102" t="s">
        <v>112</v>
      </c>
      <c r="L102" t="s">
        <v>161</v>
      </c>
      <c r="M102">
        <v>2588</v>
      </c>
      <c r="N102" t="b">
        <v>1</v>
      </c>
      <c r="O102" t="s">
        <v>114</v>
      </c>
      <c r="P102">
        <v>8</v>
      </c>
      <c r="R102">
        <v>80</v>
      </c>
      <c r="S102" t="s">
        <v>159</v>
      </c>
      <c r="T102" t="s">
        <v>145</v>
      </c>
      <c r="V102" t="s">
        <v>59</v>
      </c>
      <c r="X102">
        <v>1</v>
      </c>
      <c r="AA102" t="s">
        <v>117</v>
      </c>
    </row>
    <row r="103" spans="1:27" x14ac:dyDescent="0.2">
      <c r="A103">
        <v>2017</v>
      </c>
      <c r="B103" t="s">
        <v>10</v>
      </c>
      <c r="C103" t="s">
        <v>11</v>
      </c>
      <c r="D103" t="s">
        <v>186</v>
      </c>
      <c r="E103" t="s">
        <v>122</v>
      </c>
      <c r="F103" s="4">
        <v>43014</v>
      </c>
      <c r="G103" s="5">
        <v>0.89583333333333337</v>
      </c>
      <c r="H103">
        <v>-76.65591666666667</v>
      </c>
      <c r="I103">
        <v>3.354805555555556</v>
      </c>
      <c r="J103">
        <v>1</v>
      </c>
      <c r="K103" t="s">
        <v>112</v>
      </c>
      <c r="L103" t="s">
        <v>113</v>
      </c>
      <c r="M103">
        <v>2588</v>
      </c>
      <c r="N103" t="b">
        <v>1</v>
      </c>
      <c r="O103" t="s">
        <v>114</v>
      </c>
      <c r="P103">
        <v>10</v>
      </c>
      <c r="R103">
        <v>10</v>
      </c>
      <c r="S103" t="s">
        <v>159</v>
      </c>
      <c r="T103" t="s">
        <v>145</v>
      </c>
      <c r="V103" t="s">
        <v>7</v>
      </c>
      <c r="X103">
        <v>1</v>
      </c>
      <c r="AA103" t="s">
        <v>117</v>
      </c>
    </row>
    <row r="104" spans="1:27" x14ac:dyDescent="0.2">
      <c r="A104">
        <v>2017</v>
      </c>
      <c r="B104" t="s">
        <v>10</v>
      </c>
      <c r="C104" t="s">
        <v>11</v>
      </c>
      <c r="D104" t="s">
        <v>186</v>
      </c>
      <c r="E104" t="s">
        <v>122</v>
      </c>
      <c r="F104" s="4">
        <v>43014</v>
      </c>
      <c r="G104" s="5">
        <v>0.89652777777777781</v>
      </c>
      <c r="H104">
        <v>-76.65591666666667</v>
      </c>
      <c r="I104">
        <v>3.354805555555556</v>
      </c>
      <c r="J104">
        <v>1</v>
      </c>
      <c r="K104" t="s">
        <v>112</v>
      </c>
      <c r="L104" t="s">
        <v>161</v>
      </c>
      <c r="M104">
        <v>2588</v>
      </c>
      <c r="N104" t="b">
        <v>1</v>
      </c>
      <c r="O104" t="s">
        <v>114</v>
      </c>
      <c r="P104">
        <v>10</v>
      </c>
      <c r="R104">
        <v>10</v>
      </c>
      <c r="S104" t="s">
        <v>159</v>
      </c>
      <c r="T104" t="s">
        <v>145</v>
      </c>
      <c r="V104" t="s">
        <v>7</v>
      </c>
      <c r="X104">
        <v>1</v>
      </c>
      <c r="AA104" t="s">
        <v>117</v>
      </c>
    </row>
    <row r="105" spans="1:27" x14ac:dyDescent="0.2">
      <c r="A105">
        <v>2017</v>
      </c>
      <c r="B105" t="s">
        <v>10</v>
      </c>
      <c r="C105" t="s">
        <v>12</v>
      </c>
      <c r="D105" t="s">
        <v>189</v>
      </c>
      <c r="E105" t="s">
        <v>157</v>
      </c>
      <c r="F105" s="4">
        <v>43014</v>
      </c>
      <c r="G105" s="5">
        <v>0.9458333333333333</v>
      </c>
      <c r="H105">
        <v>-76.654055555555558</v>
      </c>
      <c r="I105">
        <v>3.3535833333333329</v>
      </c>
      <c r="J105">
        <v>1</v>
      </c>
      <c r="K105" t="s">
        <v>112</v>
      </c>
      <c r="L105" t="s">
        <v>120</v>
      </c>
      <c r="M105">
        <v>2594</v>
      </c>
      <c r="N105" t="b">
        <v>1</v>
      </c>
      <c r="O105" t="s">
        <v>114</v>
      </c>
      <c r="P105">
        <v>10</v>
      </c>
      <c r="R105">
        <v>5</v>
      </c>
      <c r="S105" t="s">
        <v>159</v>
      </c>
      <c r="T105" t="s">
        <v>145</v>
      </c>
      <c r="V105" t="s">
        <v>59</v>
      </c>
      <c r="X105">
        <v>1</v>
      </c>
      <c r="AA105" t="s">
        <v>117</v>
      </c>
    </row>
    <row r="106" spans="1:27" x14ac:dyDescent="0.2">
      <c r="A106">
        <v>2017</v>
      </c>
      <c r="B106" t="s">
        <v>10</v>
      </c>
      <c r="C106" t="s">
        <v>12</v>
      </c>
      <c r="D106" t="s">
        <v>189</v>
      </c>
      <c r="E106" t="s">
        <v>157</v>
      </c>
      <c r="F106" s="4">
        <v>43014</v>
      </c>
      <c r="G106" s="5">
        <v>0.95277777777777772</v>
      </c>
      <c r="H106">
        <v>-76.654055555555558</v>
      </c>
      <c r="I106">
        <v>3.3535833333333329</v>
      </c>
      <c r="J106">
        <v>1</v>
      </c>
      <c r="K106" t="s">
        <v>112</v>
      </c>
      <c r="L106" t="s">
        <v>190</v>
      </c>
      <c r="M106">
        <v>2594</v>
      </c>
      <c r="N106" t="b">
        <v>1</v>
      </c>
      <c r="O106" t="s">
        <v>114</v>
      </c>
      <c r="P106">
        <v>5</v>
      </c>
      <c r="R106">
        <v>10</v>
      </c>
      <c r="S106" t="s">
        <v>159</v>
      </c>
      <c r="T106" t="s">
        <v>145</v>
      </c>
      <c r="U106" t="s">
        <v>191</v>
      </c>
      <c r="V106" t="s">
        <v>59</v>
      </c>
      <c r="X106">
        <v>1</v>
      </c>
      <c r="AA106" t="s">
        <v>117</v>
      </c>
    </row>
    <row r="107" spans="1:27" x14ac:dyDescent="0.2">
      <c r="A107">
        <v>2017</v>
      </c>
      <c r="B107" t="s">
        <v>10</v>
      </c>
      <c r="C107" t="s">
        <v>12</v>
      </c>
      <c r="D107" t="s">
        <v>189</v>
      </c>
      <c r="E107" t="s">
        <v>157</v>
      </c>
      <c r="F107" s="4">
        <v>43014</v>
      </c>
      <c r="G107" s="5">
        <v>0.96250000000000002</v>
      </c>
      <c r="H107">
        <v>-76.653750000000002</v>
      </c>
      <c r="I107">
        <v>3.353444444444444</v>
      </c>
      <c r="J107">
        <v>1</v>
      </c>
      <c r="K107" t="s">
        <v>112</v>
      </c>
      <c r="L107" t="s">
        <v>120</v>
      </c>
      <c r="M107">
        <v>2583</v>
      </c>
      <c r="N107" t="b">
        <v>1</v>
      </c>
      <c r="O107" t="s">
        <v>114</v>
      </c>
      <c r="P107">
        <v>12</v>
      </c>
      <c r="R107">
        <v>30</v>
      </c>
      <c r="S107" t="s">
        <v>159</v>
      </c>
      <c r="T107" t="s">
        <v>145</v>
      </c>
      <c r="V107" t="s">
        <v>59</v>
      </c>
      <c r="X107">
        <v>1</v>
      </c>
      <c r="AA107" t="s">
        <v>117</v>
      </c>
    </row>
    <row r="108" spans="1:27" x14ac:dyDescent="0.2">
      <c r="A108">
        <v>2017</v>
      </c>
      <c r="B108" t="s">
        <v>10</v>
      </c>
      <c r="C108" t="s">
        <v>12</v>
      </c>
      <c r="D108" t="s">
        <v>189</v>
      </c>
      <c r="E108" t="s">
        <v>157</v>
      </c>
      <c r="F108" s="4">
        <v>43014</v>
      </c>
      <c r="G108" s="5">
        <v>0.97222222222222221</v>
      </c>
      <c r="H108">
        <v>-76.653472222222234</v>
      </c>
      <c r="I108">
        <v>3.353444444444444</v>
      </c>
      <c r="J108">
        <v>1</v>
      </c>
      <c r="K108" t="s">
        <v>112</v>
      </c>
      <c r="L108" t="s">
        <v>120</v>
      </c>
      <c r="M108">
        <v>2585</v>
      </c>
      <c r="N108" t="b">
        <v>1</v>
      </c>
      <c r="O108" t="s">
        <v>114</v>
      </c>
      <c r="P108">
        <v>12</v>
      </c>
      <c r="R108">
        <v>40</v>
      </c>
      <c r="S108" t="s">
        <v>159</v>
      </c>
      <c r="T108" t="s">
        <v>145</v>
      </c>
      <c r="V108" t="s">
        <v>59</v>
      </c>
      <c r="X108">
        <v>1</v>
      </c>
      <c r="AA108" t="s">
        <v>117</v>
      </c>
    </row>
    <row r="109" spans="1:27" x14ac:dyDescent="0.2">
      <c r="A109">
        <v>2017</v>
      </c>
      <c r="B109" t="s">
        <v>10</v>
      </c>
      <c r="C109" t="s">
        <v>12</v>
      </c>
      <c r="D109" t="s">
        <v>189</v>
      </c>
      <c r="E109" t="s">
        <v>157</v>
      </c>
      <c r="F109" s="4">
        <v>43014</v>
      </c>
      <c r="G109" s="5">
        <v>0.9375</v>
      </c>
      <c r="H109">
        <v>-76.654111111111121</v>
      </c>
      <c r="I109">
        <v>3.3535555555555558</v>
      </c>
      <c r="J109">
        <v>1</v>
      </c>
      <c r="K109" t="s">
        <v>119</v>
      </c>
      <c r="L109" t="s">
        <v>161</v>
      </c>
      <c r="M109">
        <v>2583</v>
      </c>
      <c r="N109" t="b">
        <v>1</v>
      </c>
      <c r="O109" t="s">
        <v>114</v>
      </c>
      <c r="P109">
        <v>8</v>
      </c>
      <c r="R109">
        <v>15</v>
      </c>
      <c r="S109" t="s">
        <v>159</v>
      </c>
      <c r="T109" t="s">
        <v>145</v>
      </c>
      <c r="V109" t="s">
        <v>59</v>
      </c>
      <c r="X109">
        <v>1</v>
      </c>
      <c r="AA109" t="s">
        <v>117</v>
      </c>
    </row>
    <row r="110" spans="1:27" x14ac:dyDescent="0.2">
      <c r="A110">
        <v>2017</v>
      </c>
      <c r="B110" t="s">
        <v>10</v>
      </c>
      <c r="C110" t="s">
        <v>12</v>
      </c>
      <c r="D110" t="s">
        <v>189</v>
      </c>
      <c r="E110" t="s">
        <v>157</v>
      </c>
      <c r="F110" s="4">
        <v>43014</v>
      </c>
      <c r="G110" s="5">
        <v>0.94513888888888886</v>
      </c>
      <c r="H110">
        <v>-76.653861111111112</v>
      </c>
      <c r="I110">
        <v>3.3535277777777779</v>
      </c>
      <c r="J110">
        <v>1</v>
      </c>
      <c r="K110" t="s">
        <v>119</v>
      </c>
      <c r="L110" t="s">
        <v>161</v>
      </c>
      <c r="M110">
        <v>2582</v>
      </c>
      <c r="N110" t="b">
        <v>1</v>
      </c>
      <c r="O110" t="s">
        <v>114</v>
      </c>
      <c r="P110">
        <v>6</v>
      </c>
      <c r="R110">
        <v>6</v>
      </c>
      <c r="S110" t="s">
        <v>159</v>
      </c>
      <c r="T110" t="s">
        <v>145</v>
      </c>
      <c r="V110" t="s">
        <v>59</v>
      </c>
      <c r="X110">
        <v>1</v>
      </c>
      <c r="AA110" t="s">
        <v>117</v>
      </c>
    </row>
    <row r="111" spans="1:27" x14ac:dyDescent="0.2">
      <c r="A111">
        <v>2017</v>
      </c>
      <c r="B111" t="s">
        <v>10</v>
      </c>
      <c r="C111" t="s">
        <v>12</v>
      </c>
      <c r="D111" t="s">
        <v>189</v>
      </c>
      <c r="E111" t="s">
        <v>157</v>
      </c>
      <c r="F111" s="4">
        <v>43014</v>
      </c>
      <c r="G111" s="5">
        <v>0.95</v>
      </c>
      <c r="H111">
        <v>-76.653750000000002</v>
      </c>
      <c r="I111">
        <v>3.353444444444444</v>
      </c>
      <c r="J111">
        <v>1</v>
      </c>
      <c r="K111" t="s">
        <v>119</v>
      </c>
      <c r="L111" t="s">
        <v>161</v>
      </c>
      <c r="M111">
        <v>2585</v>
      </c>
      <c r="N111" t="b">
        <v>1</v>
      </c>
      <c r="O111" t="s">
        <v>114</v>
      </c>
      <c r="P111">
        <v>10</v>
      </c>
      <c r="R111">
        <v>70</v>
      </c>
      <c r="S111" t="s">
        <v>159</v>
      </c>
      <c r="T111" t="s">
        <v>145</v>
      </c>
      <c r="V111" t="s">
        <v>59</v>
      </c>
      <c r="X111">
        <v>1</v>
      </c>
      <c r="AA111" t="s">
        <v>117</v>
      </c>
    </row>
    <row r="112" spans="1:27" x14ac:dyDescent="0.2">
      <c r="A112">
        <v>2017</v>
      </c>
      <c r="B112" t="s">
        <v>10</v>
      </c>
      <c r="C112" t="s">
        <v>12</v>
      </c>
      <c r="D112" t="s">
        <v>192</v>
      </c>
      <c r="E112" t="s">
        <v>135</v>
      </c>
      <c r="F112" s="4">
        <v>43014</v>
      </c>
      <c r="G112" s="5">
        <v>0</v>
      </c>
      <c r="H112">
        <v>-76.65269444444445</v>
      </c>
      <c r="I112">
        <v>3.3535555555555558</v>
      </c>
      <c r="J112">
        <v>1</v>
      </c>
      <c r="K112" t="s">
        <v>119</v>
      </c>
      <c r="L112" t="s">
        <v>161</v>
      </c>
      <c r="M112">
        <v>2558</v>
      </c>
      <c r="N112" t="b">
        <v>1</v>
      </c>
      <c r="O112" t="s">
        <v>114</v>
      </c>
      <c r="P112">
        <v>10</v>
      </c>
      <c r="R112">
        <v>70</v>
      </c>
      <c r="S112" t="s">
        <v>159</v>
      </c>
      <c r="T112" t="s">
        <v>145</v>
      </c>
      <c r="V112" t="s">
        <v>9</v>
      </c>
      <c r="X112">
        <v>1</v>
      </c>
      <c r="AA112" t="s">
        <v>117</v>
      </c>
    </row>
    <row r="113" spans="1:27" x14ac:dyDescent="0.2">
      <c r="A113">
        <v>2017</v>
      </c>
      <c r="B113" t="s">
        <v>10</v>
      </c>
      <c r="C113" t="s">
        <v>12</v>
      </c>
      <c r="D113" t="s">
        <v>192</v>
      </c>
      <c r="E113" t="s">
        <v>135</v>
      </c>
      <c r="F113" s="4">
        <v>43014</v>
      </c>
      <c r="G113" s="5">
        <v>1.9444444444444445E-2</v>
      </c>
      <c r="H113">
        <v>-76.652111111111111</v>
      </c>
      <c r="I113">
        <v>3.353444444444444</v>
      </c>
      <c r="J113">
        <v>1</v>
      </c>
      <c r="K113" t="s">
        <v>112</v>
      </c>
      <c r="L113" t="s">
        <v>160</v>
      </c>
      <c r="M113">
        <v>2551</v>
      </c>
      <c r="N113" t="b">
        <v>1</v>
      </c>
      <c r="O113" t="s">
        <v>114</v>
      </c>
      <c r="P113">
        <v>15</v>
      </c>
      <c r="R113">
        <v>90</v>
      </c>
      <c r="S113" t="s">
        <v>159</v>
      </c>
      <c r="T113" t="s">
        <v>145</v>
      </c>
      <c r="V113" t="s">
        <v>59</v>
      </c>
      <c r="X113">
        <v>1</v>
      </c>
      <c r="AA113" t="s">
        <v>117</v>
      </c>
    </row>
    <row r="114" spans="1:27" x14ac:dyDescent="0.2">
      <c r="A114">
        <v>2018</v>
      </c>
      <c r="B114" t="s">
        <v>15</v>
      </c>
      <c r="C114" t="s">
        <v>19</v>
      </c>
      <c r="D114" t="s">
        <v>193</v>
      </c>
      <c r="E114" t="s">
        <v>111</v>
      </c>
      <c r="F114" s="4">
        <v>43230</v>
      </c>
      <c r="G114" s="5">
        <v>0.80763888888888891</v>
      </c>
      <c r="H114">
        <v>-76.680588888888892</v>
      </c>
      <c r="I114">
        <v>3.4012361111111109</v>
      </c>
      <c r="J114">
        <v>2</v>
      </c>
      <c r="K114" t="s">
        <v>119</v>
      </c>
      <c r="L114" t="s">
        <v>148</v>
      </c>
      <c r="M114">
        <v>3065</v>
      </c>
      <c r="N114" t="b">
        <v>1</v>
      </c>
      <c r="O114" t="s">
        <v>114</v>
      </c>
      <c r="P114">
        <v>10</v>
      </c>
      <c r="R114">
        <v>70</v>
      </c>
      <c r="S114" t="s">
        <v>185</v>
      </c>
      <c r="T114" t="s">
        <v>145</v>
      </c>
      <c r="V114" t="s">
        <v>47</v>
      </c>
      <c r="W114" t="s">
        <v>116</v>
      </c>
      <c r="X114">
        <v>0</v>
      </c>
      <c r="AA114" t="s">
        <v>117</v>
      </c>
    </row>
    <row r="115" spans="1:27" x14ac:dyDescent="0.2">
      <c r="A115">
        <v>2018</v>
      </c>
      <c r="B115" t="s">
        <v>15</v>
      </c>
      <c r="C115" t="s">
        <v>19</v>
      </c>
      <c r="D115" t="s">
        <v>150</v>
      </c>
      <c r="E115" t="s">
        <v>122</v>
      </c>
      <c r="F115" s="4">
        <v>43230</v>
      </c>
      <c r="G115" s="5">
        <v>0.86944444444444446</v>
      </c>
      <c r="H115">
        <v>-76.679702777777777</v>
      </c>
      <c r="I115">
        <v>3.400816666666667</v>
      </c>
      <c r="J115">
        <v>2</v>
      </c>
      <c r="K115" t="s">
        <v>112</v>
      </c>
      <c r="L115" t="s">
        <v>194</v>
      </c>
      <c r="M115">
        <v>3088</v>
      </c>
      <c r="N115" t="b">
        <v>1</v>
      </c>
      <c r="O115" t="s">
        <v>114</v>
      </c>
      <c r="P115">
        <v>4</v>
      </c>
      <c r="R115">
        <v>70</v>
      </c>
      <c r="S115" t="s">
        <v>159</v>
      </c>
      <c r="T115" t="s">
        <v>145</v>
      </c>
      <c r="V115" t="s">
        <v>39</v>
      </c>
      <c r="X115">
        <v>1</v>
      </c>
      <c r="AA115" t="s">
        <v>117</v>
      </c>
    </row>
    <row r="116" spans="1:27" x14ac:dyDescent="0.2">
      <c r="A116">
        <v>2018</v>
      </c>
      <c r="B116" t="s">
        <v>15</v>
      </c>
      <c r="C116" t="s">
        <v>19</v>
      </c>
      <c r="D116" t="s">
        <v>150</v>
      </c>
      <c r="E116" t="s">
        <v>122</v>
      </c>
      <c r="F116" s="4">
        <v>43230</v>
      </c>
      <c r="G116" s="5">
        <v>0.89583333333333337</v>
      </c>
      <c r="H116">
        <v>-76.67924444444445</v>
      </c>
      <c r="I116">
        <v>3.400816666666667</v>
      </c>
      <c r="J116">
        <v>2</v>
      </c>
      <c r="K116" t="s">
        <v>112</v>
      </c>
      <c r="L116" t="s">
        <v>195</v>
      </c>
      <c r="M116">
        <v>3063</v>
      </c>
      <c r="N116" t="b">
        <v>1</v>
      </c>
      <c r="O116" t="s">
        <v>114</v>
      </c>
      <c r="P116">
        <v>4</v>
      </c>
      <c r="R116">
        <v>60</v>
      </c>
      <c r="S116" t="s">
        <v>159</v>
      </c>
      <c r="T116" t="s">
        <v>145</v>
      </c>
      <c r="V116" t="s">
        <v>39</v>
      </c>
      <c r="X116">
        <v>1</v>
      </c>
      <c r="AA116" t="s">
        <v>117</v>
      </c>
    </row>
    <row r="117" spans="1:27" x14ac:dyDescent="0.2">
      <c r="A117">
        <v>2018</v>
      </c>
      <c r="B117" t="s">
        <v>15</v>
      </c>
      <c r="C117" t="s">
        <v>19</v>
      </c>
      <c r="D117" t="s">
        <v>153</v>
      </c>
      <c r="E117" t="s">
        <v>127</v>
      </c>
      <c r="F117" s="4">
        <v>43230</v>
      </c>
      <c r="G117" s="5">
        <v>0.91736111111111107</v>
      </c>
      <c r="H117">
        <v>-76.67902500000001</v>
      </c>
      <c r="I117">
        <v>3.4008305555555549</v>
      </c>
      <c r="J117">
        <v>2</v>
      </c>
      <c r="K117" t="s">
        <v>119</v>
      </c>
      <c r="L117" t="s">
        <v>194</v>
      </c>
      <c r="M117">
        <v>3066</v>
      </c>
      <c r="N117" t="b">
        <v>1</v>
      </c>
      <c r="O117" t="s">
        <v>114</v>
      </c>
      <c r="P117">
        <v>8</v>
      </c>
      <c r="R117">
        <v>40</v>
      </c>
      <c r="S117" t="s">
        <v>175</v>
      </c>
      <c r="T117" t="s">
        <v>145</v>
      </c>
      <c r="V117" t="s">
        <v>33</v>
      </c>
      <c r="X117">
        <v>1</v>
      </c>
      <c r="AA117" t="s">
        <v>117</v>
      </c>
    </row>
    <row r="118" spans="1:27" x14ac:dyDescent="0.2">
      <c r="A118">
        <v>2018</v>
      </c>
      <c r="B118" t="s">
        <v>15</v>
      </c>
      <c r="C118" t="s">
        <v>19</v>
      </c>
      <c r="D118" t="s">
        <v>193</v>
      </c>
      <c r="E118" t="s">
        <v>111</v>
      </c>
      <c r="F118" s="4">
        <v>43230</v>
      </c>
      <c r="G118" s="5">
        <v>0.82291666666666663</v>
      </c>
      <c r="H118">
        <v>-76.680930555555562</v>
      </c>
      <c r="I118">
        <v>3.4013949999999999</v>
      </c>
      <c r="J118">
        <v>2</v>
      </c>
      <c r="K118" t="s">
        <v>119</v>
      </c>
      <c r="L118" t="s">
        <v>148</v>
      </c>
      <c r="M118">
        <v>3098</v>
      </c>
      <c r="N118" t="b">
        <v>1</v>
      </c>
      <c r="O118" t="b">
        <v>1</v>
      </c>
      <c r="P118">
        <v>12</v>
      </c>
      <c r="Q118">
        <v>1.5</v>
      </c>
      <c r="R118">
        <v>70</v>
      </c>
      <c r="S118" t="s">
        <v>159</v>
      </c>
      <c r="T118" t="s">
        <v>145</v>
      </c>
      <c r="V118" t="s">
        <v>39</v>
      </c>
      <c r="X118">
        <v>1</v>
      </c>
      <c r="AA118" t="s">
        <v>117</v>
      </c>
    </row>
    <row r="119" spans="1:27" x14ac:dyDescent="0.2">
      <c r="A119">
        <v>2018</v>
      </c>
      <c r="B119" t="s">
        <v>15</v>
      </c>
      <c r="C119" t="s">
        <v>19</v>
      </c>
      <c r="D119" t="s">
        <v>193</v>
      </c>
      <c r="E119" t="s">
        <v>111</v>
      </c>
      <c r="F119" s="4">
        <v>43230</v>
      </c>
      <c r="G119" s="5">
        <v>0.84791666666666665</v>
      </c>
      <c r="H119">
        <v>-76.680422222222234</v>
      </c>
      <c r="I119">
        <v>3.4010055555555549</v>
      </c>
      <c r="J119">
        <v>2</v>
      </c>
      <c r="K119" t="s">
        <v>119</v>
      </c>
      <c r="L119" t="s">
        <v>194</v>
      </c>
      <c r="M119">
        <v>3050</v>
      </c>
      <c r="N119" t="b">
        <v>1</v>
      </c>
      <c r="O119" t="s">
        <v>114</v>
      </c>
      <c r="P119">
        <v>12</v>
      </c>
      <c r="R119">
        <v>80</v>
      </c>
      <c r="S119" t="s">
        <v>159</v>
      </c>
      <c r="T119" t="s">
        <v>145</v>
      </c>
      <c r="V119" t="s">
        <v>39</v>
      </c>
      <c r="X119">
        <v>1</v>
      </c>
      <c r="AA119" t="s">
        <v>117</v>
      </c>
    </row>
    <row r="120" spans="1:27" x14ac:dyDescent="0.2">
      <c r="A120">
        <v>2018</v>
      </c>
      <c r="B120" t="s">
        <v>15</v>
      </c>
      <c r="C120" t="s">
        <v>19</v>
      </c>
      <c r="D120" t="s">
        <v>193</v>
      </c>
      <c r="E120" t="s">
        <v>111</v>
      </c>
      <c r="F120" s="4">
        <v>43230</v>
      </c>
      <c r="G120" s="5">
        <v>0.85486111111111107</v>
      </c>
      <c r="H120">
        <v>-76.680155555555558</v>
      </c>
      <c r="I120">
        <v>3.4010305555555549</v>
      </c>
      <c r="J120">
        <v>2</v>
      </c>
      <c r="K120" t="s">
        <v>119</v>
      </c>
      <c r="L120" t="s">
        <v>148</v>
      </c>
      <c r="M120">
        <v>3072</v>
      </c>
      <c r="N120" t="b">
        <v>1</v>
      </c>
      <c r="O120" t="s">
        <v>114</v>
      </c>
      <c r="P120">
        <v>12</v>
      </c>
      <c r="R120">
        <v>70</v>
      </c>
      <c r="S120" t="s">
        <v>159</v>
      </c>
      <c r="T120" t="s">
        <v>145</v>
      </c>
      <c r="V120" t="s">
        <v>39</v>
      </c>
      <c r="X120">
        <v>1</v>
      </c>
      <c r="AA120" t="s">
        <v>117</v>
      </c>
    </row>
    <row r="121" spans="1:27" x14ac:dyDescent="0.2">
      <c r="A121">
        <v>2018</v>
      </c>
      <c r="B121" t="s">
        <v>15</v>
      </c>
      <c r="C121" t="s">
        <v>19</v>
      </c>
      <c r="D121" t="s">
        <v>150</v>
      </c>
      <c r="E121" t="s">
        <v>122</v>
      </c>
      <c r="F121" s="4">
        <v>43230</v>
      </c>
      <c r="G121" s="5">
        <v>0.86527777777777781</v>
      </c>
      <c r="H121">
        <v>-76.680138888888891</v>
      </c>
      <c r="I121">
        <v>3.4007972222222218</v>
      </c>
      <c r="J121">
        <v>2</v>
      </c>
      <c r="K121" t="s">
        <v>119</v>
      </c>
      <c r="L121" t="s">
        <v>148</v>
      </c>
      <c r="M121">
        <v>3078</v>
      </c>
      <c r="N121" t="b">
        <v>1</v>
      </c>
      <c r="O121" t="s">
        <v>114</v>
      </c>
      <c r="P121">
        <v>15</v>
      </c>
      <c r="R121">
        <v>70</v>
      </c>
      <c r="S121" t="s">
        <v>159</v>
      </c>
      <c r="T121" t="s">
        <v>145</v>
      </c>
      <c r="V121" t="s">
        <v>38</v>
      </c>
      <c r="X121">
        <v>1</v>
      </c>
      <c r="AA121" t="s">
        <v>117</v>
      </c>
    </row>
    <row r="122" spans="1:27" x14ac:dyDescent="0.2">
      <c r="A122">
        <v>2018</v>
      </c>
      <c r="B122" t="s">
        <v>15</v>
      </c>
      <c r="C122" t="s">
        <v>19</v>
      </c>
      <c r="D122" t="s">
        <v>150</v>
      </c>
      <c r="E122" t="s">
        <v>122</v>
      </c>
      <c r="F122" s="4">
        <v>43230</v>
      </c>
      <c r="G122" s="5">
        <v>0.87916666666666665</v>
      </c>
      <c r="H122">
        <v>-76.679702777777777</v>
      </c>
      <c r="I122">
        <v>3.400816666666667</v>
      </c>
      <c r="J122">
        <v>2</v>
      </c>
      <c r="K122" t="s">
        <v>119</v>
      </c>
      <c r="L122" t="s">
        <v>160</v>
      </c>
      <c r="M122">
        <v>3088</v>
      </c>
      <c r="N122" t="b">
        <v>1</v>
      </c>
      <c r="O122" t="s">
        <v>114</v>
      </c>
      <c r="P122">
        <v>15</v>
      </c>
      <c r="R122">
        <v>75</v>
      </c>
      <c r="S122" t="s">
        <v>159</v>
      </c>
      <c r="T122" t="s">
        <v>145</v>
      </c>
      <c r="V122" t="s">
        <v>39</v>
      </c>
      <c r="X122">
        <v>1</v>
      </c>
      <c r="AA122" t="s">
        <v>117</v>
      </c>
    </row>
    <row r="123" spans="1:27" x14ac:dyDescent="0.2">
      <c r="A123">
        <v>2018</v>
      </c>
      <c r="B123" t="s">
        <v>15</v>
      </c>
      <c r="C123" t="s">
        <v>19</v>
      </c>
      <c r="D123" t="s">
        <v>150</v>
      </c>
      <c r="E123" t="s">
        <v>122</v>
      </c>
      <c r="F123" s="4">
        <v>43230</v>
      </c>
      <c r="G123" s="5">
        <v>0.88541666666666663</v>
      </c>
      <c r="H123">
        <v>-76.679269444444444</v>
      </c>
      <c r="I123">
        <v>3.4008027777777778</v>
      </c>
      <c r="J123">
        <v>2</v>
      </c>
      <c r="K123" t="s">
        <v>119</v>
      </c>
      <c r="L123" t="s">
        <v>160</v>
      </c>
      <c r="M123">
        <v>3058</v>
      </c>
      <c r="N123" t="b">
        <v>1</v>
      </c>
      <c r="O123" t="s">
        <v>114</v>
      </c>
      <c r="P123">
        <v>15</v>
      </c>
      <c r="R123">
        <v>80</v>
      </c>
      <c r="S123" t="s">
        <v>159</v>
      </c>
      <c r="T123" t="s">
        <v>145</v>
      </c>
      <c r="V123" t="s">
        <v>37</v>
      </c>
      <c r="X123">
        <v>1</v>
      </c>
      <c r="AA123" t="s">
        <v>117</v>
      </c>
    </row>
    <row r="124" spans="1:27" x14ac:dyDescent="0.2">
      <c r="A124">
        <v>2018</v>
      </c>
      <c r="B124" t="s">
        <v>15</v>
      </c>
      <c r="C124" t="s">
        <v>19</v>
      </c>
      <c r="D124" t="s">
        <v>153</v>
      </c>
      <c r="E124" t="s">
        <v>127</v>
      </c>
      <c r="F124" s="4">
        <v>43230</v>
      </c>
      <c r="G124" s="5">
        <v>0.92152777777777772</v>
      </c>
      <c r="H124">
        <v>-76.678866666666678</v>
      </c>
      <c r="I124">
        <v>3.4009472222222219</v>
      </c>
      <c r="J124">
        <v>2</v>
      </c>
      <c r="K124" t="s">
        <v>119</v>
      </c>
      <c r="L124" t="s">
        <v>113</v>
      </c>
      <c r="M124">
        <v>3072</v>
      </c>
      <c r="N124" t="b">
        <v>1</v>
      </c>
      <c r="O124" t="s">
        <v>114</v>
      </c>
      <c r="T124" t="s">
        <v>145</v>
      </c>
      <c r="V124" t="s">
        <v>47</v>
      </c>
      <c r="X124">
        <v>0</v>
      </c>
      <c r="AA124" t="s">
        <v>117</v>
      </c>
    </row>
    <row r="125" spans="1:27" x14ac:dyDescent="0.2">
      <c r="A125">
        <v>2018</v>
      </c>
      <c r="B125" t="s">
        <v>49</v>
      </c>
      <c r="C125" t="s">
        <v>54</v>
      </c>
      <c r="D125" t="s">
        <v>196</v>
      </c>
      <c r="E125" t="s">
        <v>127</v>
      </c>
      <c r="F125" s="4">
        <v>43438</v>
      </c>
      <c r="G125" s="5">
        <v>0.30555555555555558</v>
      </c>
      <c r="H125">
        <v>-76.892361111111114</v>
      </c>
      <c r="I125">
        <v>3.5973888888888892</v>
      </c>
      <c r="J125">
        <v>3</v>
      </c>
      <c r="K125" t="s">
        <v>112</v>
      </c>
      <c r="L125" t="s">
        <v>160</v>
      </c>
      <c r="M125">
        <v>582</v>
      </c>
      <c r="N125" t="b">
        <v>1</v>
      </c>
      <c r="O125" t="s">
        <v>114</v>
      </c>
      <c r="P125">
        <v>20</v>
      </c>
      <c r="R125">
        <v>45</v>
      </c>
      <c r="S125" t="s">
        <v>197</v>
      </c>
      <c r="T125" t="s">
        <v>145</v>
      </c>
      <c r="V125" t="s">
        <v>71</v>
      </c>
      <c r="X125">
        <v>1</v>
      </c>
      <c r="AA125" t="s">
        <v>117</v>
      </c>
    </row>
    <row r="126" spans="1:27" x14ac:dyDescent="0.2">
      <c r="A126">
        <v>2018</v>
      </c>
      <c r="B126" t="s">
        <v>49</v>
      </c>
      <c r="C126" t="s">
        <v>53</v>
      </c>
      <c r="D126" t="s">
        <v>198</v>
      </c>
      <c r="E126" t="s">
        <v>111</v>
      </c>
      <c r="F126" s="4">
        <v>43438</v>
      </c>
      <c r="G126" s="5">
        <v>0.86111111111111116</v>
      </c>
      <c r="H126">
        <v>-76.878611111111098</v>
      </c>
      <c r="I126">
        <v>3.543305555555555</v>
      </c>
      <c r="J126">
        <v>3</v>
      </c>
      <c r="K126" t="s">
        <v>112</v>
      </c>
      <c r="L126" t="s">
        <v>161</v>
      </c>
      <c r="M126">
        <v>496</v>
      </c>
      <c r="N126" t="s">
        <v>114</v>
      </c>
      <c r="O126" t="b">
        <v>1</v>
      </c>
      <c r="P126">
        <v>20</v>
      </c>
      <c r="Q126">
        <v>6</v>
      </c>
      <c r="R126">
        <v>40</v>
      </c>
      <c r="S126" t="s">
        <v>199</v>
      </c>
      <c r="T126" t="s">
        <v>167</v>
      </c>
      <c r="V126" t="s">
        <v>30</v>
      </c>
      <c r="X126">
        <v>1</v>
      </c>
      <c r="AA126" t="s">
        <v>117</v>
      </c>
    </row>
    <row r="127" spans="1:27" x14ac:dyDescent="0.2">
      <c r="A127">
        <v>2018</v>
      </c>
      <c r="B127" t="s">
        <v>15</v>
      </c>
      <c r="C127" t="s">
        <v>17</v>
      </c>
      <c r="D127" t="s">
        <v>138</v>
      </c>
      <c r="E127" t="s">
        <v>135</v>
      </c>
      <c r="F127" s="4">
        <v>43231</v>
      </c>
      <c r="G127" s="5">
        <v>0.90069444444444446</v>
      </c>
      <c r="H127">
        <v>-76.690619444444451</v>
      </c>
      <c r="I127">
        <v>3.4063222222222218</v>
      </c>
      <c r="J127">
        <v>2</v>
      </c>
      <c r="K127" t="s">
        <v>89</v>
      </c>
      <c r="L127" t="s">
        <v>200</v>
      </c>
      <c r="M127">
        <v>3388</v>
      </c>
      <c r="N127" t="b">
        <v>1</v>
      </c>
      <c r="O127" t="s">
        <v>114</v>
      </c>
      <c r="P127">
        <v>2</v>
      </c>
      <c r="R127">
        <v>40</v>
      </c>
      <c r="S127" t="s">
        <v>159</v>
      </c>
      <c r="T127" t="s">
        <v>201</v>
      </c>
      <c r="V127" t="s">
        <v>43</v>
      </c>
      <c r="X127">
        <v>1</v>
      </c>
      <c r="AA127" t="s">
        <v>117</v>
      </c>
    </row>
    <row r="128" spans="1:27" x14ac:dyDescent="0.2">
      <c r="A128">
        <v>2018</v>
      </c>
      <c r="B128" t="s">
        <v>15</v>
      </c>
      <c r="C128" t="s">
        <v>17</v>
      </c>
      <c r="D128" t="s">
        <v>138</v>
      </c>
      <c r="E128" t="s">
        <v>135</v>
      </c>
      <c r="F128" s="4">
        <v>43231</v>
      </c>
      <c r="G128" s="5">
        <v>0.90972222222222221</v>
      </c>
      <c r="H128">
        <v>-76.690711111111113</v>
      </c>
      <c r="I128">
        <v>3.4061472222222222</v>
      </c>
      <c r="J128">
        <v>2</v>
      </c>
      <c r="K128" t="s">
        <v>89</v>
      </c>
      <c r="L128" t="s">
        <v>120</v>
      </c>
      <c r="M128">
        <v>3324</v>
      </c>
      <c r="N128" t="b">
        <v>1</v>
      </c>
      <c r="O128" t="s">
        <v>114</v>
      </c>
      <c r="P128">
        <v>2</v>
      </c>
      <c r="R128">
        <v>65</v>
      </c>
      <c r="S128" t="s">
        <v>159</v>
      </c>
      <c r="T128" t="s">
        <v>201</v>
      </c>
      <c r="V128" t="s">
        <v>43</v>
      </c>
      <c r="X128">
        <v>1</v>
      </c>
      <c r="AA128" t="s">
        <v>117</v>
      </c>
    </row>
    <row r="129" spans="1:27" x14ac:dyDescent="0.2">
      <c r="A129">
        <v>2018</v>
      </c>
      <c r="B129" t="s">
        <v>15</v>
      </c>
      <c r="C129" t="s">
        <v>17</v>
      </c>
      <c r="D129" t="s">
        <v>202</v>
      </c>
      <c r="E129" t="s">
        <v>122</v>
      </c>
      <c r="F129" s="4">
        <v>43233</v>
      </c>
      <c r="G129" s="5"/>
      <c r="H129">
        <v>-76.689475000000002</v>
      </c>
      <c r="I129">
        <v>3.407658333333333</v>
      </c>
      <c r="J129">
        <v>2</v>
      </c>
      <c r="K129" t="s">
        <v>119</v>
      </c>
      <c r="L129" t="s">
        <v>113</v>
      </c>
      <c r="M129">
        <v>3250</v>
      </c>
      <c r="N129" t="b">
        <v>1</v>
      </c>
      <c r="O129" t="s">
        <v>114</v>
      </c>
      <c r="T129" t="s">
        <v>145</v>
      </c>
      <c r="V129" t="s">
        <v>47</v>
      </c>
      <c r="X129">
        <v>0</v>
      </c>
      <c r="AA129" t="s">
        <v>117</v>
      </c>
    </row>
    <row r="130" spans="1:27" x14ac:dyDescent="0.2">
      <c r="A130">
        <v>2018</v>
      </c>
      <c r="B130" t="s">
        <v>15</v>
      </c>
      <c r="C130" t="s">
        <v>17</v>
      </c>
      <c r="D130" t="s">
        <v>202</v>
      </c>
      <c r="E130" t="s">
        <v>122</v>
      </c>
      <c r="F130" s="4">
        <v>43233</v>
      </c>
      <c r="G130" s="5">
        <v>0.81736111111111109</v>
      </c>
      <c r="H130">
        <v>-76.689630555555553</v>
      </c>
      <c r="I130">
        <v>3.4076416666666671</v>
      </c>
      <c r="J130">
        <v>2</v>
      </c>
      <c r="K130" t="s">
        <v>119</v>
      </c>
      <c r="L130" t="s">
        <v>113</v>
      </c>
      <c r="M130">
        <v>3450</v>
      </c>
      <c r="N130" t="b">
        <v>1</v>
      </c>
      <c r="O130" t="s">
        <v>114</v>
      </c>
      <c r="P130">
        <v>10</v>
      </c>
      <c r="T130" t="s">
        <v>145</v>
      </c>
      <c r="V130" t="s">
        <v>47</v>
      </c>
      <c r="W130" t="s">
        <v>116</v>
      </c>
      <c r="X130">
        <v>0</v>
      </c>
      <c r="AA130" t="s">
        <v>117</v>
      </c>
    </row>
    <row r="131" spans="1:27" x14ac:dyDescent="0.2">
      <c r="A131">
        <v>2018</v>
      </c>
      <c r="B131" t="s">
        <v>15</v>
      </c>
      <c r="C131" t="s">
        <v>17</v>
      </c>
      <c r="D131" t="s">
        <v>202</v>
      </c>
      <c r="E131" t="s">
        <v>122</v>
      </c>
      <c r="F131" s="4">
        <v>43233</v>
      </c>
      <c r="G131" s="5">
        <v>0.82638888888888884</v>
      </c>
      <c r="H131">
        <v>-76.689730555555556</v>
      </c>
      <c r="I131">
        <v>3.4072444444444439</v>
      </c>
      <c r="J131">
        <v>2</v>
      </c>
      <c r="K131" t="s">
        <v>119</v>
      </c>
      <c r="L131" t="s">
        <v>113</v>
      </c>
      <c r="M131">
        <v>3390</v>
      </c>
      <c r="N131" t="b">
        <v>1</v>
      </c>
      <c r="O131" t="s">
        <v>114</v>
      </c>
      <c r="P131">
        <v>10</v>
      </c>
      <c r="R131">
        <v>5</v>
      </c>
      <c r="S131" t="s">
        <v>203</v>
      </c>
      <c r="T131" t="s">
        <v>145</v>
      </c>
      <c r="V131" t="s">
        <v>36</v>
      </c>
      <c r="X131">
        <v>1</v>
      </c>
      <c r="AA131" t="s">
        <v>117</v>
      </c>
    </row>
    <row r="132" spans="1:27" x14ac:dyDescent="0.2">
      <c r="A132">
        <v>2018</v>
      </c>
      <c r="B132" t="s">
        <v>15</v>
      </c>
      <c r="C132" t="s">
        <v>17</v>
      </c>
      <c r="D132" t="s">
        <v>143</v>
      </c>
      <c r="E132" t="s">
        <v>127</v>
      </c>
      <c r="F132" s="4">
        <v>43233</v>
      </c>
      <c r="G132" s="5">
        <v>0.84027777777777779</v>
      </c>
      <c r="H132">
        <v>-76.69061111111111</v>
      </c>
      <c r="I132">
        <v>3.4066111111111108</v>
      </c>
      <c r="J132">
        <v>2</v>
      </c>
      <c r="K132" t="s">
        <v>112</v>
      </c>
      <c r="L132" t="s">
        <v>148</v>
      </c>
      <c r="M132">
        <v>3427</v>
      </c>
      <c r="N132" t="b">
        <v>1</v>
      </c>
      <c r="O132" t="s">
        <v>114</v>
      </c>
      <c r="P132">
        <v>5</v>
      </c>
      <c r="R132">
        <v>5</v>
      </c>
      <c r="S132" t="s">
        <v>159</v>
      </c>
      <c r="T132" t="s">
        <v>201</v>
      </c>
      <c r="U132" t="s">
        <v>204</v>
      </c>
      <c r="V132" t="s">
        <v>6</v>
      </c>
      <c r="X132">
        <v>1</v>
      </c>
      <c r="AA132" t="s">
        <v>117</v>
      </c>
    </row>
    <row r="133" spans="1:27" x14ac:dyDescent="0.2">
      <c r="A133">
        <v>2018</v>
      </c>
      <c r="B133" t="s">
        <v>15</v>
      </c>
      <c r="C133" t="s">
        <v>17</v>
      </c>
      <c r="D133" t="s">
        <v>143</v>
      </c>
      <c r="E133" t="s">
        <v>127</v>
      </c>
      <c r="F133" s="4">
        <v>43233</v>
      </c>
      <c r="G133" s="5">
        <v>0.87708333333333333</v>
      </c>
      <c r="H133">
        <v>-76.690347222222229</v>
      </c>
      <c r="I133">
        <v>3.406569444444445</v>
      </c>
      <c r="J133">
        <v>2</v>
      </c>
      <c r="K133" t="s">
        <v>119</v>
      </c>
      <c r="L133" t="s">
        <v>160</v>
      </c>
      <c r="M133">
        <v>3430</v>
      </c>
      <c r="N133" t="b">
        <v>1</v>
      </c>
      <c r="O133" t="s">
        <v>114</v>
      </c>
      <c r="T133" t="s">
        <v>201</v>
      </c>
      <c r="V133" t="s">
        <v>47</v>
      </c>
      <c r="W133" t="s">
        <v>116</v>
      </c>
      <c r="X133">
        <v>0</v>
      </c>
      <c r="AA133" t="s">
        <v>117</v>
      </c>
    </row>
    <row r="134" spans="1:27" x14ac:dyDescent="0.2">
      <c r="A134">
        <v>2018</v>
      </c>
      <c r="B134" t="s">
        <v>21</v>
      </c>
      <c r="C134" t="s">
        <v>22</v>
      </c>
      <c r="D134" t="s">
        <v>163</v>
      </c>
      <c r="E134" t="s">
        <v>157</v>
      </c>
      <c r="F134" s="4">
        <v>43214</v>
      </c>
      <c r="G134" s="5">
        <v>0.81944444444444442</v>
      </c>
      <c r="H134">
        <v>-76.723083333333335</v>
      </c>
      <c r="I134">
        <v>3.4810277777777778</v>
      </c>
      <c r="J134">
        <v>2</v>
      </c>
      <c r="K134" t="s">
        <v>112</v>
      </c>
      <c r="L134" t="s">
        <v>194</v>
      </c>
      <c r="N134" t="b">
        <v>1</v>
      </c>
      <c r="O134" t="s">
        <v>114</v>
      </c>
      <c r="P134">
        <v>12</v>
      </c>
      <c r="R134">
        <v>20</v>
      </c>
      <c r="S134" t="s">
        <v>159</v>
      </c>
      <c r="T134" t="s">
        <v>145</v>
      </c>
      <c r="V134" t="s">
        <v>40</v>
      </c>
      <c r="X134">
        <v>1</v>
      </c>
      <c r="Y134">
        <v>81</v>
      </c>
      <c r="Z134">
        <v>16.8</v>
      </c>
      <c r="AA134" t="s">
        <v>117</v>
      </c>
    </row>
    <row r="135" spans="1:27" x14ac:dyDescent="0.2">
      <c r="A135">
        <v>2018</v>
      </c>
      <c r="B135" t="s">
        <v>21</v>
      </c>
      <c r="C135" t="s">
        <v>22</v>
      </c>
      <c r="D135" t="s">
        <v>163</v>
      </c>
      <c r="E135" t="s">
        <v>157</v>
      </c>
      <c r="F135" s="4">
        <v>43214</v>
      </c>
      <c r="G135" s="5">
        <v>0.82430555555555551</v>
      </c>
      <c r="H135">
        <v>-76.723138888888897</v>
      </c>
      <c r="I135">
        <v>3.4809999999999999</v>
      </c>
      <c r="J135">
        <v>2</v>
      </c>
      <c r="K135" t="s">
        <v>119</v>
      </c>
      <c r="L135" t="s">
        <v>120</v>
      </c>
      <c r="M135">
        <v>2094</v>
      </c>
      <c r="N135" t="b">
        <v>1</v>
      </c>
      <c r="O135" t="s">
        <v>114</v>
      </c>
      <c r="P135">
        <v>10</v>
      </c>
      <c r="R135">
        <v>5</v>
      </c>
      <c r="S135" t="s">
        <v>159</v>
      </c>
      <c r="T135" t="s">
        <v>145</v>
      </c>
      <c r="U135" t="s">
        <v>205</v>
      </c>
      <c r="V135" t="s">
        <v>8</v>
      </c>
      <c r="X135">
        <v>1</v>
      </c>
      <c r="AA135" t="s">
        <v>117</v>
      </c>
    </row>
    <row r="136" spans="1:27" x14ac:dyDescent="0.2">
      <c r="A136">
        <v>2018</v>
      </c>
      <c r="B136" t="s">
        <v>21</v>
      </c>
      <c r="C136" t="s">
        <v>22</v>
      </c>
      <c r="D136" t="s">
        <v>163</v>
      </c>
      <c r="E136" t="s">
        <v>157</v>
      </c>
      <c r="F136" s="4">
        <v>43214</v>
      </c>
      <c r="G136" s="5">
        <v>0.74652777777777779</v>
      </c>
      <c r="H136">
        <v>-76.723166666666671</v>
      </c>
      <c r="I136">
        <v>3.4809722222222219</v>
      </c>
      <c r="J136">
        <v>2</v>
      </c>
      <c r="K136" t="s">
        <v>112</v>
      </c>
      <c r="L136" t="s">
        <v>194</v>
      </c>
      <c r="M136">
        <v>2090</v>
      </c>
      <c r="N136" t="b">
        <v>1</v>
      </c>
      <c r="O136" t="s">
        <v>114</v>
      </c>
      <c r="P136">
        <v>12</v>
      </c>
      <c r="R136">
        <v>10</v>
      </c>
      <c r="S136" t="s">
        <v>159</v>
      </c>
      <c r="T136" t="s">
        <v>145</v>
      </c>
      <c r="U136" t="s">
        <v>206</v>
      </c>
      <c r="V136" t="s">
        <v>9</v>
      </c>
      <c r="X136">
        <v>1</v>
      </c>
      <c r="AA136" t="s">
        <v>117</v>
      </c>
    </row>
    <row r="137" spans="1:27" x14ac:dyDescent="0.2">
      <c r="A137">
        <v>2018</v>
      </c>
      <c r="B137" t="s">
        <v>21</v>
      </c>
      <c r="C137" t="s">
        <v>22</v>
      </c>
      <c r="D137" t="s">
        <v>163</v>
      </c>
      <c r="E137" t="s">
        <v>157</v>
      </c>
      <c r="F137" s="4">
        <v>43214</v>
      </c>
      <c r="G137" s="5">
        <v>0.8354166666666667</v>
      </c>
      <c r="H137">
        <v>-76.723222222222219</v>
      </c>
      <c r="I137">
        <v>3.4808888888888889</v>
      </c>
      <c r="J137">
        <v>2</v>
      </c>
      <c r="K137" t="s">
        <v>119</v>
      </c>
      <c r="L137" t="s">
        <v>120</v>
      </c>
      <c r="M137">
        <v>2094</v>
      </c>
      <c r="N137" t="b">
        <v>1</v>
      </c>
      <c r="O137" t="s">
        <v>114</v>
      </c>
      <c r="P137">
        <v>15</v>
      </c>
      <c r="R137">
        <v>5</v>
      </c>
      <c r="S137" t="s">
        <v>159</v>
      </c>
      <c r="T137" t="s">
        <v>145</v>
      </c>
      <c r="V137" t="s">
        <v>40</v>
      </c>
      <c r="X137">
        <v>1</v>
      </c>
      <c r="AA137" t="s">
        <v>117</v>
      </c>
    </row>
    <row r="138" spans="1:27" x14ac:dyDescent="0.2">
      <c r="A138">
        <v>2018</v>
      </c>
      <c r="B138" t="s">
        <v>21</v>
      </c>
      <c r="C138" t="s">
        <v>22</v>
      </c>
      <c r="D138" t="s">
        <v>163</v>
      </c>
      <c r="E138" t="s">
        <v>157</v>
      </c>
      <c r="F138" s="4">
        <v>43214</v>
      </c>
      <c r="G138" s="5">
        <v>0.8354166666666667</v>
      </c>
      <c r="H138">
        <v>-76.723222222222219</v>
      </c>
      <c r="I138">
        <v>3.4808888888888889</v>
      </c>
      <c r="J138">
        <v>2</v>
      </c>
      <c r="K138" t="s">
        <v>112</v>
      </c>
      <c r="L138" t="s">
        <v>194</v>
      </c>
      <c r="M138">
        <v>2092</v>
      </c>
      <c r="N138" t="b">
        <v>1</v>
      </c>
      <c r="O138" t="s">
        <v>114</v>
      </c>
      <c r="P138">
        <v>15</v>
      </c>
      <c r="R138">
        <v>5</v>
      </c>
      <c r="S138" t="s">
        <v>159</v>
      </c>
      <c r="T138" t="s">
        <v>145</v>
      </c>
      <c r="U138" t="s">
        <v>207</v>
      </c>
      <c r="V138" t="s">
        <v>8</v>
      </c>
      <c r="X138">
        <v>1</v>
      </c>
      <c r="AA138" t="s">
        <v>117</v>
      </c>
    </row>
    <row r="139" spans="1:27" x14ac:dyDescent="0.2">
      <c r="A139">
        <v>2018</v>
      </c>
      <c r="B139" t="s">
        <v>21</v>
      </c>
      <c r="C139" t="s">
        <v>22</v>
      </c>
      <c r="D139" t="s">
        <v>163</v>
      </c>
      <c r="E139" t="s">
        <v>157</v>
      </c>
      <c r="F139" s="4">
        <v>43214</v>
      </c>
      <c r="G139" s="5">
        <v>0.84166666666666667</v>
      </c>
      <c r="H139">
        <v>-76.723222222222219</v>
      </c>
      <c r="I139">
        <v>3.4808888888888889</v>
      </c>
      <c r="J139">
        <v>2</v>
      </c>
      <c r="K139" t="s">
        <v>119</v>
      </c>
      <c r="L139" t="s">
        <v>161</v>
      </c>
      <c r="M139">
        <v>2092</v>
      </c>
      <c r="N139" t="b">
        <v>1</v>
      </c>
      <c r="O139" t="s">
        <v>114</v>
      </c>
      <c r="P139">
        <v>20</v>
      </c>
      <c r="R139">
        <v>20</v>
      </c>
      <c r="S139" t="s">
        <v>159</v>
      </c>
      <c r="T139" t="s">
        <v>145</v>
      </c>
      <c r="V139" t="s">
        <v>8</v>
      </c>
      <c r="X139">
        <v>1</v>
      </c>
      <c r="AA139" t="s">
        <v>117</v>
      </c>
    </row>
    <row r="140" spans="1:27" x14ac:dyDescent="0.2">
      <c r="A140">
        <v>2018</v>
      </c>
      <c r="B140" t="s">
        <v>21</v>
      </c>
      <c r="C140" t="s">
        <v>22</v>
      </c>
      <c r="D140" t="s">
        <v>163</v>
      </c>
      <c r="E140" t="s">
        <v>157</v>
      </c>
      <c r="F140" s="4">
        <v>43214</v>
      </c>
      <c r="G140" s="5">
        <v>0.84444444444444444</v>
      </c>
      <c r="H140">
        <v>-76.723222222222219</v>
      </c>
      <c r="I140">
        <v>3.4808888888888889</v>
      </c>
      <c r="J140">
        <v>2</v>
      </c>
      <c r="K140" t="s">
        <v>119</v>
      </c>
      <c r="L140" t="s">
        <v>120</v>
      </c>
      <c r="M140">
        <v>2092</v>
      </c>
      <c r="N140" t="b">
        <v>1</v>
      </c>
      <c r="O140" t="s">
        <v>114</v>
      </c>
      <c r="P140">
        <v>12</v>
      </c>
      <c r="R140">
        <v>20</v>
      </c>
      <c r="S140" t="s">
        <v>175</v>
      </c>
      <c r="T140" t="s">
        <v>145</v>
      </c>
      <c r="V140" t="s">
        <v>8</v>
      </c>
      <c r="X140">
        <v>1</v>
      </c>
      <c r="AA140" t="s">
        <v>117</v>
      </c>
    </row>
    <row r="141" spans="1:27" x14ac:dyDescent="0.2">
      <c r="A141">
        <v>2018</v>
      </c>
      <c r="B141" t="s">
        <v>21</v>
      </c>
      <c r="C141" t="s">
        <v>22</v>
      </c>
      <c r="D141" t="s">
        <v>163</v>
      </c>
      <c r="E141" t="s">
        <v>157</v>
      </c>
      <c r="F141" s="4">
        <v>43214</v>
      </c>
      <c r="G141" s="5">
        <v>0.84722222222222221</v>
      </c>
      <c r="H141">
        <v>-76.723222222222219</v>
      </c>
      <c r="I141">
        <v>3.4808888888888889</v>
      </c>
      <c r="J141">
        <v>2</v>
      </c>
      <c r="K141" t="s">
        <v>119</v>
      </c>
      <c r="L141" t="s">
        <v>161</v>
      </c>
      <c r="M141">
        <v>2092</v>
      </c>
      <c r="N141" t="b">
        <v>1</v>
      </c>
      <c r="O141" t="s">
        <v>114</v>
      </c>
      <c r="P141">
        <v>10</v>
      </c>
      <c r="R141">
        <v>25</v>
      </c>
      <c r="S141" t="s">
        <v>159</v>
      </c>
      <c r="T141" t="s">
        <v>145</v>
      </c>
      <c r="V141" t="s">
        <v>8</v>
      </c>
      <c r="X141">
        <v>1</v>
      </c>
      <c r="AA141" t="s">
        <v>117</v>
      </c>
    </row>
    <row r="142" spans="1:27" x14ac:dyDescent="0.2">
      <c r="A142">
        <v>2018</v>
      </c>
      <c r="B142" t="s">
        <v>21</v>
      </c>
      <c r="C142" t="s">
        <v>22</v>
      </c>
      <c r="D142" t="s">
        <v>163</v>
      </c>
      <c r="E142" t="s">
        <v>157</v>
      </c>
      <c r="F142" s="4">
        <v>43214</v>
      </c>
      <c r="G142" s="5">
        <v>0.84722222222222221</v>
      </c>
      <c r="H142">
        <v>-76.723222222222219</v>
      </c>
      <c r="I142">
        <v>3.4808888888888889</v>
      </c>
      <c r="J142">
        <v>2</v>
      </c>
      <c r="K142" t="s">
        <v>112</v>
      </c>
      <c r="L142" t="s">
        <v>148</v>
      </c>
      <c r="M142">
        <v>2092</v>
      </c>
      <c r="N142" t="b">
        <v>1</v>
      </c>
      <c r="O142" t="s">
        <v>114</v>
      </c>
      <c r="P142">
        <v>10</v>
      </c>
      <c r="R142">
        <v>25</v>
      </c>
      <c r="S142" t="s">
        <v>159</v>
      </c>
      <c r="T142" t="s">
        <v>145</v>
      </c>
      <c r="U142" t="s">
        <v>208</v>
      </c>
      <c r="V142" t="s">
        <v>2</v>
      </c>
      <c r="X142">
        <v>1</v>
      </c>
      <c r="AA142" t="s">
        <v>117</v>
      </c>
    </row>
    <row r="143" spans="1:27" x14ac:dyDescent="0.2">
      <c r="A143">
        <v>2018</v>
      </c>
      <c r="B143" t="s">
        <v>21</v>
      </c>
      <c r="C143" t="s">
        <v>22</v>
      </c>
      <c r="D143" t="s">
        <v>163</v>
      </c>
      <c r="E143" t="s">
        <v>157</v>
      </c>
      <c r="F143" s="4">
        <v>43214</v>
      </c>
      <c r="G143" s="5">
        <v>0.85555555555555551</v>
      </c>
      <c r="H143">
        <v>-76.723222222222219</v>
      </c>
      <c r="I143">
        <v>3.480861111111111</v>
      </c>
      <c r="J143">
        <v>2</v>
      </c>
      <c r="K143" t="s">
        <v>119</v>
      </c>
      <c r="L143" t="s">
        <v>120</v>
      </c>
      <c r="M143">
        <v>2098</v>
      </c>
      <c r="N143" t="b">
        <v>1</v>
      </c>
      <c r="O143" t="s">
        <v>114</v>
      </c>
      <c r="P143">
        <v>15</v>
      </c>
      <c r="R143">
        <v>20</v>
      </c>
      <c r="S143" t="s">
        <v>159</v>
      </c>
      <c r="T143" t="s">
        <v>145</v>
      </c>
      <c r="V143" t="s">
        <v>8</v>
      </c>
      <c r="X143">
        <v>1</v>
      </c>
      <c r="AA143" t="s">
        <v>117</v>
      </c>
    </row>
    <row r="144" spans="1:27" x14ac:dyDescent="0.2">
      <c r="A144">
        <v>2018</v>
      </c>
      <c r="B144" t="s">
        <v>21</v>
      </c>
      <c r="C144" t="s">
        <v>22</v>
      </c>
      <c r="D144" t="s">
        <v>163</v>
      </c>
      <c r="E144" t="s">
        <v>157</v>
      </c>
      <c r="F144" s="4">
        <v>43214</v>
      </c>
      <c r="G144" s="5">
        <v>0.85555555555555551</v>
      </c>
      <c r="H144">
        <v>-76.723222222222219</v>
      </c>
      <c r="I144">
        <v>3.480861111111111</v>
      </c>
      <c r="J144">
        <v>2</v>
      </c>
      <c r="K144" t="s">
        <v>112</v>
      </c>
      <c r="L144" t="s">
        <v>148</v>
      </c>
      <c r="M144">
        <v>2098</v>
      </c>
      <c r="N144" t="b">
        <v>1</v>
      </c>
      <c r="O144" t="s">
        <v>114</v>
      </c>
      <c r="P144">
        <v>12</v>
      </c>
      <c r="R144">
        <v>15</v>
      </c>
      <c r="S144" t="s">
        <v>159</v>
      </c>
      <c r="T144" t="s">
        <v>145</v>
      </c>
      <c r="V144" t="s">
        <v>8</v>
      </c>
      <c r="X144">
        <v>1</v>
      </c>
      <c r="AA144" t="s">
        <v>117</v>
      </c>
    </row>
    <row r="145" spans="1:27" x14ac:dyDescent="0.2">
      <c r="A145">
        <v>2018</v>
      </c>
      <c r="B145" t="s">
        <v>21</v>
      </c>
      <c r="C145" t="s">
        <v>22</v>
      </c>
      <c r="D145" t="s">
        <v>163</v>
      </c>
      <c r="E145" t="s">
        <v>157</v>
      </c>
      <c r="F145" s="4">
        <v>43214</v>
      </c>
      <c r="G145" s="5">
        <v>0.85555555555555551</v>
      </c>
      <c r="H145">
        <v>-76.723222222222219</v>
      </c>
      <c r="I145">
        <v>3.480861111111111</v>
      </c>
      <c r="J145">
        <v>2</v>
      </c>
      <c r="K145" t="s">
        <v>119</v>
      </c>
      <c r="L145" t="s">
        <v>161</v>
      </c>
      <c r="M145">
        <v>2098</v>
      </c>
      <c r="N145" t="b">
        <v>1</v>
      </c>
      <c r="O145" t="s">
        <v>114</v>
      </c>
      <c r="P145">
        <v>12</v>
      </c>
      <c r="R145">
        <v>10</v>
      </c>
      <c r="S145" t="s">
        <v>159</v>
      </c>
      <c r="T145" t="s">
        <v>145</v>
      </c>
      <c r="V145" t="s">
        <v>40</v>
      </c>
      <c r="X145">
        <v>1</v>
      </c>
      <c r="AA145" t="s">
        <v>117</v>
      </c>
    </row>
    <row r="146" spans="1:27" x14ac:dyDescent="0.2">
      <c r="A146">
        <v>2018</v>
      </c>
      <c r="B146" t="s">
        <v>21</v>
      </c>
      <c r="C146" t="s">
        <v>22</v>
      </c>
      <c r="D146" t="s">
        <v>163</v>
      </c>
      <c r="E146" t="s">
        <v>157</v>
      </c>
      <c r="F146" s="4">
        <v>43214</v>
      </c>
      <c r="G146" s="5">
        <v>0.86458333333333337</v>
      </c>
      <c r="H146">
        <v>-76.723250000000007</v>
      </c>
      <c r="I146">
        <v>3.4807222222222221</v>
      </c>
      <c r="J146">
        <v>2</v>
      </c>
      <c r="K146" t="s">
        <v>119</v>
      </c>
      <c r="L146" t="s">
        <v>120</v>
      </c>
      <c r="M146">
        <v>2101</v>
      </c>
      <c r="N146" t="b">
        <v>1</v>
      </c>
      <c r="O146" t="s">
        <v>114</v>
      </c>
      <c r="P146">
        <v>12</v>
      </c>
      <c r="R146">
        <v>12</v>
      </c>
      <c r="S146" t="s">
        <v>185</v>
      </c>
      <c r="T146" t="s">
        <v>145</v>
      </c>
      <c r="U146" t="s">
        <v>209</v>
      </c>
      <c r="V146" t="s">
        <v>4</v>
      </c>
      <c r="X146">
        <v>1</v>
      </c>
      <c r="AA146" t="s">
        <v>117</v>
      </c>
    </row>
    <row r="147" spans="1:27" x14ac:dyDescent="0.2">
      <c r="A147">
        <v>2018</v>
      </c>
      <c r="B147" t="s">
        <v>21</v>
      </c>
      <c r="C147" t="s">
        <v>22</v>
      </c>
      <c r="D147" t="s">
        <v>163</v>
      </c>
      <c r="E147" t="s">
        <v>157</v>
      </c>
      <c r="F147" s="4">
        <v>43214</v>
      </c>
      <c r="G147" s="5">
        <v>0.86458333333333337</v>
      </c>
      <c r="H147">
        <v>-76.723250000000007</v>
      </c>
      <c r="I147">
        <v>3.4807222222222221</v>
      </c>
      <c r="J147">
        <v>2</v>
      </c>
      <c r="K147" t="s">
        <v>112</v>
      </c>
      <c r="L147" t="s">
        <v>148</v>
      </c>
      <c r="M147">
        <v>2101</v>
      </c>
      <c r="N147" t="b">
        <v>1</v>
      </c>
      <c r="O147" t="s">
        <v>114</v>
      </c>
      <c r="P147">
        <v>12</v>
      </c>
      <c r="R147">
        <v>20</v>
      </c>
      <c r="S147" t="s">
        <v>159</v>
      </c>
      <c r="T147" t="s">
        <v>145</v>
      </c>
      <c r="V147" t="s">
        <v>8</v>
      </c>
      <c r="X147">
        <v>1</v>
      </c>
      <c r="AA147" t="s">
        <v>117</v>
      </c>
    </row>
    <row r="148" spans="1:27" x14ac:dyDescent="0.2">
      <c r="A148">
        <v>2018</v>
      </c>
      <c r="B148" t="s">
        <v>21</v>
      </c>
      <c r="C148" t="s">
        <v>22</v>
      </c>
      <c r="D148" t="s">
        <v>163</v>
      </c>
      <c r="E148" t="s">
        <v>157</v>
      </c>
      <c r="F148" s="4">
        <v>43214</v>
      </c>
      <c r="G148" s="5">
        <v>0.86458333333333337</v>
      </c>
      <c r="H148">
        <v>-76.723250000000007</v>
      </c>
      <c r="I148">
        <v>3.4807222222222221</v>
      </c>
      <c r="J148">
        <v>2</v>
      </c>
      <c r="K148" t="s">
        <v>119</v>
      </c>
      <c r="L148" t="s">
        <v>120</v>
      </c>
      <c r="M148">
        <v>2101</v>
      </c>
      <c r="N148" t="b">
        <v>1</v>
      </c>
      <c r="O148" t="s">
        <v>114</v>
      </c>
      <c r="P148">
        <v>12</v>
      </c>
      <c r="R148">
        <v>20</v>
      </c>
      <c r="S148" t="s">
        <v>159</v>
      </c>
      <c r="T148" t="s">
        <v>145</v>
      </c>
      <c r="U148" t="s">
        <v>210</v>
      </c>
      <c r="V148" t="s">
        <v>41</v>
      </c>
      <c r="X148">
        <v>1</v>
      </c>
      <c r="AA148" t="s">
        <v>117</v>
      </c>
    </row>
    <row r="149" spans="1:27" x14ac:dyDescent="0.2">
      <c r="A149">
        <v>2018</v>
      </c>
      <c r="B149" t="s">
        <v>21</v>
      </c>
      <c r="C149" t="s">
        <v>22</v>
      </c>
      <c r="D149" t="s">
        <v>163</v>
      </c>
      <c r="E149" t="s">
        <v>157</v>
      </c>
      <c r="F149" s="4">
        <v>43214</v>
      </c>
      <c r="G149" s="5">
        <v>0.87569444444444444</v>
      </c>
      <c r="H149">
        <v>-76.723250000000007</v>
      </c>
      <c r="I149">
        <v>3.4804444444444451</v>
      </c>
      <c r="J149">
        <v>2</v>
      </c>
      <c r="K149" t="s">
        <v>112</v>
      </c>
      <c r="L149" t="s">
        <v>194</v>
      </c>
      <c r="M149">
        <v>2108</v>
      </c>
      <c r="N149" t="b">
        <v>1</v>
      </c>
      <c r="O149" t="s">
        <v>114</v>
      </c>
      <c r="P149">
        <v>20</v>
      </c>
      <c r="R149">
        <v>30</v>
      </c>
      <c r="S149" t="s">
        <v>159</v>
      </c>
      <c r="T149" t="s">
        <v>145</v>
      </c>
      <c r="V149" t="s">
        <v>8</v>
      </c>
      <c r="X149">
        <v>1</v>
      </c>
      <c r="AA149" t="s">
        <v>117</v>
      </c>
    </row>
    <row r="150" spans="1:27" x14ac:dyDescent="0.2">
      <c r="A150">
        <v>2018</v>
      </c>
      <c r="B150" t="s">
        <v>21</v>
      </c>
      <c r="C150" t="s">
        <v>22</v>
      </c>
      <c r="D150" t="s">
        <v>163</v>
      </c>
      <c r="E150" t="s">
        <v>157</v>
      </c>
      <c r="F150" s="4">
        <v>43214</v>
      </c>
      <c r="G150" s="5">
        <v>0.87847222222222221</v>
      </c>
      <c r="H150">
        <v>-76.723250000000007</v>
      </c>
      <c r="I150">
        <v>3.4804444444444451</v>
      </c>
      <c r="J150">
        <v>2</v>
      </c>
      <c r="K150" t="s">
        <v>119</v>
      </c>
      <c r="L150" t="s">
        <v>161</v>
      </c>
      <c r="M150">
        <v>2108</v>
      </c>
      <c r="N150" t="b">
        <v>1</v>
      </c>
      <c r="O150" t="s">
        <v>114</v>
      </c>
      <c r="P150">
        <v>20</v>
      </c>
      <c r="R150">
        <v>30</v>
      </c>
      <c r="S150" t="s">
        <v>159</v>
      </c>
      <c r="T150" t="s">
        <v>145</v>
      </c>
      <c r="V150" t="s">
        <v>8</v>
      </c>
      <c r="X150">
        <v>1</v>
      </c>
      <c r="AA150" t="s">
        <v>117</v>
      </c>
    </row>
    <row r="151" spans="1:27" x14ac:dyDescent="0.2">
      <c r="A151">
        <v>2018</v>
      </c>
      <c r="B151" t="s">
        <v>21</v>
      </c>
      <c r="C151" t="s">
        <v>22</v>
      </c>
      <c r="D151" t="s">
        <v>163</v>
      </c>
      <c r="E151" t="s">
        <v>157</v>
      </c>
      <c r="F151" s="4">
        <v>43214</v>
      </c>
      <c r="G151" s="5">
        <v>0.87569444444444444</v>
      </c>
      <c r="H151">
        <v>-76.723250000000007</v>
      </c>
      <c r="I151">
        <v>3.4804444444444451</v>
      </c>
      <c r="J151">
        <v>2</v>
      </c>
      <c r="K151" t="s">
        <v>112</v>
      </c>
      <c r="L151" t="s">
        <v>194</v>
      </c>
      <c r="M151">
        <v>2108</v>
      </c>
      <c r="N151" t="b">
        <v>1</v>
      </c>
      <c r="O151" t="s">
        <v>114</v>
      </c>
      <c r="P151">
        <v>20</v>
      </c>
      <c r="R151">
        <v>30</v>
      </c>
      <c r="S151" t="s">
        <v>159</v>
      </c>
      <c r="T151" t="s">
        <v>145</v>
      </c>
      <c r="V151" t="s">
        <v>8</v>
      </c>
      <c r="X151">
        <v>1</v>
      </c>
      <c r="AA151" t="s">
        <v>117</v>
      </c>
    </row>
    <row r="152" spans="1:27" x14ac:dyDescent="0.2">
      <c r="A152">
        <v>2018</v>
      </c>
      <c r="B152" t="s">
        <v>21</v>
      </c>
      <c r="C152" t="s">
        <v>22</v>
      </c>
      <c r="D152" t="s">
        <v>163</v>
      </c>
      <c r="E152" t="s">
        <v>157</v>
      </c>
      <c r="F152" s="4">
        <v>43214</v>
      </c>
      <c r="G152" s="5">
        <v>0.87847222222222221</v>
      </c>
      <c r="H152">
        <v>-76.723250000000007</v>
      </c>
      <c r="I152">
        <v>3.4804444444444451</v>
      </c>
      <c r="J152">
        <v>2</v>
      </c>
      <c r="K152" t="s">
        <v>119</v>
      </c>
      <c r="L152" t="s">
        <v>120</v>
      </c>
      <c r="M152">
        <v>2109</v>
      </c>
      <c r="N152" t="b">
        <v>1</v>
      </c>
      <c r="O152" t="s">
        <v>114</v>
      </c>
      <c r="P152">
        <v>20</v>
      </c>
      <c r="R152">
        <v>5</v>
      </c>
      <c r="S152" t="s">
        <v>159</v>
      </c>
      <c r="T152" t="s">
        <v>145</v>
      </c>
      <c r="V152" t="s">
        <v>8</v>
      </c>
      <c r="X152">
        <v>1</v>
      </c>
      <c r="AA152" t="s">
        <v>117</v>
      </c>
    </row>
    <row r="153" spans="1:27" x14ac:dyDescent="0.2">
      <c r="A153">
        <v>2018</v>
      </c>
      <c r="B153" t="s">
        <v>21</v>
      </c>
      <c r="C153" t="s">
        <v>22</v>
      </c>
      <c r="D153" t="s">
        <v>163</v>
      </c>
      <c r="E153" t="s">
        <v>157</v>
      </c>
      <c r="F153" s="4">
        <v>43214</v>
      </c>
      <c r="G153" s="5">
        <v>0.88055555555555554</v>
      </c>
      <c r="H153">
        <v>-76.723222222222219</v>
      </c>
      <c r="I153">
        <v>3.4802499999999998</v>
      </c>
      <c r="J153">
        <v>2</v>
      </c>
      <c r="K153" t="s">
        <v>112</v>
      </c>
      <c r="L153" t="s">
        <v>194</v>
      </c>
      <c r="M153">
        <v>2113</v>
      </c>
      <c r="N153" t="b">
        <v>1</v>
      </c>
      <c r="O153" t="s">
        <v>114</v>
      </c>
      <c r="P153">
        <v>15</v>
      </c>
      <c r="S153" t="s">
        <v>159</v>
      </c>
      <c r="T153" t="s">
        <v>145</v>
      </c>
      <c r="V153" t="s">
        <v>8</v>
      </c>
      <c r="X153">
        <v>1</v>
      </c>
      <c r="Y153">
        <v>84</v>
      </c>
      <c r="Z153">
        <v>16.100000000000001</v>
      </c>
      <c r="AA153" t="s">
        <v>117</v>
      </c>
    </row>
    <row r="154" spans="1:27" x14ac:dyDescent="0.2">
      <c r="A154">
        <v>2018</v>
      </c>
      <c r="B154" t="s">
        <v>21</v>
      </c>
      <c r="C154" t="s">
        <v>22</v>
      </c>
      <c r="D154" t="s">
        <v>211</v>
      </c>
      <c r="E154" t="s">
        <v>135</v>
      </c>
      <c r="F154" s="4">
        <v>43214</v>
      </c>
      <c r="G154" s="5">
        <v>0.88680555555555551</v>
      </c>
      <c r="H154">
        <v>-76.723194444444445</v>
      </c>
      <c r="I154">
        <v>3.4801111111111109</v>
      </c>
      <c r="J154">
        <v>2</v>
      </c>
      <c r="K154" t="s">
        <v>119</v>
      </c>
      <c r="L154" t="s">
        <v>161</v>
      </c>
      <c r="M154">
        <v>2115</v>
      </c>
      <c r="N154" t="b">
        <v>1</v>
      </c>
      <c r="O154" t="s">
        <v>114</v>
      </c>
      <c r="P154">
        <v>10</v>
      </c>
      <c r="R154">
        <v>15</v>
      </c>
      <c r="S154" t="s">
        <v>159</v>
      </c>
      <c r="T154" t="s">
        <v>145</v>
      </c>
      <c r="V154" t="s">
        <v>8</v>
      </c>
      <c r="X154">
        <v>1</v>
      </c>
      <c r="AA154" t="s">
        <v>117</v>
      </c>
    </row>
    <row r="155" spans="1:27" x14ac:dyDescent="0.2">
      <c r="A155">
        <v>2018</v>
      </c>
      <c r="B155" t="s">
        <v>21</v>
      </c>
      <c r="C155" t="s">
        <v>22</v>
      </c>
      <c r="D155" t="s">
        <v>211</v>
      </c>
      <c r="E155" t="s">
        <v>135</v>
      </c>
      <c r="F155" s="4">
        <v>43214</v>
      </c>
      <c r="G155" s="5">
        <v>0.88888888888888884</v>
      </c>
      <c r="H155">
        <v>-76.723166666666671</v>
      </c>
      <c r="I155">
        <v>3.4801111111111109</v>
      </c>
      <c r="J155">
        <v>2</v>
      </c>
      <c r="K155" t="s">
        <v>112</v>
      </c>
      <c r="L155" t="s">
        <v>194</v>
      </c>
      <c r="M155">
        <v>2115</v>
      </c>
      <c r="N155" t="b">
        <v>1</v>
      </c>
      <c r="O155" t="s">
        <v>114</v>
      </c>
      <c r="P155">
        <v>12</v>
      </c>
      <c r="R155">
        <v>15</v>
      </c>
      <c r="S155" t="s">
        <v>159</v>
      </c>
      <c r="T155" t="s">
        <v>145</v>
      </c>
      <c r="V155" t="s">
        <v>8</v>
      </c>
      <c r="X155">
        <v>1</v>
      </c>
      <c r="AA155" t="s">
        <v>117</v>
      </c>
    </row>
    <row r="156" spans="1:27" x14ac:dyDescent="0.2">
      <c r="A156">
        <v>2018</v>
      </c>
      <c r="B156" t="s">
        <v>21</v>
      </c>
      <c r="C156" t="s">
        <v>22</v>
      </c>
      <c r="D156" t="s">
        <v>211</v>
      </c>
      <c r="E156" t="s">
        <v>135</v>
      </c>
      <c r="F156" s="4">
        <v>43214</v>
      </c>
      <c r="G156" s="5">
        <v>0.89513888888888893</v>
      </c>
      <c r="H156">
        <v>-76.723111111111109</v>
      </c>
      <c r="I156">
        <v>3.4797777777777781</v>
      </c>
      <c r="J156">
        <v>2</v>
      </c>
      <c r="K156" t="s">
        <v>119</v>
      </c>
      <c r="L156" t="s">
        <v>161</v>
      </c>
      <c r="M156">
        <v>2116</v>
      </c>
      <c r="N156" t="b">
        <v>1</v>
      </c>
      <c r="O156" t="s">
        <v>114</v>
      </c>
      <c r="P156">
        <v>15</v>
      </c>
      <c r="R156">
        <v>20</v>
      </c>
      <c r="S156" t="s">
        <v>159</v>
      </c>
      <c r="T156" t="s">
        <v>145</v>
      </c>
      <c r="V156" t="s">
        <v>8</v>
      </c>
      <c r="X156">
        <v>1</v>
      </c>
      <c r="AA156" t="s">
        <v>117</v>
      </c>
    </row>
    <row r="157" spans="1:27" x14ac:dyDescent="0.2">
      <c r="A157">
        <v>2018</v>
      </c>
      <c r="B157" t="s">
        <v>21</v>
      </c>
      <c r="C157" t="s">
        <v>22</v>
      </c>
      <c r="D157" t="s">
        <v>211</v>
      </c>
      <c r="E157" t="s">
        <v>135</v>
      </c>
      <c r="F157" s="4">
        <v>43214</v>
      </c>
      <c r="G157" s="5">
        <v>0.89583333333333337</v>
      </c>
      <c r="H157">
        <v>-76.723111111111109</v>
      </c>
      <c r="I157">
        <v>3.4797777777777781</v>
      </c>
      <c r="J157">
        <v>2</v>
      </c>
      <c r="K157" t="s">
        <v>119</v>
      </c>
      <c r="L157" t="s">
        <v>120</v>
      </c>
      <c r="M157">
        <v>2116</v>
      </c>
      <c r="N157" t="b">
        <v>1</v>
      </c>
      <c r="O157" t="s">
        <v>114</v>
      </c>
      <c r="P157">
        <v>15</v>
      </c>
      <c r="R157">
        <v>10</v>
      </c>
      <c r="S157" t="s">
        <v>159</v>
      </c>
      <c r="T157" t="s">
        <v>145</v>
      </c>
      <c r="V157" t="s">
        <v>8</v>
      </c>
      <c r="X157">
        <v>1</v>
      </c>
      <c r="AA157" t="s">
        <v>117</v>
      </c>
    </row>
    <row r="158" spans="1:27" x14ac:dyDescent="0.2">
      <c r="A158">
        <v>2018</v>
      </c>
      <c r="B158" t="s">
        <v>21</v>
      </c>
      <c r="C158" t="s">
        <v>22</v>
      </c>
      <c r="D158" t="s">
        <v>211</v>
      </c>
      <c r="E158" t="s">
        <v>135</v>
      </c>
      <c r="F158" s="4">
        <v>43214</v>
      </c>
      <c r="G158" s="5">
        <v>0.89930555555555558</v>
      </c>
      <c r="H158">
        <v>-76.723055555555561</v>
      </c>
      <c r="I158">
        <v>3.4796388888888892</v>
      </c>
      <c r="J158">
        <v>2</v>
      </c>
      <c r="K158" t="s">
        <v>119</v>
      </c>
      <c r="L158" t="s">
        <v>161</v>
      </c>
      <c r="M158">
        <v>2125</v>
      </c>
      <c r="N158" t="b">
        <v>1</v>
      </c>
      <c r="O158" t="s">
        <v>114</v>
      </c>
      <c r="P158">
        <v>15</v>
      </c>
      <c r="R158">
        <v>20</v>
      </c>
      <c r="S158" t="s">
        <v>159</v>
      </c>
      <c r="T158" t="s">
        <v>145</v>
      </c>
      <c r="V158" t="s">
        <v>8</v>
      </c>
      <c r="X158">
        <v>1</v>
      </c>
      <c r="AA158" t="s">
        <v>117</v>
      </c>
    </row>
    <row r="159" spans="1:27" x14ac:dyDescent="0.2">
      <c r="A159">
        <v>2018</v>
      </c>
      <c r="B159" t="s">
        <v>21</v>
      </c>
      <c r="C159" t="s">
        <v>22</v>
      </c>
      <c r="D159" t="s">
        <v>211</v>
      </c>
      <c r="E159" t="s">
        <v>135</v>
      </c>
      <c r="F159" s="4">
        <v>43214</v>
      </c>
      <c r="G159" s="5">
        <v>0.90347222222222223</v>
      </c>
      <c r="H159">
        <v>-76.723055555555561</v>
      </c>
      <c r="I159">
        <v>3.4796388888888892</v>
      </c>
      <c r="J159">
        <v>2</v>
      </c>
      <c r="K159" t="s">
        <v>119</v>
      </c>
      <c r="L159" t="s">
        <v>161</v>
      </c>
      <c r="M159">
        <v>2125</v>
      </c>
      <c r="N159" t="b">
        <v>1</v>
      </c>
      <c r="O159" t="s">
        <v>114</v>
      </c>
      <c r="P159">
        <v>15</v>
      </c>
      <c r="R159">
        <v>20</v>
      </c>
      <c r="S159" t="s">
        <v>159</v>
      </c>
      <c r="T159" t="s">
        <v>145</v>
      </c>
      <c r="U159" t="s">
        <v>212</v>
      </c>
      <c r="V159" t="s">
        <v>2</v>
      </c>
      <c r="X159">
        <v>1</v>
      </c>
      <c r="AA159" t="s">
        <v>117</v>
      </c>
    </row>
    <row r="160" spans="1:27" x14ac:dyDescent="0.2">
      <c r="A160">
        <v>2018</v>
      </c>
      <c r="B160" t="s">
        <v>21</v>
      </c>
      <c r="C160" t="s">
        <v>22</v>
      </c>
      <c r="D160" t="s">
        <v>211</v>
      </c>
      <c r="E160" t="s">
        <v>135</v>
      </c>
      <c r="F160" s="4">
        <v>43214</v>
      </c>
      <c r="G160" s="5">
        <v>0.90347222222222223</v>
      </c>
      <c r="H160">
        <v>-76.723055555555561</v>
      </c>
      <c r="I160">
        <v>3.4796388888888892</v>
      </c>
      <c r="J160">
        <v>2</v>
      </c>
      <c r="K160" t="s">
        <v>119</v>
      </c>
      <c r="L160" t="s">
        <v>161</v>
      </c>
      <c r="M160">
        <v>2125</v>
      </c>
      <c r="N160" t="b">
        <v>1</v>
      </c>
      <c r="O160" t="s">
        <v>114</v>
      </c>
      <c r="P160">
        <v>12</v>
      </c>
      <c r="R160">
        <v>30</v>
      </c>
      <c r="S160" t="s">
        <v>159</v>
      </c>
      <c r="T160" t="s">
        <v>145</v>
      </c>
      <c r="V160" t="s">
        <v>8</v>
      </c>
      <c r="X160">
        <v>1</v>
      </c>
      <c r="AA160" t="s">
        <v>117</v>
      </c>
    </row>
    <row r="161" spans="1:27" x14ac:dyDescent="0.2">
      <c r="A161">
        <v>2018</v>
      </c>
      <c r="B161" t="s">
        <v>21</v>
      </c>
      <c r="C161" t="s">
        <v>22</v>
      </c>
      <c r="D161" t="s">
        <v>211</v>
      </c>
      <c r="E161" t="s">
        <v>135</v>
      </c>
      <c r="F161" s="4">
        <v>43214</v>
      </c>
      <c r="G161" s="5">
        <v>0.90902777777777777</v>
      </c>
      <c r="H161">
        <v>-76.722999999999999</v>
      </c>
      <c r="I161">
        <v>3.4794999999999998</v>
      </c>
      <c r="J161">
        <v>2</v>
      </c>
      <c r="K161" t="s">
        <v>119</v>
      </c>
      <c r="L161" t="s">
        <v>120</v>
      </c>
      <c r="M161">
        <v>2123</v>
      </c>
      <c r="N161" t="b">
        <v>1</v>
      </c>
      <c r="O161" t="s">
        <v>114</v>
      </c>
      <c r="P161">
        <v>25</v>
      </c>
      <c r="R161">
        <v>30</v>
      </c>
      <c r="S161" t="s">
        <v>159</v>
      </c>
      <c r="T161" t="s">
        <v>145</v>
      </c>
      <c r="V161" t="s">
        <v>8</v>
      </c>
      <c r="X161">
        <v>1</v>
      </c>
      <c r="AA161" t="s">
        <v>117</v>
      </c>
    </row>
    <row r="162" spans="1:27" x14ac:dyDescent="0.2">
      <c r="A162">
        <v>2018</v>
      </c>
      <c r="B162" t="s">
        <v>21</v>
      </c>
      <c r="C162" t="s">
        <v>22</v>
      </c>
      <c r="D162" t="s">
        <v>211</v>
      </c>
      <c r="E162" t="s">
        <v>135</v>
      </c>
      <c r="F162" s="4">
        <v>43214</v>
      </c>
      <c r="G162" s="5">
        <v>0.90902777777777777</v>
      </c>
      <c r="H162">
        <v>-76.722999999999999</v>
      </c>
      <c r="I162">
        <v>3.4794999999999998</v>
      </c>
      <c r="J162">
        <v>2</v>
      </c>
      <c r="K162" t="s">
        <v>119</v>
      </c>
      <c r="L162" t="s">
        <v>161</v>
      </c>
      <c r="M162">
        <v>2123</v>
      </c>
      <c r="N162" t="b">
        <v>1</v>
      </c>
      <c r="O162" t="s">
        <v>114</v>
      </c>
      <c r="P162">
        <v>25</v>
      </c>
      <c r="R162">
        <v>30</v>
      </c>
      <c r="S162" t="s">
        <v>159</v>
      </c>
      <c r="T162" t="s">
        <v>145</v>
      </c>
      <c r="V162" t="s">
        <v>8</v>
      </c>
      <c r="X162">
        <v>1</v>
      </c>
      <c r="AA162" t="s">
        <v>117</v>
      </c>
    </row>
    <row r="163" spans="1:27" x14ac:dyDescent="0.2">
      <c r="A163">
        <v>2018</v>
      </c>
      <c r="B163" t="s">
        <v>21</v>
      </c>
      <c r="C163" t="s">
        <v>22</v>
      </c>
      <c r="D163" t="s">
        <v>211</v>
      </c>
      <c r="E163" t="s">
        <v>135</v>
      </c>
      <c r="F163" s="4">
        <v>43214</v>
      </c>
      <c r="G163" s="5">
        <v>0.90972222222222221</v>
      </c>
      <c r="H163">
        <v>-76.722999999999999</v>
      </c>
      <c r="I163">
        <v>3.4794722222222219</v>
      </c>
      <c r="J163">
        <v>2</v>
      </c>
      <c r="K163" t="s">
        <v>112</v>
      </c>
      <c r="L163" t="s">
        <v>148</v>
      </c>
      <c r="M163">
        <v>2123</v>
      </c>
      <c r="N163" t="b">
        <v>1</v>
      </c>
      <c r="O163" t="s">
        <v>114</v>
      </c>
      <c r="P163">
        <v>15</v>
      </c>
      <c r="R163">
        <v>40</v>
      </c>
      <c r="S163" t="s">
        <v>159</v>
      </c>
      <c r="T163" t="s">
        <v>145</v>
      </c>
      <c r="V163" t="s">
        <v>8</v>
      </c>
      <c r="X163">
        <v>1</v>
      </c>
      <c r="AA163" t="s">
        <v>117</v>
      </c>
    </row>
    <row r="164" spans="1:27" x14ac:dyDescent="0.2">
      <c r="A164">
        <v>2018</v>
      </c>
      <c r="B164" t="s">
        <v>21</v>
      </c>
      <c r="C164" t="s">
        <v>22</v>
      </c>
      <c r="D164" t="s">
        <v>211</v>
      </c>
      <c r="E164" t="s">
        <v>135</v>
      </c>
      <c r="F164" s="4">
        <v>43214</v>
      </c>
      <c r="G164" s="5">
        <v>0.91111111111111109</v>
      </c>
      <c r="H164">
        <v>-76.722999999999999</v>
      </c>
      <c r="I164">
        <v>3.4794722222222219</v>
      </c>
      <c r="J164">
        <v>2</v>
      </c>
      <c r="K164" t="s">
        <v>119</v>
      </c>
      <c r="L164" t="s">
        <v>161</v>
      </c>
      <c r="M164">
        <v>2123</v>
      </c>
      <c r="N164" t="b">
        <v>1</v>
      </c>
      <c r="O164" t="s">
        <v>114</v>
      </c>
      <c r="P164">
        <v>15</v>
      </c>
      <c r="R164">
        <v>40</v>
      </c>
      <c r="S164" t="s">
        <v>159</v>
      </c>
      <c r="T164" t="s">
        <v>145</v>
      </c>
      <c r="V164" t="s">
        <v>8</v>
      </c>
      <c r="X164">
        <v>1</v>
      </c>
      <c r="AA164" t="s">
        <v>117</v>
      </c>
    </row>
    <row r="165" spans="1:27" x14ac:dyDescent="0.2">
      <c r="A165">
        <v>2018</v>
      </c>
      <c r="B165" t="s">
        <v>21</v>
      </c>
      <c r="C165" t="s">
        <v>22</v>
      </c>
      <c r="D165" t="s">
        <v>211</v>
      </c>
      <c r="E165" t="s">
        <v>135</v>
      </c>
      <c r="F165" s="4">
        <v>43214</v>
      </c>
      <c r="G165" s="5">
        <v>0.91249999999999998</v>
      </c>
      <c r="H165">
        <v>-76.722999999999999</v>
      </c>
      <c r="I165">
        <v>3.4794722222222219</v>
      </c>
      <c r="J165">
        <v>2</v>
      </c>
      <c r="K165" t="s">
        <v>112</v>
      </c>
      <c r="L165" t="s">
        <v>148</v>
      </c>
      <c r="M165">
        <v>2123</v>
      </c>
      <c r="N165" t="b">
        <v>1</v>
      </c>
      <c r="O165" t="s">
        <v>114</v>
      </c>
      <c r="P165">
        <v>12</v>
      </c>
      <c r="R165">
        <v>30</v>
      </c>
      <c r="S165" t="s">
        <v>159</v>
      </c>
      <c r="T165" t="s">
        <v>145</v>
      </c>
      <c r="V165" t="s">
        <v>8</v>
      </c>
      <c r="X165">
        <v>1</v>
      </c>
      <c r="AA165" t="s">
        <v>117</v>
      </c>
    </row>
    <row r="166" spans="1:27" x14ac:dyDescent="0.2">
      <c r="A166">
        <v>2018</v>
      </c>
      <c r="B166" t="s">
        <v>21</v>
      </c>
      <c r="C166" t="s">
        <v>22</v>
      </c>
      <c r="D166" t="s">
        <v>211</v>
      </c>
      <c r="E166" t="s">
        <v>135</v>
      </c>
      <c r="F166" s="4">
        <v>43214</v>
      </c>
      <c r="G166" s="5">
        <v>0.91319444444444442</v>
      </c>
      <c r="H166">
        <v>-76.722999999999999</v>
      </c>
      <c r="I166">
        <v>3.4794722222222219</v>
      </c>
      <c r="J166">
        <v>2</v>
      </c>
      <c r="K166" t="s">
        <v>119</v>
      </c>
      <c r="L166" t="s">
        <v>120</v>
      </c>
      <c r="M166">
        <v>2124</v>
      </c>
      <c r="N166" t="b">
        <v>1</v>
      </c>
      <c r="O166" t="s">
        <v>114</v>
      </c>
      <c r="P166">
        <v>18</v>
      </c>
      <c r="R166">
        <v>25</v>
      </c>
      <c r="S166" t="s">
        <v>159</v>
      </c>
      <c r="T166" t="s">
        <v>145</v>
      </c>
      <c r="V166" t="s">
        <v>8</v>
      </c>
      <c r="X166">
        <v>1</v>
      </c>
      <c r="AA166" t="s">
        <v>117</v>
      </c>
    </row>
    <row r="167" spans="1:27" x14ac:dyDescent="0.2">
      <c r="A167">
        <v>2018</v>
      </c>
      <c r="B167" t="s">
        <v>21</v>
      </c>
      <c r="C167" t="s">
        <v>22</v>
      </c>
      <c r="D167" t="s">
        <v>211</v>
      </c>
      <c r="E167" t="s">
        <v>135</v>
      </c>
      <c r="F167" s="4">
        <v>43214</v>
      </c>
      <c r="G167" s="5">
        <v>0.91597222222222219</v>
      </c>
      <c r="H167">
        <v>-76.722999999999999</v>
      </c>
      <c r="I167">
        <v>3.4794722222222219</v>
      </c>
      <c r="J167">
        <v>2</v>
      </c>
      <c r="K167" t="s">
        <v>112</v>
      </c>
      <c r="L167" t="s">
        <v>194</v>
      </c>
      <c r="M167">
        <v>2124</v>
      </c>
      <c r="N167" t="b">
        <v>1</v>
      </c>
      <c r="O167" t="s">
        <v>114</v>
      </c>
      <c r="P167">
        <v>18</v>
      </c>
      <c r="R167">
        <v>25</v>
      </c>
      <c r="S167" t="s">
        <v>159</v>
      </c>
      <c r="T167" t="s">
        <v>145</v>
      </c>
      <c r="V167" t="s">
        <v>8</v>
      </c>
      <c r="X167">
        <v>1</v>
      </c>
      <c r="AA167" t="s">
        <v>117</v>
      </c>
    </row>
    <row r="168" spans="1:27" x14ac:dyDescent="0.2">
      <c r="A168">
        <v>2018</v>
      </c>
      <c r="B168" t="s">
        <v>21</v>
      </c>
      <c r="C168" t="s">
        <v>22</v>
      </c>
      <c r="D168" t="s">
        <v>211</v>
      </c>
      <c r="E168" t="s">
        <v>135</v>
      </c>
      <c r="F168" s="4">
        <v>43214</v>
      </c>
      <c r="G168" s="5">
        <v>0.91805555555555551</v>
      </c>
      <c r="H168">
        <v>-76.723027777777773</v>
      </c>
      <c r="I168">
        <v>3.4794722222222219</v>
      </c>
      <c r="J168">
        <v>2</v>
      </c>
      <c r="K168" t="s">
        <v>119</v>
      </c>
      <c r="L168" t="s">
        <v>161</v>
      </c>
      <c r="M168">
        <v>2125</v>
      </c>
      <c r="N168" t="b">
        <v>1</v>
      </c>
      <c r="O168" t="s">
        <v>114</v>
      </c>
      <c r="P168">
        <v>18</v>
      </c>
      <c r="R168">
        <v>30</v>
      </c>
      <c r="S168" t="s">
        <v>159</v>
      </c>
      <c r="T168" t="s">
        <v>145</v>
      </c>
      <c r="U168" t="s">
        <v>213</v>
      </c>
      <c r="V168" t="s">
        <v>2</v>
      </c>
      <c r="X168">
        <v>1</v>
      </c>
      <c r="AA168" t="s">
        <v>117</v>
      </c>
    </row>
    <row r="169" spans="1:27" x14ac:dyDescent="0.2">
      <c r="A169">
        <v>2018</v>
      </c>
      <c r="B169" t="s">
        <v>21</v>
      </c>
      <c r="C169" t="s">
        <v>22</v>
      </c>
      <c r="D169" t="s">
        <v>211</v>
      </c>
      <c r="E169" t="s">
        <v>135</v>
      </c>
      <c r="F169" s="4">
        <v>43214</v>
      </c>
      <c r="G169" s="5">
        <v>0.91805555555555551</v>
      </c>
      <c r="H169">
        <v>-76.723027777777773</v>
      </c>
      <c r="I169">
        <v>3.4794722222222219</v>
      </c>
      <c r="J169">
        <v>2</v>
      </c>
      <c r="K169" t="s">
        <v>119</v>
      </c>
      <c r="L169" t="s">
        <v>161</v>
      </c>
      <c r="M169">
        <v>2125</v>
      </c>
      <c r="N169" t="b">
        <v>1</v>
      </c>
      <c r="O169" t="s">
        <v>114</v>
      </c>
      <c r="P169">
        <v>18</v>
      </c>
      <c r="R169">
        <v>30</v>
      </c>
      <c r="S169" t="s">
        <v>159</v>
      </c>
      <c r="T169" t="s">
        <v>145</v>
      </c>
      <c r="V169" t="s">
        <v>8</v>
      </c>
      <c r="X169">
        <v>1</v>
      </c>
      <c r="AA169" t="s">
        <v>117</v>
      </c>
    </row>
    <row r="170" spans="1:27" x14ac:dyDescent="0.2">
      <c r="A170">
        <v>2018</v>
      </c>
      <c r="B170" t="s">
        <v>21</v>
      </c>
      <c r="C170" t="s">
        <v>22</v>
      </c>
      <c r="D170" t="s">
        <v>211</v>
      </c>
      <c r="E170" t="s">
        <v>135</v>
      </c>
      <c r="F170" s="4">
        <v>43214</v>
      </c>
      <c r="G170" s="5">
        <v>0.91805555555555551</v>
      </c>
      <c r="H170">
        <v>-76.723027777777773</v>
      </c>
      <c r="I170">
        <v>3.4794722222222219</v>
      </c>
      <c r="J170">
        <v>2</v>
      </c>
      <c r="K170" t="s">
        <v>119</v>
      </c>
      <c r="L170" t="s">
        <v>161</v>
      </c>
      <c r="M170">
        <v>2125</v>
      </c>
      <c r="N170" t="b">
        <v>1</v>
      </c>
      <c r="O170" t="s">
        <v>114</v>
      </c>
      <c r="P170">
        <v>18</v>
      </c>
      <c r="R170">
        <v>30</v>
      </c>
      <c r="S170" t="s">
        <v>159</v>
      </c>
      <c r="T170" t="s">
        <v>145</v>
      </c>
      <c r="V170" t="s">
        <v>9</v>
      </c>
      <c r="X170">
        <v>1</v>
      </c>
      <c r="AA170" t="s">
        <v>117</v>
      </c>
    </row>
    <row r="171" spans="1:27" x14ac:dyDescent="0.2">
      <c r="A171">
        <v>2018</v>
      </c>
      <c r="B171" t="s">
        <v>21</v>
      </c>
      <c r="C171" t="s">
        <v>22</v>
      </c>
      <c r="D171" t="s">
        <v>211</v>
      </c>
      <c r="E171" t="s">
        <v>135</v>
      </c>
      <c r="F171" s="4">
        <v>43214</v>
      </c>
      <c r="G171" s="5">
        <v>0.91805555555555551</v>
      </c>
      <c r="H171">
        <v>-76.723027777777773</v>
      </c>
      <c r="I171">
        <v>3.4794722222222219</v>
      </c>
      <c r="J171">
        <v>2</v>
      </c>
      <c r="K171" t="s">
        <v>119</v>
      </c>
      <c r="L171" t="s">
        <v>161</v>
      </c>
      <c r="M171">
        <v>2125</v>
      </c>
      <c r="N171" t="b">
        <v>1</v>
      </c>
      <c r="O171" t="s">
        <v>114</v>
      </c>
      <c r="P171">
        <v>18</v>
      </c>
      <c r="R171">
        <v>30</v>
      </c>
      <c r="S171" t="s">
        <v>159</v>
      </c>
      <c r="T171" t="s">
        <v>145</v>
      </c>
      <c r="V171" t="s">
        <v>2</v>
      </c>
      <c r="X171">
        <v>1</v>
      </c>
      <c r="AA171" t="s">
        <v>117</v>
      </c>
    </row>
    <row r="172" spans="1:27" x14ac:dyDescent="0.2">
      <c r="A172">
        <v>2018</v>
      </c>
      <c r="B172" t="s">
        <v>21</v>
      </c>
      <c r="C172" t="s">
        <v>22</v>
      </c>
      <c r="D172" t="s">
        <v>211</v>
      </c>
      <c r="E172" t="s">
        <v>135</v>
      </c>
      <c r="F172" s="4">
        <v>43214</v>
      </c>
      <c r="G172" s="5">
        <v>0.92222222222222228</v>
      </c>
      <c r="H172">
        <v>-76.722999999999999</v>
      </c>
      <c r="I172">
        <v>3.4793611111111109</v>
      </c>
      <c r="J172">
        <v>2</v>
      </c>
      <c r="K172" t="s">
        <v>119</v>
      </c>
      <c r="L172" t="s">
        <v>161</v>
      </c>
      <c r="M172">
        <v>2125</v>
      </c>
      <c r="N172" t="b">
        <v>1</v>
      </c>
      <c r="O172" t="s">
        <v>114</v>
      </c>
      <c r="P172">
        <v>19</v>
      </c>
      <c r="R172">
        <v>50</v>
      </c>
      <c r="S172" t="s">
        <v>159</v>
      </c>
      <c r="T172" t="s">
        <v>145</v>
      </c>
      <c r="V172" t="s">
        <v>8</v>
      </c>
      <c r="X172">
        <v>1</v>
      </c>
      <c r="AA172" t="s">
        <v>117</v>
      </c>
    </row>
    <row r="173" spans="1:27" x14ac:dyDescent="0.2">
      <c r="A173">
        <v>2018</v>
      </c>
      <c r="B173" t="s">
        <v>21</v>
      </c>
      <c r="C173" t="s">
        <v>22</v>
      </c>
      <c r="D173" t="s">
        <v>211</v>
      </c>
      <c r="E173" t="s">
        <v>135</v>
      </c>
      <c r="F173" s="4">
        <v>43214</v>
      </c>
      <c r="G173" s="5">
        <v>0.92361111111111116</v>
      </c>
      <c r="H173">
        <v>-76.722999999999999</v>
      </c>
      <c r="I173">
        <v>3.4793611111111109</v>
      </c>
      <c r="J173">
        <v>2</v>
      </c>
      <c r="K173" t="s">
        <v>112</v>
      </c>
      <c r="L173" t="s">
        <v>194</v>
      </c>
      <c r="M173">
        <v>2125</v>
      </c>
      <c r="N173" t="b">
        <v>1</v>
      </c>
      <c r="O173" t="s">
        <v>114</v>
      </c>
      <c r="P173">
        <v>19</v>
      </c>
      <c r="R173">
        <v>50</v>
      </c>
      <c r="S173" t="s">
        <v>159</v>
      </c>
      <c r="T173" t="s">
        <v>145</v>
      </c>
      <c r="V173" t="s">
        <v>8</v>
      </c>
      <c r="X173">
        <v>1</v>
      </c>
      <c r="Y173">
        <v>87</v>
      </c>
      <c r="Z173">
        <v>16.5</v>
      </c>
      <c r="AA173" t="s">
        <v>117</v>
      </c>
    </row>
    <row r="174" spans="1:27" x14ac:dyDescent="0.2">
      <c r="A174">
        <v>2018</v>
      </c>
      <c r="B174" t="s">
        <v>21</v>
      </c>
      <c r="C174" t="s">
        <v>22</v>
      </c>
      <c r="D174" t="s">
        <v>214</v>
      </c>
      <c r="E174" t="s">
        <v>127</v>
      </c>
      <c r="F174" s="4">
        <v>43214</v>
      </c>
      <c r="G174" s="5">
        <v>0.9375</v>
      </c>
      <c r="H174">
        <v>-76.722861111111115</v>
      </c>
      <c r="I174">
        <v>3.4789444444444451</v>
      </c>
      <c r="J174">
        <v>2</v>
      </c>
      <c r="K174" t="s">
        <v>119</v>
      </c>
      <c r="L174" t="s">
        <v>120</v>
      </c>
      <c r="M174">
        <v>2143</v>
      </c>
      <c r="N174" t="b">
        <v>1</v>
      </c>
      <c r="O174" t="s">
        <v>114</v>
      </c>
      <c r="P174">
        <v>18</v>
      </c>
      <c r="R174">
        <v>35</v>
      </c>
      <c r="S174" t="s">
        <v>159</v>
      </c>
      <c r="T174" t="s">
        <v>145</v>
      </c>
      <c r="V174" t="s">
        <v>8</v>
      </c>
      <c r="X174">
        <v>1</v>
      </c>
      <c r="Y174">
        <v>87</v>
      </c>
      <c r="Z174">
        <v>17.3</v>
      </c>
      <c r="AA174" t="s">
        <v>117</v>
      </c>
    </row>
    <row r="175" spans="1:27" x14ac:dyDescent="0.2">
      <c r="A175">
        <v>2018</v>
      </c>
      <c r="B175" t="s">
        <v>21</v>
      </c>
      <c r="C175" t="s">
        <v>22</v>
      </c>
      <c r="D175" t="s">
        <v>214</v>
      </c>
      <c r="E175" t="s">
        <v>127</v>
      </c>
      <c r="F175" s="4">
        <v>43214</v>
      </c>
      <c r="G175" s="5">
        <v>0.93888888888888888</v>
      </c>
      <c r="H175">
        <v>-76.722861111111115</v>
      </c>
      <c r="I175">
        <v>3.4789444444444451</v>
      </c>
      <c r="J175">
        <v>2</v>
      </c>
      <c r="K175" t="s">
        <v>112</v>
      </c>
      <c r="L175" t="s">
        <v>148</v>
      </c>
      <c r="M175">
        <v>2143</v>
      </c>
      <c r="N175" t="b">
        <v>1</v>
      </c>
      <c r="O175" t="s">
        <v>114</v>
      </c>
      <c r="P175">
        <v>18</v>
      </c>
      <c r="R175">
        <v>35</v>
      </c>
      <c r="S175" t="s">
        <v>159</v>
      </c>
      <c r="T175" t="s">
        <v>145</v>
      </c>
      <c r="V175" t="s">
        <v>8</v>
      </c>
      <c r="X175">
        <v>1</v>
      </c>
      <c r="AA175" t="s">
        <v>117</v>
      </c>
    </row>
    <row r="176" spans="1:27" x14ac:dyDescent="0.2">
      <c r="A176">
        <v>2018</v>
      </c>
      <c r="B176" t="s">
        <v>21</v>
      </c>
      <c r="C176" t="s">
        <v>22</v>
      </c>
      <c r="D176" t="s">
        <v>214</v>
      </c>
      <c r="E176" t="s">
        <v>127</v>
      </c>
      <c r="F176" s="4">
        <v>43214</v>
      </c>
      <c r="G176" s="5">
        <v>0.94027777777777777</v>
      </c>
      <c r="H176">
        <v>-76.722805555555553</v>
      </c>
      <c r="I176">
        <v>3.4788888888888891</v>
      </c>
      <c r="J176">
        <v>2</v>
      </c>
      <c r="K176" t="s">
        <v>119</v>
      </c>
      <c r="L176" t="s">
        <v>120</v>
      </c>
      <c r="M176">
        <v>2142</v>
      </c>
      <c r="N176" t="b">
        <v>1</v>
      </c>
      <c r="O176" t="s">
        <v>114</v>
      </c>
      <c r="P176">
        <v>22</v>
      </c>
      <c r="R176">
        <v>45</v>
      </c>
      <c r="S176" t="s">
        <v>159</v>
      </c>
      <c r="T176" t="s">
        <v>145</v>
      </c>
      <c r="V176" t="s">
        <v>8</v>
      </c>
      <c r="X176">
        <v>1</v>
      </c>
      <c r="AA176" t="s">
        <v>117</v>
      </c>
    </row>
    <row r="177" spans="1:27" x14ac:dyDescent="0.2">
      <c r="A177">
        <v>2018</v>
      </c>
      <c r="B177" t="s">
        <v>21</v>
      </c>
      <c r="C177" t="s">
        <v>22</v>
      </c>
      <c r="D177" t="s">
        <v>214</v>
      </c>
      <c r="E177" t="s">
        <v>127</v>
      </c>
      <c r="F177" s="4">
        <v>43214</v>
      </c>
      <c r="G177" s="5">
        <v>0.94166666666666665</v>
      </c>
      <c r="H177">
        <v>-76.722805555555553</v>
      </c>
      <c r="I177">
        <v>3.4788888888888891</v>
      </c>
      <c r="J177">
        <v>2</v>
      </c>
      <c r="K177" t="s">
        <v>119</v>
      </c>
      <c r="L177" t="s">
        <v>194</v>
      </c>
      <c r="M177">
        <v>2142</v>
      </c>
      <c r="N177" t="b">
        <v>1</v>
      </c>
      <c r="O177" t="s">
        <v>114</v>
      </c>
      <c r="P177">
        <v>22</v>
      </c>
      <c r="R177">
        <v>45</v>
      </c>
      <c r="S177" t="s">
        <v>159</v>
      </c>
      <c r="T177" t="s">
        <v>145</v>
      </c>
      <c r="V177" t="s">
        <v>8</v>
      </c>
      <c r="X177">
        <v>1</v>
      </c>
      <c r="AA177" t="s">
        <v>117</v>
      </c>
    </row>
    <row r="178" spans="1:27" x14ac:dyDescent="0.2">
      <c r="A178">
        <v>2018</v>
      </c>
      <c r="B178" t="s">
        <v>21</v>
      </c>
      <c r="C178" t="s">
        <v>22</v>
      </c>
      <c r="D178" t="s">
        <v>214</v>
      </c>
      <c r="E178" t="s">
        <v>127</v>
      </c>
      <c r="F178" s="4">
        <v>43214</v>
      </c>
      <c r="G178" s="5">
        <v>0.94374999999999998</v>
      </c>
      <c r="H178">
        <v>-76.722805555555553</v>
      </c>
      <c r="I178">
        <v>3.4788611111111112</v>
      </c>
      <c r="J178">
        <v>2</v>
      </c>
      <c r="K178" t="s">
        <v>119</v>
      </c>
      <c r="L178" t="s">
        <v>120</v>
      </c>
      <c r="M178">
        <v>2141</v>
      </c>
      <c r="N178" t="b">
        <v>1</v>
      </c>
      <c r="O178" t="s">
        <v>114</v>
      </c>
      <c r="P178">
        <v>19</v>
      </c>
      <c r="R178">
        <v>20</v>
      </c>
      <c r="S178" t="s">
        <v>159</v>
      </c>
      <c r="T178" t="s">
        <v>145</v>
      </c>
      <c r="V178" t="s">
        <v>8</v>
      </c>
      <c r="X178">
        <v>1</v>
      </c>
      <c r="AA178" t="s">
        <v>117</v>
      </c>
    </row>
    <row r="179" spans="1:27" x14ac:dyDescent="0.2">
      <c r="A179">
        <v>2018</v>
      </c>
      <c r="B179" t="s">
        <v>21</v>
      </c>
      <c r="C179" t="s">
        <v>22</v>
      </c>
      <c r="D179" t="s">
        <v>214</v>
      </c>
      <c r="E179" t="s">
        <v>127</v>
      </c>
      <c r="F179" s="4">
        <v>43214</v>
      </c>
      <c r="G179" s="5">
        <v>0.94513888888888886</v>
      </c>
      <c r="H179">
        <v>-76.722833333333341</v>
      </c>
      <c r="I179">
        <v>3.4787499999999998</v>
      </c>
      <c r="J179">
        <v>2</v>
      </c>
      <c r="K179" t="s">
        <v>112</v>
      </c>
      <c r="L179" t="s">
        <v>194</v>
      </c>
      <c r="M179">
        <v>2138</v>
      </c>
      <c r="N179" t="b">
        <v>1</v>
      </c>
      <c r="O179" t="s">
        <v>114</v>
      </c>
      <c r="P179">
        <v>18</v>
      </c>
      <c r="R179">
        <v>30</v>
      </c>
      <c r="S179" t="s">
        <v>159</v>
      </c>
      <c r="T179" t="s">
        <v>145</v>
      </c>
      <c r="V179" t="s">
        <v>8</v>
      </c>
      <c r="X179">
        <v>1</v>
      </c>
      <c r="AA179" t="s">
        <v>117</v>
      </c>
    </row>
    <row r="180" spans="1:27" x14ac:dyDescent="0.2">
      <c r="A180">
        <v>2018</v>
      </c>
      <c r="B180" t="s">
        <v>21</v>
      </c>
      <c r="C180" t="s">
        <v>22</v>
      </c>
      <c r="D180" t="s">
        <v>214</v>
      </c>
      <c r="E180" t="s">
        <v>127</v>
      </c>
      <c r="F180" s="4">
        <v>43214</v>
      </c>
      <c r="G180" s="5">
        <v>0.94930555555555551</v>
      </c>
      <c r="H180">
        <v>-76.722805555555553</v>
      </c>
      <c r="I180">
        <v>3.4786388888888888</v>
      </c>
      <c r="J180">
        <v>2</v>
      </c>
      <c r="K180" t="s">
        <v>119</v>
      </c>
      <c r="L180" t="s">
        <v>120</v>
      </c>
      <c r="M180">
        <v>2140</v>
      </c>
      <c r="N180" t="b">
        <v>1</v>
      </c>
      <c r="O180" t="s">
        <v>114</v>
      </c>
      <c r="P180">
        <v>17</v>
      </c>
      <c r="R180">
        <v>15</v>
      </c>
      <c r="S180" t="s">
        <v>159</v>
      </c>
      <c r="T180" t="s">
        <v>145</v>
      </c>
      <c r="V180" t="s">
        <v>8</v>
      </c>
      <c r="X180">
        <v>1</v>
      </c>
      <c r="AA180" t="s">
        <v>117</v>
      </c>
    </row>
    <row r="181" spans="1:27" x14ac:dyDescent="0.2">
      <c r="A181">
        <v>2018</v>
      </c>
      <c r="B181" t="s">
        <v>21</v>
      </c>
      <c r="C181" t="s">
        <v>22</v>
      </c>
      <c r="D181" t="s">
        <v>214</v>
      </c>
      <c r="E181" t="s">
        <v>127</v>
      </c>
      <c r="F181" s="4">
        <v>43214</v>
      </c>
      <c r="G181" s="5">
        <v>0.9506944444444444</v>
      </c>
      <c r="H181">
        <v>-76.722805555555553</v>
      </c>
      <c r="I181">
        <v>3.4786388888888888</v>
      </c>
      <c r="J181">
        <v>2</v>
      </c>
      <c r="K181" t="s">
        <v>119</v>
      </c>
      <c r="L181" t="s">
        <v>161</v>
      </c>
      <c r="M181">
        <v>2140</v>
      </c>
      <c r="N181" t="b">
        <v>1</v>
      </c>
      <c r="O181" t="s">
        <v>114</v>
      </c>
      <c r="P181">
        <v>10</v>
      </c>
      <c r="R181">
        <v>40</v>
      </c>
      <c r="S181" t="s">
        <v>159</v>
      </c>
      <c r="T181" t="s">
        <v>145</v>
      </c>
      <c r="V181" t="s">
        <v>8</v>
      </c>
      <c r="X181">
        <v>1</v>
      </c>
      <c r="AA181" t="s">
        <v>117</v>
      </c>
    </row>
    <row r="182" spans="1:27" x14ac:dyDescent="0.2">
      <c r="A182">
        <v>2018</v>
      </c>
      <c r="B182" t="s">
        <v>21</v>
      </c>
      <c r="C182" t="s">
        <v>22</v>
      </c>
      <c r="D182" t="s">
        <v>214</v>
      </c>
      <c r="E182" t="s">
        <v>127</v>
      </c>
      <c r="F182" s="4">
        <v>43214</v>
      </c>
      <c r="G182" s="5">
        <v>0.95486111111111116</v>
      </c>
      <c r="H182">
        <v>-76.722750000000005</v>
      </c>
      <c r="I182">
        <v>3.4785833333333329</v>
      </c>
      <c r="J182">
        <v>2</v>
      </c>
      <c r="K182" t="s">
        <v>112</v>
      </c>
      <c r="L182" t="s">
        <v>194</v>
      </c>
      <c r="M182">
        <v>2139</v>
      </c>
      <c r="N182" t="b">
        <v>1</v>
      </c>
      <c r="O182" t="s">
        <v>114</v>
      </c>
      <c r="P182">
        <v>20</v>
      </c>
      <c r="R182">
        <v>30</v>
      </c>
      <c r="S182" t="s">
        <v>159</v>
      </c>
      <c r="T182" t="s">
        <v>145</v>
      </c>
      <c r="V182" t="s">
        <v>40</v>
      </c>
      <c r="X182">
        <v>1</v>
      </c>
      <c r="AA182" t="s">
        <v>117</v>
      </c>
    </row>
    <row r="183" spans="1:27" x14ac:dyDescent="0.2">
      <c r="A183">
        <v>2018</v>
      </c>
      <c r="B183" t="s">
        <v>21</v>
      </c>
      <c r="C183" t="s">
        <v>22</v>
      </c>
      <c r="D183" t="s">
        <v>214</v>
      </c>
      <c r="E183" t="s">
        <v>127</v>
      </c>
      <c r="F183" s="4">
        <v>43214</v>
      </c>
      <c r="G183" s="5">
        <v>0.95694444444444449</v>
      </c>
      <c r="H183">
        <v>-76.722750000000005</v>
      </c>
      <c r="I183">
        <v>3.4785833333333329</v>
      </c>
      <c r="J183">
        <v>2</v>
      </c>
      <c r="K183" t="s">
        <v>119</v>
      </c>
      <c r="L183" t="s">
        <v>161</v>
      </c>
      <c r="M183">
        <v>2139</v>
      </c>
      <c r="N183" t="b">
        <v>1</v>
      </c>
      <c r="O183" t="s">
        <v>114</v>
      </c>
      <c r="P183">
        <v>18</v>
      </c>
      <c r="R183">
        <v>60</v>
      </c>
      <c r="S183" t="s">
        <v>159</v>
      </c>
      <c r="T183" t="s">
        <v>145</v>
      </c>
      <c r="U183" t="s">
        <v>215</v>
      </c>
      <c r="V183" t="s">
        <v>41</v>
      </c>
      <c r="X183">
        <v>1</v>
      </c>
      <c r="AA183" t="s">
        <v>117</v>
      </c>
    </row>
    <row r="184" spans="1:27" x14ac:dyDescent="0.2">
      <c r="A184">
        <v>2018</v>
      </c>
      <c r="B184" t="s">
        <v>21</v>
      </c>
      <c r="C184" t="s">
        <v>22</v>
      </c>
      <c r="D184" t="s">
        <v>214</v>
      </c>
      <c r="E184" t="s">
        <v>127</v>
      </c>
      <c r="F184" s="4">
        <v>43214</v>
      </c>
      <c r="G184" s="5">
        <v>0.95694444444444449</v>
      </c>
      <c r="H184">
        <v>-76.722750000000005</v>
      </c>
      <c r="I184">
        <v>3.4785833333333329</v>
      </c>
      <c r="J184">
        <v>2</v>
      </c>
      <c r="K184" t="s">
        <v>119</v>
      </c>
      <c r="L184" t="s">
        <v>120</v>
      </c>
      <c r="M184">
        <v>2130</v>
      </c>
      <c r="N184" t="b">
        <v>1</v>
      </c>
      <c r="O184" t="s">
        <v>114</v>
      </c>
      <c r="P184">
        <v>18</v>
      </c>
      <c r="R184">
        <v>60</v>
      </c>
      <c r="S184" t="s">
        <v>159</v>
      </c>
      <c r="T184" t="s">
        <v>145</v>
      </c>
      <c r="V184" t="s">
        <v>8</v>
      </c>
      <c r="X184">
        <v>1</v>
      </c>
      <c r="AA184" t="s">
        <v>117</v>
      </c>
    </row>
    <row r="185" spans="1:27" x14ac:dyDescent="0.2">
      <c r="A185">
        <v>2018</v>
      </c>
      <c r="B185" t="s">
        <v>21</v>
      </c>
      <c r="C185" t="s">
        <v>22</v>
      </c>
      <c r="D185" t="s">
        <v>214</v>
      </c>
      <c r="E185" t="s">
        <v>127</v>
      </c>
      <c r="F185" s="4">
        <v>43214</v>
      </c>
      <c r="G185" s="5">
        <v>0.96250000000000002</v>
      </c>
      <c r="H185">
        <v>-76.722750000000005</v>
      </c>
      <c r="I185">
        <v>3.4785555555555558</v>
      </c>
      <c r="J185">
        <v>2</v>
      </c>
      <c r="K185" t="s">
        <v>119</v>
      </c>
      <c r="L185" t="s">
        <v>148</v>
      </c>
      <c r="M185">
        <v>2139</v>
      </c>
      <c r="N185" t="b">
        <v>1</v>
      </c>
      <c r="O185" t="s">
        <v>114</v>
      </c>
      <c r="P185">
        <v>12</v>
      </c>
      <c r="R185">
        <v>30</v>
      </c>
      <c r="S185" t="s">
        <v>159</v>
      </c>
      <c r="T185" t="s">
        <v>145</v>
      </c>
      <c r="V185" t="s">
        <v>9</v>
      </c>
      <c r="X185">
        <v>1</v>
      </c>
      <c r="AA185" t="s">
        <v>117</v>
      </c>
    </row>
    <row r="186" spans="1:27" x14ac:dyDescent="0.2">
      <c r="A186">
        <v>2018</v>
      </c>
      <c r="B186" t="s">
        <v>21</v>
      </c>
      <c r="C186" t="s">
        <v>22</v>
      </c>
      <c r="D186" t="s">
        <v>214</v>
      </c>
      <c r="E186" t="s">
        <v>127</v>
      </c>
      <c r="F186" s="4">
        <v>43214</v>
      </c>
      <c r="G186" s="5">
        <v>0.96458333333333335</v>
      </c>
      <c r="H186">
        <v>-76.722805555555553</v>
      </c>
      <c r="I186">
        <v>3.4784166666666669</v>
      </c>
      <c r="J186">
        <v>2</v>
      </c>
      <c r="K186" t="s">
        <v>112</v>
      </c>
      <c r="L186" t="s">
        <v>148</v>
      </c>
      <c r="M186">
        <v>2140</v>
      </c>
      <c r="N186" t="b">
        <v>1</v>
      </c>
      <c r="O186" t="s">
        <v>114</v>
      </c>
      <c r="P186">
        <v>14</v>
      </c>
      <c r="R186">
        <v>30</v>
      </c>
      <c r="S186" t="s">
        <v>159</v>
      </c>
      <c r="T186" t="s">
        <v>145</v>
      </c>
      <c r="V186" t="s">
        <v>8</v>
      </c>
      <c r="X186">
        <v>1</v>
      </c>
      <c r="AA186" t="s">
        <v>117</v>
      </c>
    </row>
    <row r="187" spans="1:27" x14ac:dyDescent="0.2">
      <c r="A187">
        <v>2018</v>
      </c>
      <c r="B187" t="s">
        <v>21</v>
      </c>
      <c r="C187" t="s">
        <v>22</v>
      </c>
      <c r="D187" t="s">
        <v>214</v>
      </c>
      <c r="E187" t="s">
        <v>127</v>
      </c>
      <c r="F187" s="4">
        <v>43214</v>
      </c>
      <c r="G187" s="5">
        <v>0.96527777777777779</v>
      </c>
      <c r="H187">
        <v>-76.722805555555553</v>
      </c>
      <c r="I187">
        <v>3.4784166666666669</v>
      </c>
      <c r="J187">
        <v>2</v>
      </c>
      <c r="K187" t="s">
        <v>119</v>
      </c>
      <c r="L187" t="s">
        <v>120</v>
      </c>
      <c r="M187">
        <v>2140</v>
      </c>
      <c r="N187" t="b">
        <v>1</v>
      </c>
      <c r="O187" t="s">
        <v>114</v>
      </c>
      <c r="P187">
        <v>24</v>
      </c>
      <c r="R187">
        <v>40</v>
      </c>
      <c r="S187" t="s">
        <v>185</v>
      </c>
      <c r="T187" t="s">
        <v>145</v>
      </c>
      <c r="U187" t="s">
        <v>216</v>
      </c>
      <c r="V187" t="s">
        <v>4</v>
      </c>
      <c r="X187">
        <v>1</v>
      </c>
      <c r="Y187">
        <v>81</v>
      </c>
      <c r="Z187">
        <v>16.2</v>
      </c>
      <c r="AA187" t="s">
        <v>117</v>
      </c>
    </row>
    <row r="188" spans="1:27" x14ac:dyDescent="0.2">
      <c r="A188">
        <v>2018</v>
      </c>
      <c r="B188" t="s">
        <v>21</v>
      </c>
      <c r="C188" t="s">
        <v>22</v>
      </c>
      <c r="D188" t="s">
        <v>214</v>
      </c>
      <c r="E188" t="s">
        <v>127</v>
      </c>
      <c r="F188" s="4">
        <v>43214</v>
      </c>
      <c r="G188" s="5">
        <v>0.9770833333333333</v>
      </c>
      <c r="H188">
        <v>-76.722694444444443</v>
      </c>
      <c r="I188">
        <v>3.4780555555555561</v>
      </c>
      <c r="J188">
        <v>2</v>
      </c>
      <c r="K188" t="s">
        <v>119</v>
      </c>
      <c r="L188" t="s">
        <v>120</v>
      </c>
      <c r="M188">
        <v>2142</v>
      </c>
      <c r="N188" t="b">
        <v>1</v>
      </c>
      <c r="O188" t="s">
        <v>114</v>
      </c>
      <c r="P188">
        <v>15</v>
      </c>
      <c r="R188">
        <v>15</v>
      </c>
      <c r="S188" t="s">
        <v>185</v>
      </c>
      <c r="T188" t="s">
        <v>145</v>
      </c>
      <c r="V188" t="s">
        <v>4</v>
      </c>
      <c r="X188">
        <v>1</v>
      </c>
      <c r="AA188" t="s">
        <v>117</v>
      </c>
    </row>
    <row r="189" spans="1:27" x14ac:dyDescent="0.2">
      <c r="A189">
        <v>2018</v>
      </c>
      <c r="B189" t="s">
        <v>21</v>
      </c>
      <c r="C189" t="s">
        <v>22</v>
      </c>
      <c r="D189" t="s">
        <v>217</v>
      </c>
      <c r="E189" t="s">
        <v>122</v>
      </c>
      <c r="F189" s="4">
        <v>43214</v>
      </c>
      <c r="G189" s="5">
        <v>0.9819444444444444</v>
      </c>
      <c r="H189">
        <v>-76.722722222222231</v>
      </c>
      <c r="I189">
        <v>3.4778333333333329</v>
      </c>
      <c r="J189">
        <v>2</v>
      </c>
      <c r="K189" t="s">
        <v>119</v>
      </c>
      <c r="L189" t="s">
        <v>161</v>
      </c>
      <c r="M189">
        <v>2145</v>
      </c>
      <c r="N189" t="b">
        <v>1</v>
      </c>
      <c r="O189" t="s">
        <v>114</v>
      </c>
      <c r="P189">
        <v>20</v>
      </c>
      <c r="R189">
        <v>25</v>
      </c>
      <c r="S189" t="s">
        <v>159</v>
      </c>
      <c r="T189" t="s">
        <v>145</v>
      </c>
      <c r="V189" t="s">
        <v>8</v>
      </c>
      <c r="X189">
        <v>1</v>
      </c>
      <c r="AA189" t="s">
        <v>117</v>
      </c>
    </row>
    <row r="190" spans="1:27" x14ac:dyDescent="0.2">
      <c r="A190">
        <v>2018</v>
      </c>
      <c r="B190" t="s">
        <v>21</v>
      </c>
      <c r="C190" t="s">
        <v>22</v>
      </c>
      <c r="D190" t="s">
        <v>217</v>
      </c>
      <c r="E190" t="s">
        <v>122</v>
      </c>
      <c r="F190" s="4">
        <v>43214</v>
      </c>
      <c r="G190" s="5">
        <v>0.98333333333333328</v>
      </c>
      <c r="H190">
        <v>-76.722694444444443</v>
      </c>
      <c r="I190">
        <v>3.4778333333333329</v>
      </c>
      <c r="J190">
        <v>2</v>
      </c>
      <c r="K190" t="s">
        <v>119</v>
      </c>
      <c r="L190" t="s">
        <v>120</v>
      </c>
      <c r="M190">
        <v>2145</v>
      </c>
      <c r="N190" t="b">
        <v>1</v>
      </c>
      <c r="O190" t="s">
        <v>114</v>
      </c>
      <c r="P190">
        <v>10</v>
      </c>
      <c r="R190">
        <v>15</v>
      </c>
      <c r="S190" t="s">
        <v>159</v>
      </c>
      <c r="T190" t="s">
        <v>145</v>
      </c>
      <c r="U190" t="s">
        <v>218</v>
      </c>
      <c r="V190" t="s">
        <v>2</v>
      </c>
      <c r="X190">
        <v>1</v>
      </c>
      <c r="AA190" t="s">
        <v>117</v>
      </c>
    </row>
    <row r="191" spans="1:27" x14ac:dyDescent="0.2">
      <c r="A191">
        <v>2018</v>
      </c>
      <c r="B191" t="s">
        <v>21</v>
      </c>
      <c r="C191" t="s">
        <v>22</v>
      </c>
      <c r="D191" t="s">
        <v>217</v>
      </c>
      <c r="E191" t="s">
        <v>122</v>
      </c>
      <c r="F191" s="4">
        <v>43214</v>
      </c>
      <c r="G191" s="5">
        <v>0.98333333333333328</v>
      </c>
      <c r="H191">
        <v>-76.722694444444443</v>
      </c>
      <c r="I191">
        <v>3.4778333333333329</v>
      </c>
      <c r="J191">
        <v>2</v>
      </c>
      <c r="K191" t="s">
        <v>112</v>
      </c>
      <c r="L191" t="s">
        <v>148</v>
      </c>
      <c r="M191">
        <v>2145</v>
      </c>
      <c r="N191" t="b">
        <v>1</v>
      </c>
      <c r="O191" t="s">
        <v>114</v>
      </c>
      <c r="P191">
        <v>10</v>
      </c>
      <c r="R191">
        <v>15</v>
      </c>
      <c r="S191" t="s">
        <v>159</v>
      </c>
      <c r="T191" t="s">
        <v>145</v>
      </c>
      <c r="V191" t="s">
        <v>8</v>
      </c>
      <c r="X191">
        <v>1</v>
      </c>
      <c r="AA191" t="s">
        <v>117</v>
      </c>
    </row>
    <row r="192" spans="1:27" x14ac:dyDescent="0.2">
      <c r="A192">
        <v>2018</v>
      </c>
      <c r="B192" t="s">
        <v>21</v>
      </c>
      <c r="C192" t="s">
        <v>22</v>
      </c>
      <c r="D192" t="s">
        <v>217</v>
      </c>
      <c r="E192" t="s">
        <v>122</v>
      </c>
      <c r="F192" s="4">
        <v>43214</v>
      </c>
      <c r="G192" s="5">
        <v>0.98611111111111116</v>
      </c>
      <c r="H192">
        <v>-76.722694444444443</v>
      </c>
      <c r="I192">
        <v>3.4778333333333329</v>
      </c>
      <c r="J192">
        <v>2</v>
      </c>
      <c r="K192" t="s">
        <v>112</v>
      </c>
      <c r="L192" t="s">
        <v>148</v>
      </c>
      <c r="M192">
        <v>2145</v>
      </c>
      <c r="N192" t="b">
        <v>1</v>
      </c>
      <c r="O192" t="s">
        <v>114</v>
      </c>
      <c r="P192">
        <v>10</v>
      </c>
      <c r="R192">
        <v>15</v>
      </c>
      <c r="S192" t="s">
        <v>159</v>
      </c>
      <c r="T192" t="s">
        <v>145</v>
      </c>
      <c r="V192" t="s">
        <v>8</v>
      </c>
      <c r="X192">
        <v>1</v>
      </c>
      <c r="AA192" t="s">
        <v>117</v>
      </c>
    </row>
    <row r="193" spans="1:27" x14ac:dyDescent="0.2">
      <c r="A193">
        <v>2018</v>
      </c>
      <c r="B193" t="s">
        <v>21</v>
      </c>
      <c r="C193" t="s">
        <v>22</v>
      </c>
      <c r="D193" t="s">
        <v>217</v>
      </c>
      <c r="E193" t="s">
        <v>122</v>
      </c>
      <c r="F193" s="4">
        <v>43214</v>
      </c>
      <c r="G193" s="5">
        <v>0.9868055555555556</v>
      </c>
      <c r="H193">
        <v>-76.722694444444443</v>
      </c>
      <c r="I193">
        <v>3.4778055555555558</v>
      </c>
      <c r="J193">
        <v>2</v>
      </c>
      <c r="K193" t="s">
        <v>119</v>
      </c>
      <c r="L193" t="s">
        <v>161</v>
      </c>
      <c r="M193">
        <v>2146</v>
      </c>
      <c r="N193" t="b">
        <v>1</v>
      </c>
      <c r="O193" t="s">
        <v>114</v>
      </c>
      <c r="P193">
        <v>15</v>
      </c>
      <c r="R193">
        <v>25</v>
      </c>
      <c r="S193" t="s">
        <v>159</v>
      </c>
      <c r="T193" t="s">
        <v>145</v>
      </c>
      <c r="V193" t="s">
        <v>8</v>
      </c>
      <c r="X193">
        <v>1</v>
      </c>
      <c r="AA193" t="s">
        <v>117</v>
      </c>
    </row>
    <row r="194" spans="1:27" x14ac:dyDescent="0.2">
      <c r="A194">
        <v>2018</v>
      </c>
      <c r="B194" t="s">
        <v>21</v>
      </c>
      <c r="C194" t="s">
        <v>22</v>
      </c>
      <c r="D194" t="s">
        <v>217</v>
      </c>
      <c r="E194" t="s">
        <v>122</v>
      </c>
      <c r="F194" s="4">
        <v>43214</v>
      </c>
      <c r="G194" s="5">
        <v>0.99097222222222225</v>
      </c>
      <c r="H194">
        <v>-76.722694444444443</v>
      </c>
      <c r="I194">
        <v>3.4778055555555558</v>
      </c>
      <c r="J194">
        <v>2</v>
      </c>
      <c r="K194" t="s">
        <v>112</v>
      </c>
      <c r="L194" t="s">
        <v>148</v>
      </c>
      <c r="M194">
        <v>2147</v>
      </c>
      <c r="N194" t="b">
        <v>1</v>
      </c>
      <c r="O194" t="s">
        <v>114</v>
      </c>
      <c r="P194">
        <v>18</v>
      </c>
      <c r="R194">
        <v>10</v>
      </c>
      <c r="S194" t="s">
        <v>159</v>
      </c>
      <c r="T194" t="s">
        <v>145</v>
      </c>
      <c r="U194" t="s">
        <v>219</v>
      </c>
      <c r="V194" t="s">
        <v>8</v>
      </c>
      <c r="X194">
        <v>1</v>
      </c>
      <c r="AA194" t="s">
        <v>117</v>
      </c>
    </row>
    <row r="195" spans="1:27" x14ac:dyDescent="0.2">
      <c r="A195">
        <v>2018</v>
      </c>
      <c r="B195" t="s">
        <v>21</v>
      </c>
      <c r="C195" t="s">
        <v>22</v>
      </c>
      <c r="D195" t="s">
        <v>217</v>
      </c>
      <c r="E195" t="s">
        <v>122</v>
      </c>
      <c r="F195" s="4">
        <v>43214</v>
      </c>
      <c r="G195" s="5">
        <v>0.99097222222222225</v>
      </c>
      <c r="H195">
        <v>-76.722694444444443</v>
      </c>
      <c r="I195">
        <v>3.4778055555555558</v>
      </c>
      <c r="J195">
        <v>2</v>
      </c>
      <c r="K195" t="s">
        <v>112</v>
      </c>
      <c r="L195" t="s">
        <v>148</v>
      </c>
      <c r="M195">
        <v>2147</v>
      </c>
      <c r="N195" t="b">
        <v>1</v>
      </c>
      <c r="O195" t="s">
        <v>114</v>
      </c>
      <c r="P195">
        <v>18</v>
      </c>
      <c r="R195">
        <v>10</v>
      </c>
      <c r="S195" t="s">
        <v>159</v>
      </c>
      <c r="T195" t="s">
        <v>145</v>
      </c>
      <c r="V195" t="s">
        <v>8</v>
      </c>
      <c r="X195">
        <v>1</v>
      </c>
      <c r="AA195" t="s">
        <v>117</v>
      </c>
    </row>
    <row r="196" spans="1:27" x14ac:dyDescent="0.2">
      <c r="A196">
        <v>2018</v>
      </c>
      <c r="B196" t="s">
        <v>21</v>
      </c>
      <c r="C196" t="s">
        <v>22</v>
      </c>
      <c r="D196" t="s">
        <v>217</v>
      </c>
      <c r="E196" t="s">
        <v>122</v>
      </c>
      <c r="F196" s="4">
        <v>43214</v>
      </c>
      <c r="G196" s="5">
        <v>0.99375000000000002</v>
      </c>
      <c r="H196">
        <v>-76.722694444444443</v>
      </c>
      <c r="I196">
        <v>3.477694444444444</v>
      </c>
      <c r="J196">
        <v>2</v>
      </c>
      <c r="K196" t="s">
        <v>119</v>
      </c>
      <c r="L196" t="s">
        <v>120</v>
      </c>
      <c r="M196">
        <v>2147</v>
      </c>
      <c r="N196" t="b">
        <v>1</v>
      </c>
      <c r="O196" t="s">
        <v>114</v>
      </c>
      <c r="P196">
        <v>20</v>
      </c>
      <c r="R196">
        <v>12</v>
      </c>
      <c r="S196" t="s">
        <v>159</v>
      </c>
      <c r="T196" t="s">
        <v>145</v>
      </c>
      <c r="V196" t="s">
        <v>4</v>
      </c>
      <c r="X196">
        <v>1</v>
      </c>
      <c r="AA196" t="s">
        <v>117</v>
      </c>
    </row>
    <row r="197" spans="1:27" x14ac:dyDescent="0.2">
      <c r="A197">
        <v>2018</v>
      </c>
      <c r="B197" t="s">
        <v>21</v>
      </c>
      <c r="C197" t="s">
        <v>22</v>
      </c>
      <c r="D197" t="s">
        <v>217</v>
      </c>
      <c r="E197" t="s">
        <v>122</v>
      </c>
      <c r="F197" s="4">
        <v>43214</v>
      </c>
      <c r="G197" s="5">
        <v>0.99513888888888891</v>
      </c>
      <c r="H197">
        <v>-76.722583333333333</v>
      </c>
      <c r="I197">
        <v>3.477694444444444</v>
      </c>
      <c r="J197">
        <v>2</v>
      </c>
      <c r="K197" t="s">
        <v>112</v>
      </c>
      <c r="L197" t="s">
        <v>148</v>
      </c>
      <c r="M197">
        <v>2147</v>
      </c>
      <c r="N197" t="b">
        <v>1</v>
      </c>
      <c r="O197" t="s">
        <v>114</v>
      </c>
      <c r="P197">
        <v>20</v>
      </c>
      <c r="R197">
        <v>12</v>
      </c>
      <c r="S197" t="s">
        <v>159</v>
      </c>
      <c r="T197" t="s">
        <v>145</v>
      </c>
      <c r="V197" t="s">
        <v>8</v>
      </c>
      <c r="X197">
        <v>1</v>
      </c>
      <c r="AA197" t="s">
        <v>117</v>
      </c>
    </row>
    <row r="198" spans="1:27" x14ac:dyDescent="0.2">
      <c r="A198">
        <v>2018</v>
      </c>
      <c r="B198" t="s">
        <v>21</v>
      </c>
      <c r="C198" t="s">
        <v>22</v>
      </c>
      <c r="D198" t="s">
        <v>217</v>
      </c>
      <c r="E198" t="s">
        <v>122</v>
      </c>
      <c r="F198" s="4">
        <v>43214</v>
      </c>
      <c r="G198" s="5">
        <v>0.99583333333333335</v>
      </c>
      <c r="H198">
        <v>-76.722583333333333</v>
      </c>
      <c r="I198">
        <v>3.477694444444444</v>
      </c>
      <c r="J198">
        <v>2</v>
      </c>
      <c r="K198" t="s">
        <v>112</v>
      </c>
      <c r="L198" t="s">
        <v>148</v>
      </c>
      <c r="M198">
        <v>2147</v>
      </c>
      <c r="N198" t="b">
        <v>1</v>
      </c>
      <c r="O198" t="s">
        <v>114</v>
      </c>
      <c r="P198">
        <v>20</v>
      </c>
      <c r="R198">
        <v>12</v>
      </c>
      <c r="S198" t="s">
        <v>159</v>
      </c>
      <c r="T198" t="s">
        <v>145</v>
      </c>
      <c r="V198" t="s">
        <v>8</v>
      </c>
      <c r="X198">
        <v>1</v>
      </c>
      <c r="AA198" t="s">
        <v>117</v>
      </c>
    </row>
    <row r="199" spans="1:27" x14ac:dyDescent="0.2">
      <c r="A199">
        <v>2018</v>
      </c>
      <c r="B199" t="s">
        <v>21</v>
      </c>
      <c r="C199" t="s">
        <v>22</v>
      </c>
      <c r="D199" t="s">
        <v>217</v>
      </c>
      <c r="E199" t="s">
        <v>122</v>
      </c>
      <c r="F199" s="4">
        <v>43214</v>
      </c>
      <c r="G199" s="5">
        <v>0.99791666666666667</v>
      </c>
      <c r="H199">
        <v>-76.722499999999997</v>
      </c>
      <c r="I199">
        <v>3.477527777777778</v>
      </c>
      <c r="J199">
        <v>2</v>
      </c>
      <c r="K199" t="s">
        <v>119</v>
      </c>
      <c r="L199" t="s">
        <v>120</v>
      </c>
      <c r="M199">
        <v>2149</v>
      </c>
      <c r="N199" t="b">
        <v>1</v>
      </c>
      <c r="O199" t="s">
        <v>114</v>
      </c>
      <c r="P199">
        <v>18</v>
      </c>
      <c r="R199">
        <v>10</v>
      </c>
      <c r="S199" t="s">
        <v>159</v>
      </c>
      <c r="T199" t="s">
        <v>145</v>
      </c>
      <c r="V199" t="s">
        <v>8</v>
      </c>
      <c r="X199">
        <v>1</v>
      </c>
      <c r="AA199" t="s">
        <v>117</v>
      </c>
    </row>
    <row r="200" spans="1:27" x14ac:dyDescent="0.2">
      <c r="A200">
        <v>2018</v>
      </c>
      <c r="B200" t="s">
        <v>21</v>
      </c>
      <c r="C200" t="s">
        <v>22</v>
      </c>
      <c r="D200" t="s">
        <v>217</v>
      </c>
      <c r="E200" t="s">
        <v>122</v>
      </c>
      <c r="F200" s="4">
        <v>43214</v>
      </c>
      <c r="G200" s="5">
        <v>0.99791666666666667</v>
      </c>
      <c r="H200">
        <v>-76.722499999999997</v>
      </c>
      <c r="I200">
        <v>3.477527777777778</v>
      </c>
      <c r="J200">
        <v>2</v>
      </c>
      <c r="K200" t="s">
        <v>119</v>
      </c>
      <c r="L200" t="s">
        <v>120</v>
      </c>
      <c r="M200">
        <v>2149</v>
      </c>
      <c r="N200" t="b">
        <v>1</v>
      </c>
      <c r="O200" t="s">
        <v>114</v>
      </c>
      <c r="P200">
        <v>18</v>
      </c>
      <c r="R200">
        <v>10</v>
      </c>
      <c r="S200" t="s">
        <v>159</v>
      </c>
      <c r="T200" t="s">
        <v>145</v>
      </c>
      <c r="V200" t="s">
        <v>8</v>
      </c>
      <c r="X200">
        <v>1</v>
      </c>
      <c r="AA200" t="s">
        <v>117</v>
      </c>
    </row>
    <row r="201" spans="1:27" x14ac:dyDescent="0.2">
      <c r="A201">
        <v>2018</v>
      </c>
      <c r="B201" t="s">
        <v>21</v>
      </c>
      <c r="C201" t="s">
        <v>22</v>
      </c>
      <c r="D201" t="s">
        <v>217</v>
      </c>
      <c r="E201" t="s">
        <v>122</v>
      </c>
      <c r="F201" s="4">
        <v>43214</v>
      </c>
      <c r="G201" s="5">
        <v>0.99791666666666667</v>
      </c>
      <c r="H201">
        <v>-76.722499999999997</v>
      </c>
      <c r="I201">
        <v>3.477527777777778</v>
      </c>
      <c r="J201">
        <v>2</v>
      </c>
      <c r="K201" t="s">
        <v>119</v>
      </c>
      <c r="L201" t="s">
        <v>161</v>
      </c>
      <c r="M201">
        <v>2149</v>
      </c>
      <c r="N201" t="b">
        <v>1</v>
      </c>
      <c r="O201" t="s">
        <v>114</v>
      </c>
      <c r="P201">
        <v>18</v>
      </c>
      <c r="R201">
        <v>10</v>
      </c>
      <c r="S201" t="s">
        <v>159</v>
      </c>
      <c r="T201" t="s">
        <v>145</v>
      </c>
      <c r="V201" t="s">
        <v>8</v>
      </c>
      <c r="X201">
        <v>1</v>
      </c>
      <c r="AA201" t="s">
        <v>117</v>
      </c>
    </row>
    <row r="202" spans="1:27" x14ac:dyDescent="0.2">
      <c r="A202">
        <v>2018</v>
      </c>
      <c r="B202" t="s">
        <v>21</v>
      </c>
      <c r="C202" t="s">
        <v>22</v>
      </c>
      <c r="D202" t="s">
        <v>217</v>
      </c>
      <c r="E202" t="s">
        <v>122</v>
      </c>
      <c r="F202" s="4">
        <v>43214</v>
      </c>
      <c r="G202" s="5">
        <v>0.99861111111111112</v>
      </c>
      <c r="H202">
        <v>-76.722499999999997</v>
      </c>
      <c r="I202">
        <v>3.477527777777778</v>
      </c>
      <c r="J202">
        <v>2</v>
      </c>
      <c r="K202" t="s">
        <v>112</v>
      </c>
      <c r="L202" t="s">
        <v>148</v>
      </c>
      <c r="M202">
        <v>2149</v>
      </c>
      <c r="N202" t="b">
        <v>1</v>
      </c>
      <c r="O202" t="s">
        <v>114</v>
      </c>
      <c r="P202">
        <v>18</v>
      </c>
      <c r="R202">
        <v>10</v>
      </c>
      <c r="S202" t="s">
        <v>159</v>
      </c>
      <c r="T202" t="s">
        <v>145</v>
      </c>
      <c r="V202" t="s">
        <v>8</v>
      </c>
      <c r="X202">
        <v>1</v>
      </c>
      <c r="AA202" t="s">
        <v>117</v>
      </c>
    </row>
    <row r="203" spans="1:27" x14ac:dyDescent="0.2">
      <c r="A203">
        <v>2018</v>
      </c>
      <c r="B203" t="s">
        <v>21</v>
      </c>
      <c r="C203" t="s">
        <v>22</v>
      </c>
      <c r="D203" t="s">
        <v>217</v>
      </c>
      <c r="E203" t="s">
        <v>122</v>
      </c>
      <c r="F203" s="4">
        <v>43214</v>
      </c>
      <c r="G203" s="5">
        <v>6.9444444444444447E-4</v>
      </c>
      <c r="H203">
        <v>-76.722499999999997</v>
      </c>
      <c r="I203">
        <v>3.4775</v>
      </c>
      <c r="J203">
        <v>2</v>
      </c>
      <c r="K203" t="s">
        <v>112</v>
      </c>
      <c r="L203" t="s">
        <v>148</v>
      </c>
      <c r="M203">
        <v>2149</v>
      </c>
      <c r="N203" t="b">
        <v>1</v>
      </c>
      <c r="O203" t="s">
        <v>114</v>
      </c>
      <c r="P203">
        <v>18</v>
      </c>
      <c r="R203">
        <v>15</v>
      </c>
      <c r="S203" t="s">
        <v>159</v>
      </c>
      <c r="T203" t="s">
        <v>145</v>
      </c>
      <c r="V203" t="s">
        <v>8</v>
      </c>
      <c r="X203">
        <v>1</v>
      </c>
      <c r="AA203" t="s">
        <v>117</v>
      </c>
    </row>
    <row r="204" spans="1:27" x14ac:dyDescent="0.2">
      <c r="A204">
        <v>2018</v>
      </c>
      <c r="B204" t="s">
        <v>21</v>
      </c>
      <c r="C204" t="s">
        <v>22</v>
      </c>
      <c r="D204" t="s">
        <v>217</v>
      </c>
      <c r="E204" t="s">
        <v>122</v>
      </c>
      <c r="F204" s="4">
        <v>43214</v>
      </c>
      <c r="G204" s="5">
        <v>2.0833333333333333E-3</v>
      </c>
      <c r="H204">
        <v>-76.722499999999997</v>
      </c>
      <c r="I204">
        <v>3.4775</v>
      </c>
      <c r="J204">
        <v>2</v>
      </c>
      <c r="K204" t="s">
        <v>119</v>
      </c>
      <c r="L204" t="s">
        <v>161</v>
      </c>
      <c r="M204">
        <v>2149</v>
      </c>
      <c r="N204" t="b">
        <v>1</v>
      </c>
      <c r="O204" t="s">
        <v>114</v>
      </c>
      <c r="P204">
        <v>24</v>
      </c>
      <c r="R204">
        <v>15</v>
      </c>
      <c r="S204" t="s">
        <v>159</v>
      </c>
      <c r="T204" t="s">
        <v>145</v>
      </c>
      <c r="V204" t="s">
        <v>8</v>
      </c>
      <c r="X204">
        <v>1</v>
      </c>
      <c r="AA204" t="s">
        <v>117</v>
      </c>
    </row>
    <row r="205" spans="1:27" x14ac:dyDescent="0.2">
      <c r="A205">
        <v>2018</v>
      </c>
      <c r="B205" t="s">
        <v>21</v>
      </c>
      <c r="C205" t="s">
        <v>24</v>
      </c>
      <c r="D205" t="s">
        <v>166</v>
      </c>
      <c r="E205" t="s">
        <v>111</v>
      </c>
      <c r="F205" s="4">
        <v>43215</v>
      </c>
      <c r="G205" s="5">
        <v>0.82638888888888884</v>
      </c>
      <c r="H205">
        <v>-76.713861111111115</v>
      </c>
      <c r="I205">
        <v>3.487805555555556</v>
      </c>
      <c r="J205">
        <v>2</v>
      </c>
      <c r="K205" t="s">
        <v>112</v>
      </c>
      <c r="L205" t="s">
        <v>148</v>
      </c>
      <c r="M205">
        <v>1882</v>
      </c>
      <c r="N205" t="s">
        <v>114</v>
      </c>
      <c r="O205" t="b">
        <v>1</v>
      </c>
      <c r="P205">
        <v>15</v>
      </c>
      <c r="Q205">
        <v>1.2</v>
      </c>
      <c r="R205">
        <v>30</v>
      </c>
      <c r="S205" t="s">
        <v>159</v>
      </c>
      <c r="T205" t="s">
        <v>167</v>
      </c>
      <c r="V205" t="s">
        <v>9</v>
      </c>
      <c r="X205">
        <v>1</v>
      </c>
      <c r="AA205" t="s">
        <v>117</v>
      </c>
    </row>
    <row r="206" spans="1:27" x14ac:dyDescent="0.2">
      <c r="A206">
        <v>2018</v>
      </c>
      <c r="B206" t="s">
        <v>21</v>
      </c>
      <c r="C206" t="s">
        <v>24</v>
      </c>
      <c r="D206" t="s">
        <v>166</v>
      </c>
      <c r="E206" t="s">
        <v>111</v>
      </c>
      <c r="F206" s="4">
        <v>43215</v>
      </c>
      <c r="G206" s="5">
        <v>0.83194444444444449</v>
      </c>
      <c r="H206">
        <v>-76.713888888888889</v>
      </c>
      <c r="I206">
        <v>3.487805555555556</v>
      </c>
      <c r="J206">
        <v>2</v>
      </c>
      <c r="K206" t="s">
        <v>112</v>
      </c>
      <c r="L206" t="s">
        <v>161</v>
      </c>
      <c r="M206">
        <v>1883</v>
      </c>
      <c r="N206" t="s">
        <v>114</v>
      </c>
      <c r="O206" t="b">
        <v>1</v>
      </c>
      <c r="P206">
        <v>20</v>
      </c>
      <c r="Q206">
        <v>1</v>
      </c>
      <c r="R206">
        <v>90</v>
      </c>
      <c r="S206" t="s">
        <v>159</v>
      </c>
      <c r="T206" t="s">
        <v>167</v>
      </c>
      <c r="V206" t="s">
        <v>9</v>
      </c>
      <c r="X206">
        <v>1</v>
      </c>
      <c r="AA206" t="s">
        <v>117</v>
      </c>
    </row>
    <row r="207" spans="1:27" x14ac:dyDescent="0.2">
      <c r="A207">
        <v>2018</v>
      </c>
      <c r="B207" t="s">
        <v>21</v>
      </c>
      <c r="C207" t="s">
        <v>24</v>
      </c>
      <c r="D207" t="s">
        <v>170</v>
      </c>
      <c r="E207" t="s">
        <v>122</v>
      </c>
      <c r="F207" s="4">
        <v>43215</v>
      </c>
      <c r="G207" s="5">
        <v>0.84791666666666665</v>
      </c>
      <c r="H207">
        <v>-76.714416666666665</v>
      </c>
      <c r="I207">
        <v>3.487805555555556</v>
      </c>
      <c r="J207">
        <v>2</v>
      </c>
      <c r="K207" t="s">
        <v>119</v>
      </c>
      <c r="L207" t="s">
        <v>120</v>
      </c>
      <c r="M207">
        <v>1890</v>
      </c>
      <c r="N207" t="s">
        <v>114</v>
      </c>
      <c r="O207" t="b">
        <v>1</v>
      </c>
      <c r="S207" t="s">
        <v>159</v>
      </c>
      <c r="T207" t="s">
        <v>167</v>
      </c>
      <c r="V207" t="s">
        <v>9</v>
      </c>
      <c r="X207">
        <v>1</v>
      </c>
      <c r="Y207">
        <v>77</v>
      </c>
      <c r="Z207">
        <v>16.8</v>
      </c>
      <c r="AA207" t="s">
        <v>117</v>
      </c>
    </row>
    <row r="208" spans="1:27" x14ac:dyDescent="0.2">
      <c r="A208">
        <v>2018</v>
      </c>
      <c r="B208" t="s">
        <v>21</v>
      </c>
      <c r="C208" t="s">
        <v>24</v>
      </c>
      <c r="D208" t="s">
        <v>176</v>
      </c>
      <c r="E208" t="s">
        <v>127</v>
      </c>
      <c r="F208" s="4">
        <v>43215</v>
      </c>
      <c r="G208" s="5">
        <v>0.85972222222222228</v>
      </c>
      <c r="H208">
        <v>-76.714805555555557</v>
      </c>
      <c r="I208">
        <v>3.487130555555555</v>
      </c>
      <c r="J208">
        <v>2</v>
      </c>
      <c r="K208" t="s">
        <v>112</v>
      </c>
      <c r="L208" t="s">
        <v>148</v>
      </c>
      <c r="M208">
        <v>1887</v>
      </c>
      <c r="N208" t="s">
        <v>114</v>
      </c>
      <c r="O208" t="b">
        <v>1</v>
      </c>
      <c r="P208">
        <v>25</v>
      </c>
      <c r="Q208">
        <v>1.2</v>
      </c>
      <c r="R208">
        <v>90</v>
      </c>
      <c r="S208" t="s">
        <v>159</v>
      </c>
      <c r="T208" t="s">
        <v>167</v>
      </c>
      <c r="V208" t="s">
        <v>40</v>
      </c>
      <c r="X208">
        <v>1</v>
      </c>
      <c r="AA208" t="s">
        <v>117</v>
      </c>
    </row>
    <row r="209" spans="1:27" x14ac:dyDescent="0.2">
      <c r="A209">
        <v>2018</v>
      </c>
      <c r="B209" t="s">
        <v>21</v>
      </c>
      <c r="C209" t="s">
        <v>24</v>
      </c>
      <c r="D209" t="s">
        <v>176</v>
      </c>
      <c r="E209" t="s">
        <v>127</v>
      </c>
      <c r="F209" s="4">
        <v>43215</v>
      </c>
      <c r="G209" s="5">
        <v>0.87430555555555556</v>
      </c>
      <c r="H209">
        <v>-76.714805555555557</v>
      </c>
      <c r="I209">
        <v>3.487130555555555</v>
      </c>
      <c r="J209">
        <v>2</v>
      </c>
      <c r="K209" t="s">
        <v>112</v>
      </c>
      <c r="L209" t="s">
        <v>148</v>
      </c>
      <c r="M209">
        <v>1887</v>
      </c>
      <c r="N209" t="s">
        <v>114</v>
      </c>
      <c r="O209" t="b">
        <v>1</v>
      </c>
      <c r="P209">
        <v>18</v>
      </c>
      <c r="Q209">
        <v>1.2</v>
      </c>
      <c r="R209">
        <v>90</v>
      </c>
      <c r="S209" t="s">
        <v>159</v>
      </c>
      <c r="T209" t="s">
        <v>167</v>
      </c>
      <c r="V209" t="s">
        <v>9</v>
      </c>
      <c r="X209">
        <v>1</v>
      </c>
      <c r="AA209" t="s">
        <v>117</v>
      </c>
    </row>
    <row r="210" spans="1:27" x14ac:dyDescent="0.2">
      <c r="A210">
        <v>2018</v>
      </c>
      <c r="B210" t="s">
        <v>21</v>
      </c>
      <c r="C210" t="s">
        <v>24</v>
      </c>
      <c r="D210" t="s">
        <v>176</v>
      </c>
      <c r="E210" t="s">
        <v>127</v>
      </c>
      <c r="F210" s="4">
        <v>43215</v>
      </c>
      <c r="G210" s="5">
        <v>0.87986111111111109</v>
      </c>
      <c r="H210">
        <v>-76.714777777777783</v>
      </c>
      <c r="I210">
        <v>3.487083333333334</v>
      </c>
      <c r="J210">
        <v>2</v>
      </c>
      <c r="K210" t="s">
        <v>119</v>
      </c>
      <c r="L210" t="s">
        <v>194</v>
      </c>
      <c r="M210">
        <v>1880</v>
      </c>
      <c r="N210" t="s">
        <v>114</v>
      </c>
      <c r="O210" t="b">
        <v>1</v>
      </c>
      <c r="P210">
        <v>10</v>
      </c>
      <c r="Q210">
        <v>1</v>
      </c>
      <c r="R210">
        <v>30</v>
      </c>
      <c r="T210" t="s">
        <v>167</v>
      </c>
      <c r="V210" t="s">
        <v>47</v>
      </c>
      <c r="W210" t="s">
        <v>141</v>
      </c>
      <c r="X210">
        <v>0</v>
      </c>
      <c r="Y210">
        <v>75</v>
      </c>
      <c r="Z210">
        <v>17.5</v>
      </c>
      <c r="AA210" t="s">
        <v>117</v>
      </c>
    </row>
    <row r="211" spans="1:27" x14ac:dyDescent="0.2">
      <c r="A211">
        <v>2018</v>
      </c>
      <c r="B211" t="s">
        <v>49</v>
      </c>
      <c r="C211" t="s">
        <v>53</v>
      </c>
      <c r="D211" t="s">
        <v>198</v>
      </c>
      <c r="E211" t="s">
        <v>111</v>
      </c>
      <c r="F211" s="4">
        <v>43438</v>
      </c>
      <c r="G211" s="5">
        <v>0.86111111111111116</v>
      </c>
      <c r="H211">
        <v>-76.878611111111098</v>
      </c>
      <c r="I211">
        <v>3.543305555555555</v>
      </c>
      <c r="J211">
        <v>3</v>
      </c>
      <c r="K211" t="s">
        <v>112</v>
      </c>
      <c r="L211" t="s">
        <v>161</v>
      </c>
      <c r="M211">
        <v>496</v>
      </c>
      <c r="N211" t="s">
        <v>114</v>
      </c>
      <c r="O211" t="b">
        <v>1</v>
      </c>
      <c r="P211">
        <v>20</v>
      </c>
      <c r="Q211">
        <v>6</v>
      </c>
      <c r="R211">
        <v>40</v>
      </c>
      <c r="S211" t="s">
        <v>199</v>
      </c>
      <c r="T211" t="s">
        <v>167</v>
      </c>
      <c r="V211" t="s">
        <v>46</v>
      </c>
      <c r="X211">
        <v>1</v>
      </c>
      <c r="AA211" t="s">
        <v>117</v>
      </c>
    </row>
    <row r="212" spans="1:27" x14ac:dyDescent="0.2">
      <c r="A212">
        <v>2018</v>
      </c>
      <c r="B212" t="s">
        <v>49</v>
      </c>
      <c r="C212" t="s">
        <v>53</v>
      </c>
      <c r="D212" t="s">
        <v>198</v>
      </c>
      <c r="E212" t="s">
        <v>111</v>
      </c>
      <c r="F212" s="4">
        <v>43438</v>
      </c>
      <c r="G212" s="5">
        <v>0.84027777777777779</v>
      </c>
      <c r="H212">
        <v>-76.878499999999988</v>
      </c>
      <c r="I212">
        <v>3.5437500000000002</v>
      </c>
      <c r="J212">
        <v>3</v>
      </c>
      <c r="K212" t="s">
        <v>119</v>
      </c>
      <c r="L212" t="s">
        <v>160</v>
      </c>
      <c r="M212">
        <v>495</v>
      </c>
      <c r="N212" t="s">
        <v>114</v>
      </c>
      <c r="O212" t="b">
        <v>1</v>
      </c>
      <c r="P212">
        <v>6</v>
      </c>
      <c r="Q212">
        <v>4</v>
      </c>
      <c r="R212">
        <v>10</v>
      </c>
      <c r="S212" t="s">
        <v>220</v>
      </c>
      <c r="T212" t="s">
        <v>167</v>
      </c>
      <c r="V212" t="s">
        <v>32</v>
      </c>
      <c r="X212">
        <v>1</v>
      </c>
      <c r="AA212" t="s">
        <v>117</v>
      </c>
    </row>
    <row r="213" spans="1:27" x14ac:dyDescent="0.2">
      <c r="A213">
        <v>2018</v>
      </c>
      <c r="B213" t="s">
        <v>49</v>
      </c>
      <c r="C213" t="s">
        <v>51</v>
      </c>
      <c r="D213" t="s">
        <v>221</v>
      </c>
      <c r="E213" t="s">
        <v>111</v>
      </c>
      <c r="F213" s="4">
        <v>43438</v>
      </c>
      <c r="G213" s="5">
        <v>0.91874999999999996</v>
      </c>
      <c r="H213">
        <v>-76.881583333333325</v>
      </c>
      <c r="I213">
        <v>3.5525277777777782</v>
      </c>
      <c r="J213">
        <v>3</v>
      </c>
      <c r="K213" t="s">
        <v>112</v>
      </c>
      <c r="L213" t="s">
        <v>161</v>
      </c>
      <c r="M213">
        <v>511</v>
      </c>
      <c r="N213" t="b">
        <v>1</v>
      </c>
      <c r="O213" t="s">
        <v>114</v>
      </c>
      <c r="P213">
        <v>6</v>
      </c>
      <c r="R213">
        <v>10</v>
      </c>
      <c r="S213" t="s">
        <v>222</v>
      </c>
      <c r="T213" t="s">
        <v>167</v>
      </c>
      <c r="V213" t="s">
        <v>32</v>
      </c>
      <c r="X213">
        <v>1</v>
      </c>
      <c r="AA213" t="s">
        <v>117</v>
      </c>
    </row>
    <row r="214" spans="1:27" x14ac:dyDescent="0.2">
      <c r="A214">
        <v>2018</v>
      </c>
      <c r="B214" t="s">
        <v>49</v>
      </c>
      <c r="C214" t="s">
        <v>51</v>
      </c>
      <c r="D214" t="s">
        <v>223</v>
      </c>
      <c r="E214" t="s">
        <v>122</v>
      </c>
      <c r="F214" s="4">
        <v>43438</v>
      </c>
      <c r="G214" s="5">
        <v>0.93819444444444444</v>
      </c>
      <c r="H214">
        <v>-76.882583333333329</v>
      </c>
      <c r="I214">
        <v>3.5523055555555549</v>
      </c>
      <c r="J214">
        <v>3</v>
      </c>
      <c r="K214" t="s">
        <v>112</v>
      </c>
      <c r="L214" t="s">
        <v>161</v>
      </c>
      <c r="M214">
        <v>515</v>
      </c>
      <c r="N214" t="b">
        <v>1</v>
      </c>
      <c r="O214" t="s">
        <v>114</v>
      </c>
      <c r="P214">
        <v>3</v>
      </c>
      <c r="R214">
        <v>5</v>
      </c>
      <c r="T214" t="s">
        <v>167</v>
      </c>
      <c r="V214" t="s">
        <v>30</v>
      </c>
      <c r="X214">
        <v>1</v>
      </c>
      <c r="AA214" t="s">
        <v>117</v>
      </c>
    </row>
    <row r="215" spans="1:27" x14ac:dyDescent="0.2">
      <c r="A215">
        <v>2018</v>
      </c>
      <c r="B215" t="s">
        <v>49</v>
      </c>
      <c r="C215" t="s">
        <v>51</v>
      </c>
      <c r="D215" t="s">
        <v>223</v>
      </c>
      <c r="E215" t="s">
        <v>122</v>
      </c>
      <c r="F215" s="4">
        <v>43438</v>
      </c>
      <c r="G215" s="5">
        <v>0.97986111111111107</v>
      </c>
      <c r="H215">
        <v>-76.882583333333329</v>
      </c>
      <c r="I215">
        <v>3.5523055555555549</v>
      </c>
      <c r="J215">
        <v>3</v>
      </c>
      <c r="K215" t="s">
        <v>112</v>
      </c>
      <c r="L215" t="s">
        <v>161</v>
      </c>
      <c r="M215">
        <v>516</v>
      </c>
      <c r="N215" t="b">
        <v>1</v>
      </c>
      <c r="O215" t="s">
        <v>114</v>
      </c>
      <c r="P215">
        <v>3</v>
      </c>
      <c r="R215">
        <v>5</v>
      </c>
      <c r="T215" t="s">
        <v>167</v>
      </c>
      <c r="V215" t="s">
        <v>46</v>
      </c>
      <c r="X215">
        <v>1</v>
      </c>
      <c r="AA215" t="s">
        <v>117</v>
      </c>
    </row>
    <row r="216" spans="1:27" x14ac:dyDescent="0.2">
      <c r="A216">
        <v>2018</v>
      </c>
      <c r="B216" t="s">
        <v>49</v>
      </c>
      <c r="C216" t="s">
        <v>51</v>
      </c>
      <c r="D216" t="s">
        <v>223</v>
      </c>
      <c r="E216" t="s">
        <v>122</v>
      </c>
      <c r="F216" s="4">
        <v>43438</v>
      </c>
      <c r="G216" s="5">
        <v>0.97986111111111107</v>
      </c>
      <c r="H216">
        <v>-76.882583333333329</v>
      </c>
      <c r="I216">
        <v>3.5523055555555549</v>
      </c>
      <c r="J216">
        <v>3</v>
      </c>
      <c r="K216" t="s">
        <v>112</v>
      </c>
      <c r="L216" t="s">
        <v>161</v>
      </c>
      <c r="M216">
        <v>517</v>
      </c>
      <c r="N216" t="b">
        <v>1</v>
      </c>
      <c r="O216" t="s">
        <v>114</v>
      </c>
      <c r="P216">
        <v>3</v>
      </c>
      <c r="R216">
        <v>5</v>
      </c>
      <c r="T216" t="s">
        <v>167</v>
      </c>
      <c r="V216" t="s">
        <v>46</v>
      </c>
      <c r="X216">
        <v>1</v>
      </c>
      <c r="AA216" t="s">
        <v>117</v>
      </c>
    </row>
    <row r="217" spans="1:27" x14ac:dyDescent="0.2">
      <c r="A217">
        <v>2018</v>
      </c>
      <c r="B217" t="s">
        <v>49</v>
      </c>
      <c r="C217" t="s">
        <v>51</v>
      </c>
      <c r="D217" t="s">
        <v>223</v>
      </c>
      <c r="E217" t="s">
        <v>122</v>
      </c>
      <c r="F217" s="4">
        <v>43438</v>
      </c>
      <c r="G217" s="5">
        <v>0.97986111111111107</v>
      </c>
      <c r="H217">
        <v>-76.882583333333329</v>
      </c>
      <c r="I217">
        <v>3.5523055555555549</v>
      </c>
      <c r="J217">
        <v>3</v>
      </c>
      <c r="K217" t="s">
        <v>112</v>
      </c>
      <c r="L217" t="s">
        <v>161</v>
      </c>
      <c r="M217">
        <v>518</v>
      </c>
      <c r="N217" t="b">
        <v>1</v>
      </c>
      <c r="O217" t="s">
        <v>114</v>
      </c>
      <c r="P217">
        <v>3</v>
      </c>
      <c r="R217">
        <v>5</v>
      </c>
      <c r="T217" t="s">
        <v>167</v>
      </c>
      <c r="V217" t="s">
        <v>46</v>
      </c>
      <c r="X217">
        <v>1</v>
      </c>
      <c r="AA217" t="s">
        <v>117</v>
      </c>
    </row>
    <row r="218" spans="1:27" x14ac:dyDescent="0.2">
      <c r="A218">
        <v>2018</v>
      </c>
      <c r="B218" t="s">
        <v>49</v>
      </c>
      <c r="C218" t="s">
        <v>51</v>
      </c>
      <c r="D218" t="s">
        <v>223</v>
      </c>
      <c r="E218" t="s">
        <v>122</v>
      </c>
      <c r="F218" s="4">
        <v>43438</v>
      </c>
      <c r="G218" s="5">
        <v>0.97986111111111107</v>
      </c>
      <c r="H218">
        <v>-76.882583333333329</v>
      </c>
      <c r="I218">
        <v>3.5523055555555549</v>
      </c>
      <c r="J218">
        <v>3</v>
      </c>
      <c r="K218" t="s">
        <v>112</v>
      </c>
      <c r="L218" t="s">
        <v>161</v>
      </c>
      <c r="M218">
        <v>519</v>
      </c>
      <c r="N218" t="b">
        <v>1</v>
      </c>
      <c r="O218" t="s">
        <v>114</v>
      </c>
      <c r="P218">
        <v>3</v>
      </c>
      <c r="R218">
        <v>5</v>
      </c>
      <c r="T218" t="s">
        <v>167</v>
      </c>
      <c r="V218" t="s">
        <v>46</v>
      </c>
      <c r="X218">
        <v>1</v>
      </c>
      <c r="AA218" t="s">
        <v>117</v>
      </c>
    </row>
    <row r="219" spans="1:27" x14ac:dyDescent="0.2">
      <c r="A219">
        <v>2018</v>
      </c>
      <c r="B219" t="s">
        <v>49</v>
      </c>
      <c r="C219" t="s">
        <v>51</v>
      </c>
      <c r="D219" t="s">
        <v>223</v>
      </c>
      <c r="E219" t="s">
        <v>122</v>
      </c>
      <c r="F219" s="4">
        <v>43438</v>
      </c>
      <c r="G219" s="5">
        <v>0.97986111111111107</v>
      </c>
      <c r="H219">
        <v>-76.882583333333329</v>
      </c>
      <c r="I219">
        <v>3.5523055555555549</v>
      </c>
      <c r="J219">
        <v>3</v>
      </c>
      <c r="K219" t="s">
        <v>112</v>
      </c>
      <c r="L219" t="s">
        <v>161</v>
      </c>
      <c r="M219">
        <v>520</v>
      </c>
      <c r="N219" t="b">
        <v>1</v>
      </c>
      <c r="O219" t="s">
        <v>114</v>
      </c>
      <c r="P219">
        <v>3</v>
      </c>
      <c r="R219">
        <v>5</v>
      </c>
      <c r="T219" t="s">
        <v>167</v>
      </c>
      <c r="V219" t="s">
        <v>46</v>
      </c>
      <c r="X219">
        <v>1</v>
      </c>
      <c r="AA219" t="s">
        <v>117</v>
      </c>
    </row>
    <row r="220" spans="1:27" x14ac:dyDescent="0.2">
      <c r="A220">
        <v>2018</v>
      </c>
      <c r="B220" t="s">
        <v>49</v>
      </c>
      <c r="C220" t="s">
        <v>51</v>
      </c>
      <c r="D220" t="s">
        <v>223</v>
      </c>
      <c r="E220" t="s">
        <v>122</v>
      </c>
      <c r="F220" s="4">
        <v>43438</v>
      </c>
      <c r="G220" s="5">
        <v>0.97986111111111107</v>
      </c>
      <c r="H220">
        <v>-76.882583333333329</v>
      </c>
      <c r="I220">
        <v>3.5523055555555549</v>
      </c>
      <c r="J220">
        <v>3</v>
      </c>
      <c r="K220" t="s">
        <v>112</v>
      </c>
      <c r="L220" t="s">
        <v>161</v>
      </c>
      <c r="M220">
        <v>521</v>
      </c>
      <c r="N220" t="b">
        <v>1</v>
      </c>
      <c r="O220" t="s">
        <v>114</v>
      </c>
      <c r="P220">
        <v>3</v>
      </c>
      <c r="R220">
        <v>5</v>
      </c>
      <c r="T220" t="s">
        <v>167</v>
      </c>
      <c r="V220" t="s">
        <v>46</v>
      </c>
      <c r="X220">
        <v>1</v>
      </c>
      <c r="AA220" t="s">
        <v>117</v>
      </c>
    </row>
    <row r="221" spans="1:27" x14ac:dyDescent="0.2">
      <c r="A221">
        <v>2018</v>
      </c>
      <c r="B221" t="s">
        <v>49</v>
      </c>
      <c r="C221" t="s">
        <v>51</v>
      </c>
      <c r="D221" t="s">
        <v>223</v>
      </c>
      <c r="E221" t="s">
        <v>122</v>
      </c>
      <c r="F221" s="4">
        <v>43438</v>
      </c>
      <c r="G221" s="5">
        <v>0.97986111111111107</v>
      </c>
      <c r="H221">
        <v>-76.882583333333329</v>
      </c>
      <c r="I221">
        <v>3.5523055555555549</v>
      </c>
      <c r="J221">
        <v>3</v>
      </c>
      <c r="K221" t="s">
        <v>112</v>
      </c>
      <c r="L221" t="s">
        <v>161</v>
      </c>
      <c r="M221">
        <v>522</v>
      </c>
      <c r="N221" t="b">
        <v>1</v>
      </c>
      <c r="O221" t="s">
        <v>114</v>
      </c>
      <c r="P221">
        <v>3</v>
      </c>
      <c r="R221">
        <v>5</v>
      </c>
      <c r="T221" t="s">
        <v>167</v>
      </c>
      <c r="V221" t="s">
        <v>46</v>
      </c>
      <c r="X221">
        <v>1</v>
      </c>
      <c r="AA221" t="s">
        <v>117</v>
      </c>
    </row>
    <row r="222" spans="1:27" x14ac:dyDescent="0.2">
      <c r="A222">
        <v>2018</v>
      </c>
      <c r="B222" t="s">
        <v>49</v>
      </c>
      <c r="C222" t="s">
        <v>51</v>
      </c>
      <c r="D222" t="s">
        <v>223</v>
      </c>
      <c r="E222" t="s">
        <v>122</v>
      </c>
      <c r="F222" s="4">
        <v>43438</v>
      </c>
      <c r="G222" s="5">
        <v>0.97986111111111107</v>
      </c>
      <c r="H222">
        <v>-76.882583333333329</v>
      </c>
      <c r="I222">
        <v>3.5523055555555549</v>
      </c>
      <c r="J222">
        <v>3</v>
      </c>
      <c r="K222" t="s">
        <v>112</v>
      </c>
      <c r="L222" t="s">
        <v>161</v>
      </c>
      <c r="M222">
        <v>523</v>
      </c>
      <c r="N222" t="b">
        <v>1</v>
      </c>
      <c r="O222" t="s">
        <v>114</v>
      </c>
      <c r="P222">
        <v>3</v>
      </c>
      <c r="R222">
        <v>5</v>
      </c>
      <c r="T222" t="s">
        <v>167</v>
      </c>
      <c r="V222" t="s">
        <v>46</v>
      </c>
      <c r="X222">
        <v>1</v>
      </c>
      <c r="AA222" t="s">
        <v>117</v>
      </c>
    </row>
    <row r="223" spans="1:27" x14ac:dyDescent="0.2">
      <c r="A223">
        <v>2018</v>
      </c>
      <c r="B223" t="s">
        <v>49</v>
      </c>
      <c r="C223" t="s">
        <v>51</v>
      </c>
      <c r="D223" t="s">
        <v>223</v>
      </c>
      <c r="E223" t="s">
        <v>122</v>
      </c>
      <c r="F223" s="4">
        <v>43438</v>
      </c>
      <c r="G223" s="5">
        <v>0.97986111111111107</v>
      </c>
      <c r="H223">
        <v>-76.882583333333329</v>
      </c>
      <c r="I223">
        <v>3.5523055555555549</v>
      </c>
      <c r="J223">
        <v>3</v>
      </c>
      <c r="K223" t="s">
        <v>112</v>
      </c>
      <c r="L223" t="s">
        <v>161</v>
      </c>
      <c r="M223">
        <v>524</v>
      </c>
      <c r="N223" t="b">
        <v>1</v>
      </c>
      <c r="O223" t="s">
        <v>114</v>
      </c>
      <c r="P223">
        <v>3</v>
      </c>
      <c r="R223">
        <v>5</v>
      </c>
      <c r="T223" t="s">
        <v>167</v>
      </c>
      <c r="V223" t="s">
        <v>46</v>
      </c>
      <c r="X223">
        <v>1</v>
      </c>
      <c r="AA223" t="s">
        <v>117</v>
      </c>
    </row>
    <row r="224" spans="1:27" x14ac:dyDescent="0.2">
      <c r="A224">
        <v>2018</v>
      </c>
      <c r="B224" t="s">
        <v>49</v>
      </c>
      <c r="C224" t="s">
        <v>51</v>
      </c>
      <c r="D224" t="s">
        <v>223</v>
      </c>
      <c r="E224" t="s">
        <v>122</v>
      </c>
      <c r="F224" s="4">
        <v>43438</v>
      </c>
      <c r="G224" s="5">
        <v>0.97986111111111107</v>
      </c>
      <c r="H224">
        <v>-76.882583333333329</v>
      </c>
      <c r="I224">
        <v>3.5523055555555549</v>
      </c>
      <c r="J224">
        <v>3</v>
      </c>
      <c r="K224" t="s">
        <v>112</v>
      </c>
      <c r="L224" t="s">
        <v>161</v>
      </c>
      <c r="M224">
        <v>525</v>
      </c>
      <c r="N224" t="b">
        <v>1</v>
      </c>
      <c r="O224" t="s">
        <v>114</v>
      </c>
      <c r="P224">
        <v>3</v>
      </c>
      <c r="R224">
        <v>5</v>
      </c>
      <c r="T224" t="s">
        <v>167</v>
      </c>
      <c r="V224" t="s">
        <v>46</v>
      </c>
      <c r="X224">
        <v>1</v>
      </c>
      <c r="AA224" t="s">
        <v>117</v>
      </c>
    </row>
    <row r="225" spans="1:27" x14ac:dyDescent="0.2">
      <c r="A225">
        <v>2018</v>
      </c>
      <c r="B225" t="s">
        <v>49</v>
      </c>
      <c r="C225" t="s">
        <v>51</v>
      </c>
      <c r="D225" t="s">
        <v>223</v>
      </c>
      <c r="E225" t="s">
        <v>122</v>
      </c>
      <c r="F225" s="4">
        <v>43438</v>
      </c>
      <c r="G225" s="5">
        <v>0.97986111111111107</v>
      </c>
      <c r="H225">
        <v>-76.882583333333329</v>
      </c>
      <c r="I225">
        <v>3.5523055555555549</v>
      </c>
      <c r="J225">
        <v>3</v>
      </c>
      <c r="K225" t="s">
        <v>112</v>
      </c>
      <c r="L225" t="s">
        <v>161</v>
      </c>
      <c r="M225">
        <v>526</v>
      </c>
      <c r="N225" t="b">
        <v>1</v>
      </c>
      <c r="O225" t="s">
        <v>114</v>
      </c>
      <c r="P225">
        <v>3</v>
      </c>
      <c r="R225">
        <v>5</v>
      </c>
      <c r="T225" t="s">
        <v>167</v>
      </c>
      <c r="V225" t="s">
        <v>46</v>
      </c>
      <c r="X225">
        <v>1</v>
      </c>
      <c r="AA225" t="s">
        <v>117</v>
      </c>
    </row>
    <row r="226" spans="1:27" x14ac:dyDescent="0.2">
      <c r="A226">
        <v>2018</v>
      </c>
      <c r="B226" t="s">
        <v>10</v>
      </c>
      <c r="C226" t="s">
        <v>14</v>
      </c>
      <c r="D226" t="s">
        <v>180</v>
      </c>
      <c r="E226" t="s">
        <v>122</v>
      </c>
      <c r="F226" s="4">
        <v>43411</v>
      </c>
      <c r="G226" s="5">
        <v>0.79513888888888884</v>
      </c>
      <c r="H226">
        <v>-76.647111111111116</v>
      </c>
      <c r="I226">
        <v>3.3496944444444452</v>
      </c>
      <c r="J226">
        <v>3</v>
      </c>
      <c r="K226" t="s">
        <v>112</v>
      </c>
      <c r="L226" t="s">
        <v>161</v>
      </c>
      <c r="M226">
        <v>2306</v>
      </c>
      <c r="N226" t="s">
        <v>114</v>
      </c>
      <c r="O226" t="b">
        <v>1</v>
      </c>
      <c r="P226">
        <v>7</v>
      </c>
      <c r="Q226">
        <v>0.5</v>
      </c>
      <c r="R226">
        <v>5</v>
      </c>
      <c r="S226" t="s">
        <v>147</v>
      </c>
      <c r="T226" t="s">
        <v>167</v>
      </c>
      <c r="U226" t="s">
        <v>224</v>
      </c>
      <c r="V226" t="s">
        <v>40</v>
      </c>
      <c r="X226">
        <v>1</v>
      </c>
      <c r="AA226" t="s">
        <v>117</v>
      </c>
    </row>
    <row r="227" spans="1:27" x14ac:dyDescent="0.2">
      <c r="A227">
        <v>2018</v>
      </c>
      <c r="B227" t="s">
        <v>10</v>
      </c>
      <c r="C227" t="s">
        <v>14</v>
      </c>
      <c r="D227" t="s">
        <v>225</v>
      </c>
      <c r="E227" t="s">
        <v>135</v>
      </c>
      <c r="F227" s="4">
        <v>43411</v>
      </c>
      <c r="G227" s="5">
        <v>0.79166666666666663</v>
      </c>
      <c r="H227">
        <v>-76.64466666666668</v>
      </c>
      <c r="I227">
        <v>3.3495833333333329</v>
      </c>
      <c r="J227">
        <v>3</v>
      </c>
      <c r="K227" t="s">
        <v>119</v>
      </c>
      <c r="L227" t="s">
        <v>120</v>
      </c>
      <c r="M227">
        <v>2305</v>
      </c>
      <c r="N227" t="s">
        <v>114</v>
      </c>
      <c r="O227" t="b">
        <v>1</v>
      </c>
      <c r="P227">
        <v>7</v>
      </c>
      <c r="Q227">
        <v>0.5</v>
      </c>
      <c r="R227">
        <v>6</v>
      </c>
      <c r="S227" t="s">
        <v>147</v>
      </c>
      <c r="T227" t="s">
        <v>167</v>
      </c>
      <c r="V227" t="s">
        <v>40</v>
      </c>
      <c r="X227">
        <v>1</v>
      </c>
      <c r="AA227" t="s">
        <v>117</v>
      </c>
    </row>
    <row r="228" spans="1:27" x14ac:dyDescent="0.2">
      <c r="A228">
        <v>2018</v>
      </c>
      <c r="B228" t="s">
        <v>10</v>
      </c>
      <c r="C228" t="s">
        <v>14</v>
      </c>
      <c r="D228" t="s">
        <v>180</v>
      </c>
      <c r="E228" t="s">
        <v>122</v>
      </c>
      <c r="F228" s="4">
        <v>43411</v>
      </c>
      <c r="G228" s="5">
        <v>0.80208333333333337</v>
      </c>
      <c r="H228">
        <v>-76.647055555555568</v>
      </c>
      <c r="I228">
        <v>3.3494166666666669</v>
      </c>
      <c r="J228">
        <v>3</v>
      </c>
      <c r="K228" t="s">
        <v>119</v>
      </c>
      <c r="L228" t="s">
        <v>120</v>
      </c>
      <c r="M228">
        <v>2302</v>
      </c>
      <c r="N228" t="s">
        <v>114</v>
      </c>
      <c r="O228" t="b">
        <v>1</v>
      </c>
      <c r="P228">
        <v>8</v>
      </c>
      <c r="Q228">
        <v>2</v>
      </c>
      <c r="R228">
        <v>15</v>
      </c>
      <c r="S228" t="s">
        <v>159</v>
      </c>
      <c r="T228" t="s">
        <v>167</v>
      </c>
      <c r="V228" t="s">
        <v>9</v>
      </c>
      <c r="X228">
        <v>1</v>
      </c>
      <c r="AA228" t="s">
        <v>117</v>
      </c>
    </row>
    <row r="229" spans="1:27" x14ac:dyDescent="0.2">
      <c r="A229">
        <v>2018</v>
      </c>
      <c r="B229" t="s">
        <v>10</v>
      </c>
      <c r="C229" t="s">
        <v>14</v>
      </c>
      <c r="D229" t="s">
        <v>226</v>
      </c>
      <c r="E229" t="s">
        <v>111</v>
      </c>
      <c r="F229" s="4">
        <v>43411</v>
      </c>
      <c r="G229" s="5">
        <v>0.82152777777777775</v>
      </c>
      <c r="H229">
        <v>-76.647083333333342</v>
      </c>
      <c r="I229">
        <v>3.3488611111111108</v>
      </c>
      <c r="J229">
        <v>3</v>
      </c>
      <c r="K229" t="s">
        <v>112</v>
      </c>
      <c r="L229" t="s">
        <v>161</v>
      </c>
      <c r="M229">
        <v>2292</v>
      </c>
      <c r="N229" t="s">
        <v>114</v>
      </c>
      <c r="O229" t="b">
        <v>1</v>
      </c>
      <c r="P229">
        <v>8</v>
      </c>
      <c r="Q229">
        <v>0.6</v>
      </c>
      <c r="R229">
        <v>25</v>
      </c>
      <c r="S229" t="s">
        <v>147</v>
      </c>
      <c r="T229" t="s">
        <v>167</v>
      </c>
      <c r="V229" t="s">
        <v>9</v>
      </c>
      <c r="X229">
        <v>1</v>
      </c>
      <c r="AA229" t="s">
        <v>117</v>
      </c>
    </row>
    <row r="230" spans="1:27" x14ac:dyDescent="0.2">
      <c r="A230">
        <v>2018</v>
      </c>
      <c r="B230" t="s">
        <v>10</v>
      </c>
      <c r="C230" t="s">
        <v>13</v>
      </c>
      <c r="D230" t="s">
        <v>177</v>
      </c>
      <c r="E230" t="s">
        <v>111</v>
      </c>
      <c r="F230" s="4">
        <v>43411</v>
      </c>
      <c r="G230" s="5">
        <v>0.86875000000000002</v>
      </c>
      <c r="H230">
        <v>-76.644361111111124</v>
      </c>
      <c r="I230">
        <v>3.3495277777777779</v>
      </c>
      <c r="J230">
        <v>3</v>
      </c>
      <c r="K230" t="s">
        <v>112</v>
      </c>
      <c r="L230" t="s">
        <v>161</v>
      </c>
      <c r="M230">
        <v>2339</v>
      </c>
      <c r="N230" t="b">
        <v>1</v>
      </c>
      <c r="O230" t="s">
        <v>114</v>
      </c>
      <c r="P230">
        <v>10</v>
      </c>
      <c r="R230">
        <v>15</v>
      </c>
      <c r="T230" t="s">
        <v>145</v>
      </c>
      <c r="V230" t="s">
        <v>36</v>
      </c>
      <c r="X230">
        <v>1</v>
      </c>
      <c r="AA230" t="s">
        <v>117</v>
      </c>
    </row>
    <row r="231" spans="1:27" x14ac:dyDescent="0.2">
      <c r="A231">
        <v>2018</v>
      </c>
      <c r="B231" t="s">
        <v>10</v>
      </c>
      <c r="C231" t="s">
        <v>13</v>
      </c>
      <c r="D231" t="s">
        <v>177</v>
      </c>
      <c r="E231" t="s">
        <v>111</v>
      </c>
      <c r="F231" s="4">
        <v>43411</v>
      </c>
      <c r="G231" s="5">
        <v>0.86875000000000002</v>
      </c>
      <c r="H231">
        <v>-76.644361111111124</v>
      </c>
      <c r="I231">
        <v>3.3495277777777779</v>
      </c>
      <c r="J231">
        <v>3</v>
      </c>
      <c r="K231" t="s">
        <v>112</v>
      </c>
      <c r="L231" t="s">
        <v>227</v>
      </c>
      <c r="M231">
        <v>2339</v>
      </c>
      <c r="N231" t="b">
        <v>1</v>
      </c>
      <c r="O231" t="s">
        <v>114</v>
      </c>
      <c r="P231">
        <v>10</v>
      </c>
      <c r="R231">
        <v>15</v>
      </c>
      <c r="T231" t="s">
        <v>145</v>
      </c>
      <c r="V231" t="s">
        <v>9</v>
      </c>
      <c r="X231">
        <v>1</v>
      </c>
      <c r="AA231" t="s">
        <v>117</v>
      </c>
    </row>
    <row r="232" spans="1:27" x14ac:dyDescent="0.2">
      <c r="A232">
        <v>2018</v>
      </c>
      <c r="B232" t="s">
        <v>10</v>
      </c>
      <c r="C232" t="s">
        <v>13</v>
      </c>
      <c r="D232" t="s">
        <v>177</v>
      </c>
      <c r="E232" t="s">
        <v>111</v>
      </c>
      <c r="F232" s="4">
        <v>43411</v>
      </c>
      <c r="G232" s="5">
        <v>0.86875000000000002</v>
      </c>
      <c r="H232">
        <v>-76.644361111111124</v>
      </c>
      <c r="I232">
        <v>3.3495277777777779</v>
      </c>
      <c r="J232">
        <v>3</v>
      </c>
      <c r="K232" t="s">
        <v>112</v>
      </c>
      <c r="L232" t="s">
        <v>227</v>
      </c>
      <c r="M232">
        <v>2339</v>
      </c>
      <c r="N232" t="b">
        <v>1</v>
      </c>
      <c r="O232" t="s">
        <v>114</v>
      </c>
      <c r="P232">
        <v>10</v>
      </c>
      <c r="R232">
        <v>15</v>
      </c>
      <c r="T232" t="s">
        <v>145</v>
      </c>
      <c r="V232" t="s">
        <v>9</v>
      </c>
      <c r="X232">
        <v>1</v>
      </c>
      <c r="AA232" t="s">
        <v>117</v>
      </c>
    </row>
    <row r="233" spans="1:27" x14ac:dyDescent="0.2">
      <c r="A233">
        <v>2018</v>
      </c>
      <c r="B233" t="s">
        <v>10</v>
      </c>
      <c r="C233" t="s">
        <v>13</v>
      </c>
      <c r="D233" t="s">
        <v>177</v>
      </c>
      <c r="E233" t="s">
        <v>111</v>
      </c>
      <c r="F233" s="4">
        <v>43411</v>
      </c>
      <c r="G233" s="5">
        <v>0.87013888888888891</v>
      </c>
      <c r="H233">
        <v>-76.644361111111124</v>
      </c>
      <c r="I233">
        <v>3.3495277777777779</v>
      </c>
      <c r="J233">
        <v>3</v>
      </c>
      <c r="K233" t="s">
        <v>112</v>
      </c>
      <c r="L233" t="s">
        <v>161</v>
      </c>
      <c r="M233">
        <v>2339</v>
      </c>
      <c r="N233" t="b">
        <v>1</v>
      </c>
      <c r="O233" t="s">
        <v>114</v>
      </c>
      <c r="P233">
        <v>10</v>
      </c>
      <c r="R233">
        <v>15</v>
      </c>
      <c r="T233" t="s">
        <v>145</v>
      </c>
      <c r="V233" t="s">
        <v>9</v>
      </c>
      <c r="X233">
        <v>1</v>
      </c>
      <c r="AA233" t="s">
        <v>117</v>
      </c>
    </row>
    <row r="234" spans="1:27" x14ac:dyDescent="0.2">
      <c r="A234">
        <v>2018</v>
      </c>
      <c r="B234" t="s">
        <v>10</v>
      </c>
      <c r="C234" t="s">
        <v>13</v>
      </c>
      <c r="D234" t="s">
        <v>177</v>
      </c>
      <c r="E234" t="s">
        <v>111</v>
      </c>
      <c r="F234" s="4">
        <v>43411</v>
      </c>
      <c r="G234" s="5">
        <v>0.87777777777777777</v>
      </c>
      <c r="H234">
        <v>-76.644222222222226</v>
      </c>
      <c r="I234">
        <v>3.3496111111111109</v>
      </c>
      <c r="J234">
        <v>3</v>
      </c>
      <c r="K234" t="s">
        <v>112</v>
      </c>
      <c r="L234" t="s">
        <v>161</v>
      </c>
      <c r="M234">
        <v>2339</v>
      </c>
      <c r="N234" t="b">
        <v>1</v>
      </c>
      <c r="O234" t="s">
        <v>114</v>
      </c>
      <c r="P234">
        <v>30</v>
      </c>
      <c r="R234">
        <v>25</v>
      </c>
      <c r="T234" t="s">
        <v>145</v>
      </c>
      <c r="V234" t="s">
        <v>9</v>
      </c>
      <c r="X234">
        <v>1</v>
      </c>
      <c r="AA234" t="s">
        <v>117</v>
      </c>
    </row>
    <row r="235" spans="1:27" x14ac:dyDescent="0.2">
      <c r="A235">
        <v>2018</v>
      </c>
      <c r="B235" t="s">
        <v>10</v>
      </c>
      <c r="C235" t="s">
        <v>13</v>
      </c>
      <c r="D235" t="s">
        <v>177</v>
      </c>
      <c r="E235" t="s">
        <v>111</v>
      </c>
      <c r="F235" s="4">
        <v>43411</v>
      </c>
      <c r="G235" s="5">
        <v>0.88402777777777775</v>
      </c>
      <c r="H235">
        <v>-76.644027777777779</v>
      </c>
      <c r="I235">
        <v>3.3495555555555558</v>
      </c>
      <c r="J235">
        <v>3</v>
      </c>
      <c r="K235" t="s">
        <v>112</v>
      </c>
      <c r="L235" t="s">
        <v>161</v>
      </c>
      <c r="M235">
        <v>2339</v>
      </c>
      <c r="N235" t="b">
        <v>1</v>
      </c>
      <c r="O235" t="s">
        <v>114</v>
      </c>
      <c r="P235">
        <v>25</v>
      </c>
      <c r="R235">
        <v>60</v>
      </c>
      <c r="T235" t="s">
        <v>145</v>
      </c>
      <c r="V235" t="s">
        <v>9</v>
      </c>
      <c r="X235">
        <v>1</v>
      </c>
      <c r="AA235" t="s">
        <v>117</v>
      </c>
    </row>
    <row r="236" spans="1:27" x14ac:dyDescent="0.2">
      <c r="A236">
        <v>2018</v>
      </c>
      <c r="B236" t="s">
        <v>10</v>
      </c>
      <c r="C236" t="s">
        <v>13</v>
      </c>
      <c r="D236" t="s">
        <v>177</v>
      </c>
      <c r="E236" t="s">
        <v>111</v>
      </c>
      <c r="F236" s="4">
        <v>43411</v>
      </c>
      <c r="G236" s="5">
        <v>0.87152777777777779</v>
      </c>
      <c r="H236">
        <v>-76.644305555555562</v>
      </c>
      <c r="I236">
        <v>3.3495555555555558</v>
      </c>
      <c r="J236">
        <v>3</v>
      </c>
      <c r="K236" t="s">
        <v>119</v>
      </c>
      <c r="L236" t="s">
        <v>120</v>
      </c>
      <c r="M236">
        <v>2339</v>
      </c>
      <c r="N236" t="b">
        <v>1</v>
      </c>
      <c r="O236" t="s">
        <v>114</v>
      </c>
      <c r="P236">
        <v>25</v>
      </c>
      <c r="R236">
        <v>15</v>
      </c>
      <c r="T236" t="s">
        <v>145</v>
      </c>
      <c r="V236" t="s">
        <v>9</v>
      </c>
      <c r="X236">
        <v>1</v>
      </c>
      <c r="AA236" t="s">
        <v>117</v>
      </c>
    </row>
    <row r="237" spans="1:27" x14ac:dyDescent="0.2">
      <c r="A237">
        <v>2018</v>
      </c>
      <c r="B237" t="s">
        <v>10</v>
      </c>
      <c r="C237" t="s">
        <v>13</v>
      </c>
      <c r="D237" t="s">
        <v>179</v>
      </c>
      <c r="E237" t="s">
        <v>122</v>
      </c>
      <c r="F237" s="4">
        <v>43411</v>
      </c>
      <c r="G237" s="5">
        <v>0.91111111111111109</v>
      </c>
      <c r="H237">
        <v>-76.643111111111111</v>
      </c>
      <c r="I237">
        <v>3.3495555555555558</v>
      </c>
      <c r="J237">
        <v>3</v>
      </c>
      <c r="K237" t="s">
        <v>112</v>
      </c>
      <c r="L237" t="s">
        <v>161</v>
      </c>
      <c r="M237">
        <v>2315</v>
      </c>
      <c r="N237" t="b">
        <v>1</v>
      </c>
      <c r="O237" t="s">
        <v>114</v>
      </c>
      <c r="P237">
        <v>25</v>
      </c>
      <c r="R237">
        <v>35</v>
      </c>
      <c r="T237" t="s">
        <v>145</v>
      </c>
      <c r="V237" t="s">
        <v>38</v>
      </c>
      <c r="X237">
        <v>1</v>
      </c>
      <c r="AA237" t="s">
        <v>117</v>
      </c>
    </row>
    <row r="238" spans="1:27" x14ac:dyDescent="0.2">
      <c r="A238">
        <v>2018</v>
      </c>
      <c r="B238" t="s">
        <v>10</v>
      </c>
      <c r="C238" t="s">
        <v>13</v>
      </c>
      <c r="D238" t="s">
        <v>179</v>
      </c>
      <c r="E238" t="s">
        <v>122</v>
      </c>
      <c r="F238" s="4">
        <v>43411</v>
      </c>
      <c r="G238" s="5">
        <v>0.9243055555555556</v>
      </c>
      <c r="H238">
        <v>-76.643055555555563</v>
      </c>
      <c r="I238">
        <v>3.3496944444444452</v>
      </c>
      <c r="J238">
        <v>3</v>
      </c>
      <c r="K238" t="s">
        <v>112</v>
      </c>
      <c r="L238" t="s">
        <v>160</v>
      </c>
      <c r="M238">
        <v>2312</v>
      </c>
      <c r="N238" t="b">
        <v>1</v>
      </c>
      <c r="O238" t="s">
        <v>114</v>
      </c>
      <c r="P238">
        <v>30</v>
      </c>
      <c r="R238">
        <v>45</v>
      </c>
      <c r="T238" t="s">
        <v>145</v>
      </c>
      <c r="V238" t="s">
        <v>9</v>
      </c>
      <c r="X238">
        <v>1</v>
      </c>
      <c r="AA238" t="s">
        <v>117</v>
      </c>
    </row>
    <row r="239" spans="1:27" x14ac:dyDescent="0.2">
      <c r="A239">
        <v>2018</v>
      </c>
      <c r="B239" t="s">
        <v>10</v>
      </c>
      <c r="C239" t="s">
        <v>13</v>
      </c>
      <c r="D239" t="s">
        <v>179</v>
      </c>
      <c r="E239" t="s">
        <v>122</v>
      </c>
      <c r="F239" s="4">
        <v>43411</v>
      </c>
      <c r="G239" s="5">
        <v>0.91041666666666665</v>
      </c>
      <c r="H239">
        <v>-76.643111111111111</v>
      </c>
      <c r="I239">
        <v>3.348444444444445</v>
      </c>
      <c r="J239">
        <v>3</v>
      </c>
      <c r="K239" t="s">
        <v>112</v>
      </c>
      <c r="L239" t="s">
        <v>160</v>
      </c>
      <c r="M239">
        <v>2315</v>
      </c>
      <c r="N239" t="b">
        <v>1</v>
      </c>
      <c r="O239" t="s">
        <v>114</v>
      </c>
      <c r="P239">
        <v>25</v>
      </c>
      <c r="R239">
        <v>35</v>
      </c>
      <c r="T239" t="s">
        <v>145</v>
      </c>
      <c r="V239" t="s">
        <v>9</v>
      </c>
      <c r="X239">
        <v>1</v>
      </c>
      <c r="AA239" t="s">
        <v>117</v>
      </c>
    </row>
    <row r="240" spans="1:27" x14ac:dyDescent="0.2">
      <c r="A240">
        <v>2018</v>
      </c>
      <c r="B240" t="s">
        <v>10</v>
      </c>
      <c r="C240" t="s">
        <v>11</v>
      </c>
      <c r="D240" t="s">
        <v>182</v>
      </c>
      <c r="E240" t="s">
        <v>127</v>
      </c>
      <c r="F240" s="4">
        <v>43412</v>
      </c>
      <c r="G240" s="5">
        <v>0.79027777777777775</v>
      </c>
      <c r="H240">
        <v>-76.656194444444452</v>
      </c>
      <c r="I240">
        <v>3.3552222222222219</v>
      </c>
      <c r="J240">
        <v>3</v>
      </c>
      <c r="K240" t="s">
        <v>119</v>
      </c>
      <c r="L240" t="s">
        <v>161</v>
      </c>
      <c r="M240">
        <v>2448</v>
      </c>
      <c r="N240" t="s">
        <v>114</v>
      </c>
      <c r="O240" t="b">
        <v>1</v>
      </c>
      <c r="P240">
        <v>20</v>
      </c>
      <c r="Q240">
        <v>1</v>
      </c>
      <c r="R240">
        <v>25</v>
      </c>
      <c r="T240" t="s">
        <v>167</v>
      </c>
      <c r="V240" t="s">
        <v>38</v>
      </c>
      <c r="X240">
        <v>1</v>
      </c>
      <c r="AA240" t="s">
        <v>117</v>
      </c>
    </row>
    <row r="241" spans="1:27" x14ac:dyDescent="0.2">
      <c r="A241">
        <v>2018</v>
      </c>
      <c r="B241" t="s">
        <v>10</v>
      </c>
      <c r="C241" t="s">
        <v>11</v>
      </c>
      <c r="D241" t="s">
        <v>186</v>
      </c>
      <c r="E241" t="s">
        <v>122</v>
      </c>
      <c r="F241" s="4">
        <v>43412</v>
      </c>
      <c r="G241" s="5">
        <v>0.82499999999999996</v>
      </c>
      <c r="H241">
        <v>-76.65613888888889</v>
      </c>
      <c r="I241">
        <v>3.354805555555556</v>
      </c>
      <c r="J241">
        <v>3</v>
      </c>
      <c r="K241" t="s">
        <v>119</v>
      </c>
      <c r="L241" t="s">
        <v>161</v>
      </c>
      <c r="M241">
        <v>2450</v>
      </c>
      <c r="N241" t="b">
        <v>1</v>
      </c>
      <c r="O241" t="s">
        <v>114</v>
      </c>
      <c r="P241">
        <v>25</v>
      </c>
      <c r="R241">
        <v>45</v>
      </c>
      <c r="T241" t="s">
        <v>145</v>
      </c>
      <c r="V241" t="s">
        <v>9</v>
      </c>
      <c r="X241">
        <v>1</v>
      </c>
      <c r="AA241" t="s">
        <v>117</v>
      </c>
    </row>
    <row r="242" spans="1:27" x14ac:dyDescent="0.2">
      <c r="A242">
        <v>2018</v>
      </c>
      <c r="B242" t="s">
        <v>10</v>
      </c>
      <c r="C242" t="s">
        <v>11</v>
      </c>
      <c r="D242" t="s">
        <v>186</v>
      </c>
      <c r="E242" t="s">
        <v>122</v>
      </c>
      <c r="F242" s="4">
        <v>43412</v>
      </c>
      <c r="G242" s="5">
        <v>0.83263888888888893</v>
      </c>
      <c r="H242">
        <v>-76.656000000000006</v>
      </c>
      <c r="I242">
        <v>3.3547777777777781</v>
      </c>
      <c r="J242">
        <v>3</v>
      </c>
      <c r="K242" t="s">
        <v>119</v>
      </c>
      <c r="L242" t="s">
        <v>160</v>
      </c>
      <c r="M242">
        <v>2451</v>
      </c>
      <c r="N242" t="b">
        <v>1</v>
      </c>
      <c r="O242" t="s">
        <v>114</v>
      </c>
      <c r="P242">
        <v>30</v>
      </c>
      <c r="R242">
        <v>80</v>
      </c>
      <c r="T242" t="s">
        <v>145</v>
      </c>
      <c r="V242" t="s">
        <v>40</v>
      </c>
      <c r="X242">
        <v>1</v>
      </c>
      <c r="AA242" t="s">
        <v>117</v>
      </c>
    </row>
    <row r="243" spans="1:27" x14ac:dyDescent="0.2">
      <c r="A243">
        <v>2018</v>
      </c>
      <c r="B243" t="s">
        <v>10</v>
      </c>
      <c r="C243" t="s">
        <v>11</v>
      </c>
      <c r="D243" t="s">
        <v>186</v>
      </c>
      <c r="E243" t="s">
        <v>122</v>
      </c>
      <c r="F243" s="4">
        <v>43412</v>
      </c>
      <c r="G243" s="5">
        <v>0.83333333333333337</v>
      </c>
      <c r="H243">
        <v>-76.656000000000006</v>
      </c>
      <c r="I243">
        <v>3.3547777777777781</v>
      </c>
      <c r="J243">
        <v>3</v>
      </c>
      <c r="K243" t="s">
        <v>119</v>
      </c>
      <c r="L243" t="s">
        <v>161</v>
      </c>
      <c r="M243">
        <v>2451</v>
      </c>
      <c r="N243" t="b">
        <v>1</v>
      </c>
      <c r="O243" t="s">
        <v>114</v>
      </c>
      <c r="P243">
        <v>30</v>
      </c>
      <c r="T243" t="s">
        <v>145</v>
      </c>
      <c r="U243" t="s">
        <v>187</v>
      </c>
      <c r="V243" t="s">
        <v>9</v>
      </c>
      <c r="X243">
        <v>1</v>
      </c>
      <c r="AA243" t="s">
        <v>117</v>
      </c>
    </row>
    <row r="244" spans="1:27" x14ac:dyDescent="0.2">
      <c r="A244">
        <v>2018</v>
      </c>
      <c r="B244" t="s">
        <v>10</v>
      </c>
      <c r="C244" t="s">
        <v>11</v>
      </c>
      <c r="D244" t="s">
        <v>186</v>
      </c>
      <c r="E244" t="s">
        <v>122</v>
      </c>
      <c r="F244" s="4">
        <v>43412</v>
      </c>
      <c r="G244" s="5">
        <v>0.83888888888888891</v>
      </c>
      <c r="H244">
        <v>-76.65580555555556</v>
      </c>
      <c r="I244">
        <v>3.3545833333333328</v>
      </c>
      <c r="J244">
        <v>3</v>
      </c>
      <c r="K244" t="s">
        <v>119</v>
      </c>
      <c r="L244" t="s">
        <v>161</v>
      </c>
      <c r="M244">
        <v>2449</v>
      </c>
      <c r="N244" t="b">
        <v>1</v>
      </c>
      <c r="O244" t="s">
        <v>114</v>
      </c>
      <c r="P244">
        <v>20</v>
      </c>
      <c r="R244">
        <v>75</v>
      </c>
      <c r="T244" t="s">
        <v>145</v>
      </c>
      <c r="V244" t="s">
        <v>40</v>
      </c>
      <c r="X244">
        <v>1</v>
      </c>
      <c r="AA244" t="s">
        <v>117</v>
      </c>
    </row>
    <row r="245" spans="1:27" x14ac:dyDescent="0.2">
      <c r="A245">
        <v>2018</v>
      </c>
      <c r="B245" t="s">
        <v>10</v>
      </c>
      <c r="C245" t="s">
        <v>11</v>
      </c>
      <c r="D245" t="s">
        <v>228</v>
      </c>
      <c r="E245" t="s">
        <v>111</v>
      </c>
      <c r="F245" s="4">
        <v>43412</v>
      </c>
      <c r="G245" s="5">
        <v>0.87777777777777777</v>
      </c>
      <c r="H245">
        <v>-76.655166666666673</v>
      </c>
      <c r="I245">
        <v>3.3539444444444451</v>
      </c>
      <c r="J245">
        <v>3</v>
      </c>
      <c r="K245" t="s">
        <v>112</v>
      </c>
      <c r="L245" t="s">
        <v>161</v>
      </c>
      <c r="M245">
        <v>2445</v>
      </c>
      <c r="N245" t="b">
        <v>1</v>
      </c>
      <c r="O245" t="s">
        <v>114</v>
      </c>
      <c r="P245">
        <v>20</v>
      </c>
      <c r="R245">
        <v>30</v>
      </c>
      <c r="T245" t="s">
        <v>145</v>
      </c>
      <c r="V245" t="s">
        <v>9</v>
      </c>
      <c r="X245">
        <v>1</v>
      </c>
      <c r="AA245" t="s">
        <v>117</v>
      </c>
    </row>
    <row r="246" spans="1:27" x14ac:dyDescent="0.2">
      <c r="A246">
        <v>2018</v>
      </c>
      <c r="B246" t="s">
        <v>10</v>
      </c>
      <c r="C246" t="s">
        <v>11</v>
      </c>
      <c r="D246" t="s">
        <v>228</v>
      </c>
      <c r="E246" t="s">
        <v>111</v>
      </c>
      <c r="F246" s="4">
        <v>43412</v>
      </c>
      <c r="G246" s="5">
        <v>0.88194444444444442</v>
      </c>
      <c r="H246">
        <v>-76.655027777777789</v>
      </c>
      <c r="I246">
        <v>3.3538888888888891</v>
      </c>
      <c r="J246">
        <v>3</v>
      </c>
      <c r="K246" t="s">
        <v>112</v>
      </c>
      <c r="L246" t="s">
        <v>161</v>
      </c>
      <c r="M246">
        <v>2445</v>
      </c>
      <c r="N246" t="b">
        <v>1</v>
      </c>
      <c r="O246" t="s">
        <v>114</v>
      </c>
      <c r="P246">
        <v>20</v>
      </c>
      <c r="R246">
        <v>30</v>
      </c>
      <c r="T246" t="s">
        <v>145</v>
      </c>
      <c r="V246" t="s">
        <v>59</v>
      </c>
      <c r="X246">
        <v>1</v>
      </c>
      <c r="AA246" t="s">
        <v>117</v>
      </c>
    </row>
    <row r="247" spans="1:27" x14ac:dyDescent="0.2">
      <c r="A247">
        <v>2018</v>
      </c>
      <c r="B247" t="s">
        <v>10</v>
      </c>
      <c r="C247" t="s">
        <v>11</v>
      </c>
      <c r="D247" t="s">
        <v>229</v>
      </c>
      <c r="E247" t="s">
        <v>135</v>
      </c>
      <c r="F247" s="4">
        <v>43412</v>
      </c>
      <c r="G247" s="5">
        <v>0.88749999999999996</v>
      </c>
      <c r="H247">
        <v>-76.654972222222227</v>
      </c>
      <c r="I247">
        <v>3.356611111111111</v>
      </c>
      <c r="J247">
        <v>3</v>
      </c>
      <c r="K247" t="s">
        <v>112</v>
      </c>
      <c r="L247" t="s">
        <v>160</v>
      </c>
      <c r="M247">
        <v>2443</v>
      </c>
      <c r="N247" t="b">
        <v>1</v>
      </c>
      <c r="O247" t="s">
        <v>114</v>
      </c>
      <c r="P247">
        <v>25</v>
      </c>
      <c r="R247">
        <v>20</v>
      </c>
      <c r="T247" t="s">
        <v>145</v>
      </c>
      <c r="V247" t="s">
        <v>39</v>
      </c>
      <c r="X247">
        <v>1</v>
      </c>
      <c r="AA247" t="s">
        <v>117</v>
      </c>
    </row>
    <row r="248" spans="1:27" x14ac:dyDescent="0.2">
      <c r="A248">
        <v>2018</v>
      </c>
      <c r="B248" t="s">
        <v>10</v>
      </c>
      <c r="C248" t="s">
        <v>11</v>
      </c>
      <c r="D248" t="s">
        <v>228</v>
      </c>
      <c r="E248" t="s">
        <v>111</v>
      </c>
      <c r="F248" s="4">
        <v>43412</v>
      </c>
      <c r="G248" s="5">
        <v>0.875</v>
      </c>
      <c r="H248">
        <v>-76.655027777777789</v>
      </c>
      <c r="I248">
        <v>3.3538888888888891</v>
      </c>
      <c r="J248">
        <v>3</v>
      </c>
      <c r="K248" t="s">
        <v>119</v>
      </c>
      <c r="L248" t="s">
        <v>120</v>
      </c>
      <c r="M248">
        <v>2445</v>
      </c>
      <c r="N248" t="b">
        <v>1</v>
      </c>
      <c r="O248" t="s">
        <v>114</v>
      </c>
      <c r="P248">
        <v>20</v>
      </c>
      <c r="R248">
        <v>30</v>
      </c>
      <c r="T248" t="s">
        <v>145</v>
      </c>
      <c r="V248" t="s">
        <v>40</v>
      </c>
      <c r="X248">
        <v>1</v>
      </c>
      <c r="AA248" t="s">
        <v>117</v>
      </c>
    </row>
    <row r="249" spans="1:27" x14ac:dyDescent="0.2">
      <c r="A249">
        <v>2018</v>
      </c>
      <c r="B249" t="s">
        <v>10</v>
      </c>
      <c r="C249" t="s">
        <v>12</v>
      </c>
      <c r="D249" t="s">
        <v>189</v>
      </c>
      <c r="E249" t="s">
        <v>157</v>
      </c>
      <c r="F249" s="4">
        <v>43412</v>
      </c>
      <c r="G249" s="5">
        <v>0.90763888888888888</v>
      </c>
      <c r="H249">
        <v>-76.653000000000006</v>
      </c>
      <c r="I249">
        <v>3.353388888888889</v>
      </c>
      <c r="J249">
        <v>3</v>
      </c>
      <c r="K249" t="s">
        <v>112</v>
      </c>
      <c r="M249">
        <v>2414</v>
      </c>
      <c r="N249" t="b">
        <v>1</v>
      </c>
      <c r="O249" t="s">
        <v>114</v>
      </c>
      <c r="T249" t="s">
        <v>145</v>
      </c>
      <c r="V249" t="s">
        <v>47</v>
      </c>
      <c r="X249">
        <v>0</v>
      </c>
      <c r="AA249" t="s">
        <v>117</v>
      </c>
    </row>
    <row r="250" spans="1:27" x14ac:dyDescent="0.2">
      <c r="A250">
        <v>2018</v>
      </c>
      <c r="B250" t="s">
        <v>10</v>
      </c>
      <c r="C250" t="s">
        <v>12</v>
      </c>
      <c r="D250" t="s">
        <v>189</v>
      </c>
      <c r="E250" t="s">
        <v>157</v>
      </c>
      <c r="F250" s="4">
        <v>43412</v>
      </c>
      <c r="G250" s="5">
        <v>0.90763888888888888</v>
      </c>
      <c r="H250">
        <v>-76.653000000000006</v>
      </c>
      <c r="I250">
        <v>3.353388888888889</v>
      </c>
      <c r="J250">
        <v>3</v>
      </c>
      <c r="K250" t="s">
        <v>119</v>
      </c>
      <c r="M250">
        <v>2414</v>
      </c>
      <c r="N250" t="b">
        <v>1</v>
      </c>
      <c r="O250" t="s">
        <v>114</v>
      </c>
      <c r="T250" t="s">
        <v>145</v>
      </c>
      <c r="V250" t="s">
        <v>47</v>
      </c>
      <c r="X250">
        <v>0</v>
      </c>
      <c r="AA250" t="s">
        <v>117</v>
      </c>
    </row>
    <row r="251" spans="1:27" x14ac:dyDescent="0.2">
      <c r="A251">
        <v>2018</v>
      </c>
      <c r="B251" t="s">
        <v>15</v>
      </c>
      <c r="C251" t="s">
        <v>17</v>
      </c>
      <c r="D251" t="s">
        <v>138</v>
      </c>
      <c r="E251" t="s">
        <v>135</v>
      </c>
      <c r="F251" s="4">
        <v>43233</v>
      </c>
      <c r="G251" s="5">
        <v>0.88680555555555551</v>
      </c>
      <c r="H251">
        <v>-76.690633333333338</v>
      </c>
      <c r="I251">
        <v>3.4063583333333329</v>
      </c>
      <c r="J251">
        <v>2</v>
      </c>
      <c r="K251" t="s">
        <v>112</v>
      </c>
      <c r="L251" t="s">
        <v>120</v>
      </c>
      <c r="M251">
        <v>3425</v>
      </c>
      <c r="N251" t="b">
        <v>1</v>
      </c>
      <c r="O251" t="s">
        <v>114</v>
      </c>
      <c r="P251">
        <v>1.5</v>
      </c>
      <c r="R251">
        <v>5</v>
      </c>
      <c r="S251" t="s">
        <v>159</v>
      </c>
      <c r="T251" t="s">
        <v>201</v>
      </c>
      <c r="V251" t="s">
        <v>6</v>
      </c>
      <c r="X251">
        <v>1</v>
      </c>
      <c r="AA251" t="s">
        <v>117</v>
      </c>
    </row>
    <row r="252" spans="1:27" x14ac:dyDescent="0.2">
      <c r="A252">
        <v>2018</v>
      </c>
      <c r="B252" t="s">
        <v>15</v>
      </c>
      <c r="C252" t="s">
        <v>17</v>
      </c>
      <c r="D252" t="s">
        <v>138</v>
      </c>
      <c r="E252" t="s">
        <v>135</v>
      </c>
      <c r="F252" s="4">
        <v>43233</v>
      </c>
      <c r="G252" s="5">
        <v>0.89444444444444449</v>
      </c>
      <c r="H252">
        <v>-76.690638888888898</v>
      </c>
      <c r="I252">
        <v>3.4063555555555549</v>
      </c>
      <c r="J252">
        <v>2</v>
      </c>
      <c r="K252" t="s">
        <v>230</v>
      </c>
      <c r="L252" t="s">
        <v>194</v>
      </c>
      <c r="M252">
        <v>3425</v>
      </c>
      <c r="N252" t="b">
        <v>1</v>
      </c>
      <c r="O252" t="s">
        <v>114</v>
      </c>
      <c r="P252">
        <v>1.5</v>
      </c>
      <c r="R252">
        <v>60</v>
      </c>
      <c r="S252" t="s">
        <v>159</v>
      </c>
      <c r="T252" t="s">
        <v>201</v>
      </c>
      <c r="U252" t="s">
        <v>231</v>
      </c>
      <c r="V252" t="s">
        <v>39</v>
      </c>
      <c r="X252">
        <v>1</v>
      </c>
      <c r="AA252" t="s">
        <v>117</v>
      </c>
    </row>
    <row r="253" spans="1:27" x14ac:dyDescent="0.2">
      <c r="A253">
        <v>2018</v>
      </c>
      <c r="B253" t="s">
        <v>49</v>
      </c>
      <c r="C253" t="s">
        <v>51</v>
      </c>
      <c r="D253" t="s">
        <v>223</v>
      </c>
      <c r="E253" t="s">
        <v>122</v>
      </c>
      <c r="F253" s="4">
        <v>43438</v>
      </c>
      <c r="G253" s="5">
        <v>0.97986111111111107</v>
      </c>
      <c r="H253">
        <v>-76.882583333333329</v>
      </c>
      <c r="I253">
        <v>3.5523055555555549</v>
      </c>
      <c r="J253">
        <v>3</v>
      </c>
      <c r="K253" t="s">
        <v>112</v>
      </c>
      <c r="L253" t="s">
        <v>161</v>
      </c>
      <c r="M253">
        <v>527</v>
      </c>
      <c r="N253" t="b">
        <v>1</v>
      </c>
      <c r="O253" t="s">
        <v>114</v>
      </c>
      <c r="P253">
        <v>3</v>
      </c>
      <c r="R253">
        <v>5</v>
      </c>
      <c r="T253" t="s">
        <v>167</v>
      </c>
      <c r="V253" t="s">
        <v>46</v>
      </c>
      <c r="X253">
        <v>1</v>
      </c>
      <c r="AA253" t="s">
        <v>117</v>
      </c>
    </row>
    <row r="254" spans="1:27" x14ac:dyDescent="0.2">
      <c r="A254">
        <v>2018</v>
      </c>
      <c r="B254" t="s">
        <v>49</v>
      </c>
      <c r="C254" t="s">
        <v>51</v>
      </c>
      <c r="D254" t="s">
        <v>223</v>
      </c>
      <c r="E254" t="s">
        <v>122</v>
      </c>
      <c r="F254" s="4">
        <v>43438</v>
      </c>
      <c r="G254" s="5">
        <v>0.97986111111111107</v>
      </c>
      <c r="H254">
        <v>-76.882583333333329</v>
      </c>
      <c r="I254">
        <v>3.5523055555555549</v>
      </c>
      <c r="J254">
        <v>3</v>
      </c>
      <c r="K254" t="s">
        <v>112</v>
      </c>
      <c r="L254" t="s">
        <v>161</v>
      </c>
      <c r="M254">
        <v>528</v>
      </c>
      <c r="N254" t="b">
        <v>1</v>
      </c>
      <c r="O254" t="s">
        <v>114</v>
      </c>
      <c r="P254">
        <v>3</v>
      </c>
      <c r="R254">
        <v>5</v>
      </c>
      <c r="T254" t="s">
        <v>167</v>
      </c>
      <c r="V254" t="s">
        <v>46</v>
      </c>
      <c r="X254">
        <v>1</v>
      </c>
      <c r="AA254" t="s">
        <v>117</v>
      </c>
    </row>
    <row r="255" spans="1:27" x14ac:dyDescent="0.2">
      <c r="A255">
        <v>2018</v>
      </c>
      <c r="B255" t="s">
        <v>49</v>
      </c>
      <c r="C255" t="s">
        <v>51</v>
      </c>
      <c r="D255" t="s">
        <v>223</v>
      </c>
      <c r="E255" t="s">
        <v>122</v>
      </c>
      <c r="F255" s="4">
        <v>43438</v>
      </c>
      <c r="G255" s="5">
        <v>0.97986111111111107</v>
      </c>
      <c r="H255">
        <v>-76.882583333333329</v>
      </c>
      <c r="I255">
        <v>3.5523055555555549</v>
      </c>
      <c r="J255">
        <v>3</v>
      </c>
      <c r="K255" t="s">
        <v>112</v>
      </c>
      <c r="L255" t="s">
        <v>161</v>
      </c>
      <c r="M255">
        <v>529</v>
      </c>
      <c r="N255" t="b">
        <v>1</v>
      </c>
      <c r="O255" t="s">
        <v>114</v>
      </c>
      <c r="P255">
        <v>3</v>
      </c>
      <c r="R255">
        <v>5</v>
      </c>
      <c r="T255" t="s">
        <v>167</v>
      </c>
      <c r="V255" t="s">
        <v>46</v>
      </c>
      <c r="X255">
        <v>1</v>
      </c>
      <c r="AA255" t="s">
        <v>117</v>
      </c>
    </row>
    <row r="256" spans="1:27" x14ac:dyDescent="0.2">
      <c r="A256">
        <v>2018</v>
      </c>
      <c r="B256" t="s">
        <v>49</v>
      </c>
      <c r="C256" t="s">
        <v>51</v>
      </c>
      <c r="D256" t="s">
        <v>223</v>
      </c>
      <c r="E256" t="s">
        <v>122</v>
      </c>
      <c r="F256" s="4">
        <v>43438</v>
      </c>
      <c r="G256" s="5">
        <v>0.97986111111111107</v>
      </c>
      <c r="H256">
        <v>-76.882583333333329</v>
      </c>
      <c r="I256">
        <v>3.5523055555555549</v>
      </c>
      <c r="J256">
        <v>3</v>
      </c>
      <c r="K256" t="s">
        <v>112</v>
      </c>
      <c r="L256" t="s">
        <v>161</v>
      </c>
      <c r="M256">
        <v>530</v>
      </c>
      <c r="N256" t="b">
        <v>1</v>
      </c>
      <c r="O256" t="s">
        <v>114</v>
      </c>
      <c r="P256">
        <v>3</v>
      </c>
      <c r="R256">
        <v>5</v>
      </c>
      <c r="T256" t="s">
        <v>167</v>
      </c>
      <c r="V256" t="s">
        <v>46</v>
      </c>
      <c r="X256">
        <v>1</v>
      </c>
      <c r="AA256" t="s">
        <v>117</v>
      </c>
    </row>
    <row r="257" spans="1:27" x14ac:dyDescent="0.2">
      <c r="A257">
        <v>2018</v>
      </c>
      <c r="B257" t="s">
        <v>49</v>
      </c>
      <c r="C257" t="s">
        <v>51</v>
      </c>
      <c r="D257" t="s">
        <v>223</v>
      </c>
      <c r="E257" t="s">
        <v>122</v>
      </c>
      <c r="F257" s="4">
        <v>43438</v>
      </c>
      <c r="G257" s="5">
        <v>0.97986111111111107</v>
      </c>
      <c r="H257">
        <v>-76.882583333333329</v>
      </c>
      <c r="I257">
        <v>3.5523055555555549</v>
      </c>
      <c r="J257">
        <v>3</v>
      </c>
      <c r="K257" t="s">
        <v>112</v>
      </c>
      <c r="L257" t="s">
        <v>161</v>
      </c>
      <c r="M257">
        <v>531</v>
      </c>
      <c r="N257" t="b">
        <v>1</v>
      </c>
      <c r="O257" t="s">
        <v>114</v>
      </c>
      <c r="P257">
        <v>3</v>
      </c>
      <c r="R257">
        <v>5</v>
      </c>
      <c r="T257" t="s">
        <v>167</v>
      </c>
      <c r="V257" t="s">
        <v>46</v>
      </c>
      <c r="X257">
        <v>1</v>
      </c>
      <c r="AA257" t="s">
        <v>117</v>
      </c>
    </row>
    <row r="258" spans="1:27" x14ac:dyDescent="0.2">
      <c r="A258">
        <v>2018</v>
      </c>
      <c r="B258" t="s">
        <v>10</v>
      </c>
      <c r="C258" t="s">
        <v>12</v>
      </c>
      <c r="D258" t="s">
        <v>192</v>
      </c>
      <c r="E258" t="s">
        <v>135</v>
      </c>
      <c r="F258" s="4">
        <v>43412</v>
      </c>
      <c r="G258" s="5">
        <v>0.92500000000000004</v>
      </c>
      <c r="H258">
        <v>-76.651499999999999</v>
      </c>
      <c r="I258">
        <v>3.353194444444445</v>
      </c>
      <c r="J258">
        <v>3</v>
      </c>
      <c r="K258" t="s">
        <v>119</v>
      </c>
      <c r="M258">
        <v>2402</v>
      </c>
      <c r="N258" t="b">
        <v>1</v>
      </c>
      <c r="O258" t="s">
        <v>114</v>
      </c>
      <c r="T258" t="s">
        <v>145</v>
      </c>
      <c r="V258" t="s">
        <v>47</v>
      </c>
      <c r="X258">
        <v>0</v>
      </c>
      <c r="AA258" t="s">
        <v>117</v>
      </c>
    </row>
    <row r="259" spans="1:27" x14ac:dyDescent="0.2">
      <c r="A259">
        <v>2018</v>
      </c>
      <c r="B259" t="s">
        <v>10</v>
      </c>
      <c r="C259" t="s">
        <v>12</v>
      </c>
      <c r="D259" t="s">
        <v>192</v>
      </c>
      <c r="E259" t="s">
        <v>135</v>
      </c>
      <c r="F259" s="4">
        <v>43412</v>
      </c>
      <c r="G259" s="5">
        <v>0.92500000000000004</v>
      </c>
      <c r="H259">
        <v>-76.651499999999999</v>
      </c>
      <c r="I259">
        <v>3.353194444444445</v>
      </c>
      <c r="J259">
        <v>3</v>
      </c>
      <c r="K259" t="s">
        <v>112</v>
      </c>
      <c r="M259">
        <v>2402</v>
      </c>
      <c r="N259" t="b">
        <v>1</v>
      </c>
      <c r="O259" t="s">
        <v>114</v>
      </c>
      <c r="T259" t="s">
        <v>145</v>
      </c>
      <c r="V259" t="s">
        <v>47</v>
      </c>
      <c r="X259">
        <v>0</v>
      </c>
      <c r="AA259" t="s">
        <v>117</v>
      </c>
    </row>
    <row r="260" spans="1:27" x14ac:dyDescent="0.2">
      <c r="A260">
        <v>2018</v>
      </c>
      <c r="B260" t="s">
        <v>10</v>
      </c>
      <c r="C260" t="s">
        <v>14</v>
      </c>
      <c r="D260" t="s">
        <v>180</v>
      </c>
      <c r="E260" t="s">
        <v>122</v>
      </c>
      <c r="F260" s="4">
        <v>43201</v>
      </c>
      <c r="G260" s="5">
        <v>0.86319444444444449</v>
      </c>
      <c r="H260">
        <v>-76.647155555555557</v>
      </c>
      <c r="I260">
        <v>3.349394444444445</v>
      </c>
      <c r="J260">
        <v>2</v>
      </c>
      <c r="K260" t="s">
        <v>119</v>
      </c>
      <c r="L260" t="s">
        <v>161</v>
      </c>
      <c r="M260">
        <v>2429</v>
      </c>
      <c r="N260" t="s">
        <v>114</v>
      </c>
      <c r="O260" t="b">
        <v>1</v>
      </c>
      <c r="P260">
        <v>10</v>
      </c>
      <c r="Q260">
        <v>1</v>
      </c>
      <c r="R260">
        <v>60</v>
      </c>
      <c r="S260" t="s">
        <v>159</v>
      </c>
      <c r="T260" t="s">
        <v>167</v>
      </c>
      <c r="V260" t="s">
        <v>9</v>
      </c>
      <c r="X260">
        <v>1</v>
      </c>
      <c r="AA260" t="s">
        <v>117</v>
      </c>
    </row>
    <row r="261" spans="1:27" x14ac:dyDescent="0.2">
      <c r="A261">
        <v>2018</v>
      </c>
      <c r="B261" t="s">
        <v>10</v>
      </c>
      <c r="C261" t="s">
        <v>14</v>
      </c>
      <c r="D261" t="s">
        <v>226</v>
      </c>
      <c r="E261" t="s">
        <v>111</v>
      </c>
      <c r="F261" s="4">
        <v>43201</v>
      </c>
      <c r="G261" s="5">
        <v>0.88611111111111107</v>
      </c>
      <c r="H261">
        <v>-76.647041666666667</v>
      </c>
      <c r="I261">
        <v>3.3489944444444451</v>
      </c>
      <c r="J261">
        <v>2</v>
      </c>
      <c r="K261" t="s">
        <v>112</v>
      </c>
      <c r="L261" t="s">
        <v>161</v>
      </c>
      <c r="M261">
        <v>2421</v>
      </c>
      <c r="N261" t="s">
        <v>114</v>
      </c>
      <c r="O261" t="b">
        <v>1</v>
      </c>
      <c r="P261">
        <v>5</v>
      </c>
      <c r="Q261">
        <v>0.5</v>
      </c>
      <c r="R261">
        <v>30</v>
      </c>
      <c r="S261" t="s">
        <v>159</v>
      </c>
      <c r="T261" t="s">
        <v>167</v>
      </c>
      <c r="V261" t="s">
        <v>40</v>
      </c>
      <c r="X261">
        <v>1</v>
      </c>
      <c r="AA261" t="s">
        <v>117</v>
      </c>
    </row>
    <row r="262" spans="1:27" x14ac:dyDescent="0.2">
      <c r="A262">
        <v>2018</v>
      </c>
      <c r="B262" t="s">
        <v>10</v>
      </c>
      <c r="C262" t="s">
        <v>14</v>
      </c>
      <c r="D262" t="s">
        <v>226</v>
      </c>
      <c r="E262" t="s">
        <v>111</v>
      </c>
      <c r="F262" s="4">
        <v>43201</v>
      </c>
      <c r="G262" s="5">
        <v>0.89583333333333337</v>
      </c>
      <c r="H262">
        <v>-76.647072222222235</v>
      </c>
      <c r="I262">
        <v>3.3487638888888891</v>
      </c>
      <c r="J262">
        <v>2</v>
      </c>
      <c r="K262" t="s">
        <v>119</v>
      </c>
      <c r="L262" t="s">
        <v>161</v>
      </c>
      <c r="M262">
        <v>2418</v>
      </c>
      <c r="N262" t="s">
        <v>114</v>
      </c>
      <c r="O262" t="b">
        <v>1</v>
      </c>
      <c r="P262">
        <v>8</v>
      </c>
      <c r="Q262">
        <v>0.5</v>
      </c>
      <c r="R262">
        <v>20</v>
      </c>
      <c r="S262" t="s">
        <v>159</v>
      </c>
      <c r="T262" t="s">
        <v>167</v>
      </c>
      <c r="V262" t="s">
        <v>9</v>
      </c>
      <c r="X262">
        <v>1</v>
      </c>
      <c r="AA262" t="s">
        <v>117</v>
      </c>
    </row>
    <row r="263" spans="1:27" x14ac:dyDescent="0.2">
      <c r="A263">
        <v>2018</v>
      </c>
      <c r="B263" t="s">
        <v>10</v>
      </c>
      <c r="C263" t="s">
        <v>14</v>
      </c>
      <c r="D263" t="s">
        <v>225</v>
      </c>
      <c r="E263" t="s">
        <v>135</v>
      </c>
      <c r="F263" s="4">
        <v>43201</v>
      </c>
      <c r="G263" s="5">
        <v>0.97777777777777775</v>
      </c>
      <c r="H263">
        <v>-76.644461111111113</v>
      </c>
      <c r="I263">
        <v>3.3496972222222219</v>
      </c>
      <c r="J263">
        <v>2</v>
      </c>
      <c r="K263" t="s">
        <v>112</v>
      </c>
      <c r="L263" t="s">
        <v>113</v>
      </c>
      <c r="M263">
        <v>2478</v>
      </c>
      <c r="N263" t="b">
        <v>1</v>
      </c>
      <c r="O263" t="s">
        <v>114</v>
      </c>
      <c r="P263">
        <v>10</v>
      </c>
      <c r="R263">
        <v>10</v>
      </c>
      <c r="S263" t="s">
        <v>159</v>
      </c>
      <c r="T263" t="s">
        <v>145</v>
      </c>
      <c r="V263" t="s">
        <v>9</v>
      </c>
      <c r="X263">
        <v>1</v>
      </c>
      <c r="AA263" t="s">
        <v>117</v>
      </c>
    </row>
    <row r="264" spans="1:27" x14ac:dyDescent="0.2">
      <c r="A264">
        <v>2018</v>
      </c>
      <c r="B264" t="s">
        <v>10</v>
      </c>
      <c r="C264" t="s">
        <v>13</v>
      </c>
      <c r="D264" t="s">
        <v>177</v>
      </c>
      <c r="E264" t="s">
        <v>111</v>
      </c>
      <c r="F264" s="4">
        <v>43201</v>
      </c>
      <c r="G264" s="5">
        <v>0.98263888888888884</v>
      </c>
      <c r="H264">
        <v>-76.644380555555557</v>
      </c>
      <c r="I264">
        <v>3.3495472222222218</v>
      </c>
      <c r="J264">
        <v>2</v>
      </c>
      <c r="K264" t="s">
        <v>112</v>
      </c>
      <c r="L264" t="s">
        <v>161</v>
      </c>
      <c r="M264">
        <v>2470</v>
      </c>
      <c r="N264" t="b">
        <v>1</v>
      </c>
      <c r="O264" t="s">
        <v>114</v>
      </c>
      <c r="P264">
        <v>20</v>
      </c>
      <c r="R264">
        <v>20</v>
      </c>
      <c r="S264" t="s">
        <v>159</v>
      </c>
      <c r="T264" t="s">
        <v>145</v>
      </c>
      <c r="V264" t="s">
        <v>59</v>
      </c>
      <c r="X264">
        <v>1</v>
      </c>
      <c r="AA264" t="s">
        <v>117</v>
      </c>
    </row>
    <row r="265" spans="1:27" x14ac:dyDescent="0.2">
      <c r="A265">
        <v>2018</v>
      </c>
      <c r="B265" t="s">
        <v>10</v>
      </c>
      <c r="C265" t="s">
        <v>13</v>
      </c>
      <c r="D265" t="s">
        <v>177</v>
      </c>
      <c r="E265" t="s">
        <v>111</v>
      </c>
      <c r="F265" s="4">
        <v>43201</v>
      </c>
      <c r="G265" s="5">
        <v>0.98263888888888884</v>
      </c>
      <c r="H265">
        <v>-76.644380555555557</v>
      </c>
      <c r="I265">
        <v>3.3495472222222218</v>
      </c>
      <c r="J265">
        <v>2</v>
      </c>
      <c r="K265" t="s">
        <v>112</v>
      </c>
      <c r="L265" t="s">
        <v>161</v>
      </c>
      <c r="M265">
        <v>2470</v>
      </c>
      <c r="N265" t="b">
        <v>1</v>
      </c>
      <c r="O265" t="s">
        <v>114</v>
      </c>
      <c r="P265">
        <v>20</v>
      </c>
      <c r="R265">
        <v>20</v>
      </c>
      <c r="S265" t="s">
        <v>185</v>
      </c>
      <c r="T265" t="s">
        <v>145</v>
      </c>
      <c r="V265" t="s">
        <v>47</v>
      </c>
      <c r="W265" t="s">
        <v>141</v>
      </c>
      <c r="X265">
        <v>0</v>
      </c>
      <c r="AA265" t="s">
        <v>117</v>
      </c>
    </row>
    <row r="266" spans="1:27" x14ac:dyDescent="0.2">
      <c r="A266">
        <v>2018</v>
      </c>
      <c r="B266" t="s">
        <v>10</v>
      </c>
      <c r="C266" t="s">
        <v>13</v>
      </c>
      <c r="D266" t="s">
        <v>177</v>
      </c>
      <c r="E266" t="s">
        <v>111</v>
      </c>
      <c r="F266" s="4">
        <v>43201</v>
      </c>
      <c r="G266" s="5">
        <v>1.1805555555555555E-2</v>
      </c>
      <c r="H266">
        <v>-76.643636111111121</v>
      </c>
      <c r="I266">
        <v>3.3495416666666671</v>
      </c>
      <c r="J266">
        <v>2</v>
      </c>
      <c r="K266" t="s">
        <v>112</v>
      </c>
      <c r="L266" t="s">
        <v>113</v>
      </c>
      <c r="M266">
        <v>2477</v>
      </c>
      <c r="N266" t="b">
        <v>1</v>
      </c>
      <c r="O266" t="s">
        <v>114</v>
      </c>
      <c r="P266">
        <v>30</v>
      </c>
      <c r="R266">
        <v>45</v>
      </c>
      <c r="S266" t="s">
        <v>159</v>
      </c>
      <c r="T266" t="s">
        <v>145</v>
      </c>
      <c r="V266" t="s">
        <v>9</v>
      </c>
      <c r="X266">
        <v>1</v>
      </c>
      <c r="AA266" t="s">
        <v>117</v>
      </c>
    </row>
    <row r="267" spans="1:27" x14ac:dyDescent="0.2">
      <c r="A267">
        <v>2018</v>
      </c>
      <c r="B267" t="s">
        <v>10</v>
      </c>
      <c r="C267" t="s">
        <v>13</v>
      </c>
      <c r="D267" t="s">
        <v>179</v>
      </c>
      <c r="E267" t="s">
        <v>122</v>
      </c>
      <c r="F267" s="4">
        <v>43201</v>
      </c>
      <c r="G267" s="5">
        <v>2.7083333333333334E-2</v>
      </c>
      <c r="H267">
        <v>-76.643141666666679</v>
      </c>
      <c r="I267">
        <v>3.3494555555555561</v>
      </c>
      <c r="J267">
        <v>2</v>
      </c>
      <c r="K267" t="s">
        <v>112</v>
      </c>
      <c r="L267" t="s">
        <v>194</v>
      </c>
      <c r="M267">
        <v>2461</v>
      </c>
      <c r="N267" t="b">
        <v>1</v>
      </c>
      <c r="O267" t="s">
        <v>114</v>
      </c>
      <c r="P267">
        <v>15</v>
      </c>
      <c r="R267">
        <v>20</v>
      </c>
      <c r="S267" t="s">
        <v>159</v>
      </c>
      <c r="T267" t="s">
        <v>145</v>
      </c>
      <c r="V267" t="s">
        <v>9</v>
      </c>
      <c r="X267">
        <v>1</v>
      </c>
      <c r="AA267" t="s">
        <v>117</v>
      </c>
    </row>
    <row r="268" spans="1:27" x14ac:dyDescent="0.2">
      <c r="A268">
        <v>2018</v>
      </c>
      <c r="B268" t="s">
        <v>10</v>
      </c>
      <c r="C268" t="s">
        <v>12</v>
      </c>
      <c r="D268" t="s">
        <v>192</v>
      </c>
      <c r="E268" t="s">
        <v>135</v>
      </c>
      <c r="F268" s="4">
        <v>43202</v>
      </c>
      <c r="G268" s="5">
        <v>0.79791666666666672</v>
      </c>
      <c r="H268">
        <v>-76.652638888888902</v>
      </c>
      <c r="I268">
        <v>3.3538000000000001</v>
      </c>
      <c r="J268">
        <v>2</v>
      </c>
      <c r="K268" t="s">
        <v>119</v>
      </c>
      <c r="L268" t="s">
        <v>161</v>
      </c>
      <c r="M268">
        <v>2568</v>
      </c>
      <c r="N268" t="b">
        <v>1</v>
      </c>
      <c r="O268" t="s">
        <v>114</v>
      </c>
      <c r="P268">
        <v>20</v>
      </c>
      <c r="R268">
        <v>70</v>
      </c>
      <c r="S268" t="s">
        <v>159</v>
      </c>
      <c r="T268" t="s">
        <v>145</v>
      </c>
      <c r="V268" t="s">
        <v>9</v>
      </c>
      <c r="X268">
        <v>1</v>
      </c>
      <c r="AA268" t="s">
        <v>117</v>
      </c>
    </row>
    <row r="269" spans="1:27" x14ac:dyDescent="0.2">
      <c r="A269">
        <v>2018</v>
      </c>
      <c r="B269" t="s">
        <v>10</v>
      </c>
      <c r="C269" t="s">
        <v>12</v>
      </c>
      <c r="D269" t="s">
        <v>189</v>
      </c>
      <c r="E269" t="s">
        <v>157</v>
      </c>
      <c r="F269" s="4">
        <v>43202</v>
      </c>
      <c r="G269" s="5">
        <v>0.80208333333333337</v>
      </c>
      <c r="H269">
        <v>-76.65303333333334</v>
      </c>
      <c r="I269">
        <v>3.3534277777777781</v>
      </c>
      <c r="J269">
        <v>2</v>
      </c>
      <c r="K269" t="s">
        <v>112</v>
      </c>
      <c r="L269" t="s">
        <v>194</v>
      </c>
      <c r="M269">
        <v>2573</v>
      </c>
      <c r="N269" t="b">
        <v>1</v>
      </c>
      <c r="O269" t="s">
        <v>114</v>
      </c>
      <c r="P269">
        <v>20</v>
      </c>
      <c r="R269">
        <v>70</v>
      </c>
      <c r="S269" t="s">
        <v>159</v>
      </c>
      <c r="T269" t="s">
        <v>145</v>
      </c>
      <c r="V269" t="s">
        <v>9</v>
      </c>
      <c r="X269">
        <v>1</v>
      </c>
      <c r="AA269" t="s">
        <v>117</v>
      </c>
    </row>
    <row r="270" spans="1:27" x14ac:dyDescent="0.2">
      <c r="A270">
        <v>2018</v>
      </c>
      <c r="B270" t="s">
        <v>10</v>
      </c>
      <c r="C270" t="s">
        <v>12</v>
      </c>
      <c r="D270" t="s">
        <v>189</v>
      </c>
      <c r="E270" t="s">
        <v>157</v>
      </c>
      <c r="F270" s="4">
        <v>43202</v>
      </c>
      <c r="G270" s="5">
        <v>0.80208333333333337</v>
      </c>
      <c r="H270">
        <v>-76.65303333333334</v>
      </c>
      <c r="I270">
        <v>3.3534277777777781</v>
      </c>
      <c r="J270">
        <v>2</v>
      </c>
      <c r="K270" t="s">
        <v>112</v>
      </c>
      <c r="L270" t="s">
        <v>194</v>
      </c>
      <c r="M270">
        <v>2573</v>
      </c>
      <c r="N270" t="b">
        <v>1</v>
      </c>
      <c r="O270" t="s">
        <v>114</v>
      </c>
      <c r="P270">
        <v>20</v>
      </c>
      <c r="R270">
        <v>70</v>
      </c>
      <c r="S270" t="s">
        <v>159</v>
      </c>
      <c r="T270" t="s">
        <v>145</v>
      </c>
      <c r="V270" t="s">
        <v>9</v>
      </c>
      <c r="X270">
        <v>1</v>
      </c>
      <c r="AA270" t="s">
        <v>117</v>
      </c>
    </row>
    <row r="271" spans="1:27" x14ac:dyDescent="0.2">
      <c r="A271">
        <v>2018</v>
      </c>
      <c r="B271" t="s">
        <v>10</v>
      </c>
      <c r="C271" t="s">
        <v>12</v>
      </c>
      <c r="D271" t="s">
        <v>189</v>
      </c>
      <c r="E271" t="s">
        <v>157</v>
      </c>
      <c r="F271" s="4">
        <v>43202</v>
      </c>
      <c r="G271" s="5">
        <v>0.80208333333333337</v>
      </c>
      <c r="H271">
        <v>-76.65303333333334</v>
      </c>
      <c r="I271">
        <v>3.3534277777777781</v>
      </c>
      <c r="J271">
        <v>2</v>
      </c>
      <c r="K271" t="s">
        <v>112</v>
      </c>
      <c r="L271" t="s">
        <v>194</v>
      </c>
      <c r="M271">
        <v>2573</v>
      </c>
      <c r="N271" t="b">
        <v>1</v>
      </c>
      <c r="O271" t="s">
        <v>114</v>
      </c>
      <c r="P271">
        <v>20</v>
      </c>
      <c r="R271">
        <v>70</v>
      </c>
      <c r="S271" t="s">
        <v>159</v>
      </c>
      <c r="T271" t="s">
        <v>145</v>
      </c>
      <c r="V271" t="s">
        <v>59</v>
      </c>
      <c r="X271">
        <v>1</v>
      </c>
      <c r="AA271" t="s">
        <v>117</v>
      </c>
    </row>
    <row r="272" spans="1:27" x14ac:dyDescent="0.2">
      <c r="A272">
        <v>2018</v>
      </c>
      <c r="B272" t="s">
        <v>10</v>
      </c>
      <c r="C272" t="s">
        <v>12</v>
      </c>
      <c r="D272" t="s">
        <v>189</v>
      </c>
      <c r="E272" t="s">
        <v>157</v>
      </c>
      <c r="F272" s="4">
        <v>43202</v>
      </c>
      <c r="G272" s="5">
        <v>0.82638888888888884</v>
      </c>
      <c r="H272">
        <v>-76.653113888888896</v>
      </c>
      <c r="I272">
        <v>3.353330555555555</v>
      </c>
      <c r="J272">
        <v>2</v>
      </c>
      <c r="K272" t="s">
        <v>112</v>
      </c>
      <c r="L272" t="s">
        <v>194</v>
      </c>
      <c r="M272">
        <v>2564</v>
      </c>
      <c r="N272" t="b">
        <v>1</v>
      </c>
      <c r="O272" t="s">
        <v>114</v>
      </c>
      <c r="P272">
        <v>15</v>
      </c>
      <c r="R272">
        <v>80</v>
      </c>
      <c r="S272" t="s">
        <v>159</v>
      </c>
      <c r="T272" t="s">
        <v>145</v>
      </c>
      <c r="V272" t="s">
        <v>40</v>
      </c>
      <c r="X272">
        <v>1</v>
      </c>
      <c r="AA272" t="s">
        <v>117</v>
      </c>
    </row>
    <row r="273" spans="1:27" x14ac:dyDescent="0.2">
      <c r="A273">
        <v>2018</v>
      </c>
      <c r="B273" t="s">
        <v>10</v>
      </c>
      <c r="C273" t="s">
        <v>12</v>
      </c>
      <c r="D273" t="s">
        <v>189</v>
      </c>
      <c r="E273" t="s">
        <v>157</v>
      </c>
      <c r="F273" s="4">
        <v>43202</v>
      </c>
      <c r="G273" s="5">
        <v>0.82986111111111116</v>
      </c>
      <c r="H273">
        <v>-76.653127777777783</v>
      </c>
      <c r="I273">
        <v>3.3535555555555558</v>
      </c>
      <c r="J273">
        <v>2</v>
      </c>
      <c r="K273" t="s">
        <v>119</v>
      </c>
      <c r="L273" t="s">
        <v>161</v>
      </c>
      <c r="M273">
        <v>2569</v>
      </c>
      <c r="N273" t="b">
        <v>1</v>
      </c>
      <c r="O273" t="s">
        <v>114</v>
      </c>
      <c r="P273">
        <v>10</v>
      </c>
      <c r="R273">
        <v>40</v>
      </c>
      <c r="S273" t="s">
        <v>159</v>
      </c>
      <c r="T273" t="s">
        <v>145</v>
      </c>
      <c r="V273" t="s">
        <v>9</v>
      </c>
      <c r="X273">
        <v>1</v>
      </c>
      <c r="AA273" t="s">
        <v>117</v>
      </c>
    </row>
    <row r="274" spans="1:27" x14ac:dyDescent="0.2">
      <c r="A274">
        <v>2018</v>
      </c>
      <c r="B274" t="s">
        <v>10</v>
      </c>
      <c r="C274" t="s">
        <v>12</v>
      </c>
      <c r="D274" t="s">
        <v>189</v>
      </c>
      <c r="E274" t="s">
        <v>157</v>
      </c>
      <c r="F274" s="4">
        <v>43202</v>
      </c>
      <c r="G274" s="5">
        <v>0.83333333333333337</v>
      </c>
      <c r="H274">
        <v>-76.653386111111118</v>
      </c>
      <c r="I274">
        <v>3.3534388888888889</v>
      </c>
      <c r="J274">
        <v>2</v>
      </c>
      <c r="K274" t="s">
        <v>119</v>
      </c>
      <c r="L274" t="s">
        <v>194</v>
      </c>
      <c r="M274">
        <v>2601</v>
      </c>
      <c r="N274" t="b">
        <v>1</v>
      </c>
      <c r="O274" t="s">
        <v>114</v>
      </c>
      <c r="P274">
        <v>10</v>
      </c>
      <c r="R274">
        <v>30</v>
      </c>
      <c r="S274" t="s">
        <v>159</v>
      </c>
      <c r="T274" t="s">
        <v>145</v>
      </c>
      <c r="V274" t="s">
        <v>40</v>
      </c>
      <c r="X274">
        <v>1</v>
      </c>
      <c r="AA274" t="s">
        <v>117</v>
      </c>
    </row>
    <row r="275" spans="1:27" x14ac:dyDescent="0.2">
      <c r="A275">
        <v>2018</v>
      </c>
      <c r="B275" t="s">
        <v>10</v>
      </c>
      <c r="C275" t="s">
        <v>11</v>
      </c>
      <c r="D275" t="s">
        <v>182</v>
      </c>
      <c r="E275" t="s">
        <v>127</v>
      </c>
      <c r="F275" s="4">
        <v>43202</v>
      </c>
      <c r="G275" s="5"/>
      <c r="H275">
        <v>-76.656450000000007</v>
      </c>
      <c r="I275">
        <v>3.355547222222222</v>
      </c>
      <c r="J275">
        <v>2</v>
      </c>
      <c r="L275" t="s">
        <v>113</v>
      </c>
      <c r="M275">
        <v>2660</v>
      </c>
      <c r="N275" t="s">
        <v>114</v>
      </c>
      <c r="O275" t="b">
        <v>1</v>
      </c>
      <c r="V275" t="s">
        <v>47</v>
      </c>
      <c r="W275" t="s">
        <v>232</v>
      </c>
      <c r="X275">
        <v>0</v>
      </c>
      <c r="AA275" t="s">
        <v>117</v>
      </c>
    </row>
    <row r="276" spans="1:27" x14ac:dyDescent="0.2">
      <c r="A276">
        <v>2018</v>
      </c>
      <c r="B276" t="s">
        <v>10</v>
      </c>
      <c r="C276" t="s">
        <v>11</v>
      </c>
      <c r="D276" t="s">
        <v>186</v>
      </c>
      <c r="E276" t="s">
        <v>122</v>
      </c>
      <c r="F276" s="4">
        <v>43202</v>
      </c>
      <c r="G276" s="5">
        <v>0.92361111111111116</v>
      </c>
      <c r="H276">
        <v>-76.656511111111115</v>
      </c>
      <c r="I276">
        <v>3.355083333333333</v>
      </c>
      <c r="J276">
        <v>2</v>
      </c>
      <c r="K276" t="s">
        <v>112</v>
      </c>
      <c r="L276" t="s">
        <v>161</v>
      </c>
      <c r="M276">
        <v>2594</v>
      </c>
      <c r="N276" t="s">
        <v>114</v>
      </c>
      <c r="O276" t="b">
        <v>1</v>
      </c>
      <c r="P276">
        <v>8</v>
      </c>
      <c r="Q276">
        <v>1</v>
      </c>
      <c r="R276">
        <v>30</v>
      </c>
      <c r="S276" t="s">
        <v>159</v>
      </c>
      <c r="T276" t="s">
        <v>167</v>
      </c>
      <c r="V276" t="s">
        <v>59</v>
      </c>
      <c r="X276">
        <v>1</v>
      </c>
      <c r="AA276" t="s">
        <v>117</v>
      </c>
    </row>
    <row r="277" spans="1:27" x14ac:dyDescent="0.2">
      <c r="A277">
        <v>2018</v>
      </c>
      <c r="B277" t="s">
        <v>10</v>
      </c>
      <c r="C277" t="s">
        <v>11</v>
      </c>
      <c r="D277" t="s">
        <v>186</v>
      </c>
      <c r="E277" t="s">
        <v>122</v>
      </c>
      <c r="F277" s="4">
        <v>43202</v>
      </c>
      <c r="G277" s="5">
        <v>0.93888888888888888</v>
      </c>
      <c r="H277">
        <v>-76.656494444444448</v>
      </c>
      <c r="I277">
        <v>3.3549527777777781</v>
      </c>
      <c r="J277">
        <v>2</v>
      </c>
      <c r="K277" t="s">
        <v>119</v>
      </c>
      <c r="L277" t="s">
        <v>161</v>
      </c>
      <c r="M277">
        <v>2596</v>
      </c>
      <c r="N277" t="b">
        <v>1</v>
      </c>
      <c r="O277" t="s">
        <v>114</v>
      </c>
      <c r="P277">
        <v>8</v>
      </c>
      <c r="R277">
        <v>5</v>
      </c>
      <c r="S277" t="s">
        <v>159</v>
      </c>
      <c r="T277" t="s">
        <v>145</v>
      </c>
      <c r="V277" t="s">
        <v>9</v>
      </c>
      <c r="X277">
        <v>1</v>
      </c>
      <c r="AA277" t="s">
        <v>117</v>
      </c>
    </row>
    <row r="278" spans="1:27" x14ac:dyDescent="0.2">
      <c r="A278">
        <v>2018</v>
      </c>
      <c r="B278" t="s">
        <v>15</v>
      </c>
      <c r="C278" t="s">
        <v>17</v>
      </c>
      <c r="D278" t="s">
        <v>142</v>
      </c>
      <c r="E278" t="s">
        <v>111</v>
      </c>
      <c r="F278" s="4">
        <v>43426</v>
      </c>
      <c r="G278" s="5">
        <v>0.83333333333333337</v>
      </c>
      <c r="H278">
        <v>-76.688611111111115</v>
      </c>
      <c r="I278">
        <v>3.407972222222222</v>
      </c>
      <c r="J278">
        <v>3</v>
      </c>
      <c r="K278" t="s">
        <v>112</v>
      </c>
      <c r="M278">
        <v>3221</v>
      </c>
      <c r="N278" t="b">
        <v>1</v>
      </c>
      <c r="O278" t="s">
        <v>114</v>
      </c>
      <c r="T278" t="s">
        <v>201</v>
      </c>
      <c r="V278" t="s">
        <v>47</v>
      </c>
      <c r="X278">
        <v>0</v>
      </c>
      <c r="AA278" t="s">
        <v>117</v>
      </c>
    </row>
    <row r="279" spans="1:27" x14ac:dyDescent="0.2">
      <c r="A279">
        <v>2018</v>
      </c>
      <c r="B279" t="s">
        <v>15</v>
      </c>
      <c r="C279" t="s">
        <v>17</v>
      </c>
      <c r="D279" t="s">
        <v>142</v>
      </c>
      <c r="E279" t="s">
        <v>111</v>
      </c>
      <c r="F279" s="4">
        <v>43426</v>
      </c>
      <c r="G279" s="5">
        <v>0.83333333333333337</v>
      </c>
      <c r="H279">
        <v>-76.688611111111115</v>
      </c>
      <c r="I279">
        <v>3.407972222222222</v>
      </c>
      <c r="J279">
        <v>3</v>
      </c>
      <c r="K279" t="s">
        <v>119</v>
      </c>
      <c r="M279">
        <v>3221</v>
      </c>
      <c r="N279" t="b">
        <v>1</v>
      </c>
      <c r="O279" t="s">
        <v>114</v>
      </c>
      <c r="T279" t="s">
        <v>201</v>
      </c>
      <c r="V279" t="s">
        <v>47</v>
      </c>
      <c r="X279">
        <v>0</v>
      </c>
      <c r="AA279" t="s">
        <v>117</v>
      </c>
    </row>
    <row r="280" spans="1:27" x14ac:dyDescent="0.2">
      <c r="A280">
        <v>2018</v>
      </c>
      <c r="B280" t="s">
        <v>15</v>
      </c>
      <c r="C280" t="s">
        <v>17</v>
      </c>
      <c r="D280" t="s">
        <v>202</v>
      </c>
      <c r="E280" t="s">
        <v>122</v>
      </c>
      <c r="F280" s="4">
        <v>43426</v>
      </c>
      <c r="G280" s="5">
        <v>0.83333333333333337</v>
      </c>
      <c r="H280">
        <v>-76.689638888888894</v>
      </c>
      <c r="I280">
        <v>3.4073888888888888</v>
      </c>
      <c r="J280">
        <v>3</v>
      </c>
      <c r="K280" t="s">
        <v>112</v>
      </c>
      <c r="M280">
        <v>3226</v>
      </c>
      <c r="N280" t="b">
        <v>1</v>
      </c>
      <c r="O280" t="s">
        <v>114</v>
      </c>
      <c r="T280" t="s">
        <v>201</v>
      </c>
      <c r="V280" t="s">
        <v>47</v>
      </c>
      <c r="X280">
        <v>0</v>
      </c>
      <c r="AA280" t="s">
        <v>117</v>
      </c>
    </row>
    <row r="281" spans="1:27" x14ac:dyDescent="0.2">
      <c r="A281">
        <v>2018</v>
      </c>
      <c r="B281" t="s">
        <v>15</v>
      </c>
      <c r="C281" t="s">
        <v>17</v>
      </c>
      <c r="D281" t="s">
        <v>202</v>
      </c>
      <c r="E281" t="s">
        <v>122</v>
      </c>
      <c r="F281" s="4">
        <v>43426</v>
      </c>
      <c r="G281" s="5">
        <v>0.83333333333333337</v>
      </c>
      <c r="H281">
        <v>-76.689638888888894</v>
      </c>
      <c r="I281">
        <v>3.4073888888888888</v>
      </c>
      <c r="J281">
        <v>3</v>
      </c>
      <c r="K281" t="s">
        <v>119</v>
      </c>
      <c r="M281">
        <v>3226</v>
      </c>
      <c r="N281" t="b">
        <v>1</v>
      </c>
      <c r="O281" t="s">
        <v>114</v>
      </c>
      <c r="T281" t="s">
        <v>201</v>
      </c>
      <c r="V281" t="s">
        <v>47</v>
      </c>
      <c r="X281">
        <v>0</v>
      </c>
      <c r="AA281" t="s">
        <v>117</v>
      </c>
    </row>
    <row r="282" spans="1:27" x14ac:dyDescent="0.2">
      <c r="A282">
        <v>2018</v>
      </c>
      <c r="B282" t="s">
        <v>15</v>
      </c>
      <c r="C282" t="s">
        <v>17</v>
      </c>
      <c r="D282" t="s">
        <v>138</v>
      </c>
      <c r="E282" t="s">
        <v>135</v>
      </c>
      <c r="F282" s="4">
        <v>43426</v>
      </c>
      <c r="G282" s="5">
        <v>0.86736111111111114</v>
      </c>
      <c r="H282">
        <v>-76.69061111111111</v>
      </c>
      <c r="I282">
        <v>3.406416666666666</v>
      </c>
      <c r="J282">
        <v>3</v>
      </c>
      <c r="K282" t="s">
        <v>112</v>
      </c>
      <c r="L282" t="s">
        <v>227</v>
      </c>
      <c r="M282">
        <v>3223</v>
      </c>
      <c r="N282" t="b">
        <v>1</v>
      </c>
      <c r="O282" t="s">
        <v>114</v>
      </c>
      <c r="P282">
        <v>2</v>
      </c>
      <c r="R282">
        <v>10</v>
      </c>
      <c r="T282" t="s">
        <v>201</v>
      </c>
      <c r="V282" t="s">
        <v>59</v>
      </c>
      <c r="X282">
        <v>1</v>
      </c>
      <c r="AA282" t="s">
        <v>117</v>
      </c>
    </row>
    <row r="283" spans="1:27" x14ac:dyDescent="0.2">
      <c r="A283">
        <v>2018</v>
      </c>
      <c r="B283" t="s">
        <v>15</v>
      </c>
      <c r="C283" t="s">
        <v>17</v>
      </c>
      <c r="D283" t="s">
        <v>138</v>
      </c>
      <c r="E283" t="s">
        <v>135</v>
      </c>
      <c r="F283" s="4">
        <v>43426</v>
      </c>
      <c r="G283" s="5"/>
      <c r="H283">
        <v>-76.69061111111111</v>
      </c>
      <c r="I283">
        <v>3.406416666666666</v>
      </c>
      <c r="J283">
        <v>3</v>
      </c>
      <c r="K283" t="s">
        <v>119</v>
      </c>
      <c r="L283" t="s">
        <v>194</v>
      </c>
      <c r="M283">
        <v>3223</v>
      </c>
      <c r="N283" t="b">
        <v>1</v>
      </c>
      <c r="O283" t="s">
        <v>114</v>
      </c>
      <c r="P283">
        <v>2</v>
      </c>
      <c r="R283">
        <v>10</v>
      </c>
      <c r="T283" t="s">
        <v>201</v>
      </c>
      <c r="V283" t="s">
        <v>6</v>
      </c>
      <c r="X283">
        <v>1</v>
      </c>
      <c r="AA283" t="s">
        <v>117</v>
      </c>
    </row>
    <row r="284" spans="1:27" x14ac:dyDescent="0.2">
      <c r="A284">
        <v>2018</v>
      </c>
      <c r="B284" t="s">
        <v>15</v>
      </c>
      <c r="C284" t="s">
        <v>17</v>
      </c>
      <c r="D284" t="s">
        <v>138</v>
      </c>
      <c r="E284" t="s">
        <v>135</v>
      </c>
      <c r="F284" s="4">
        <v>43426</v>
      </c>
      <c r="G284" s="5">
        <v>0.88194444444444442</v>
      </c>
      <c r="H284">
        <v>-76.690694444444446</v>
      </c>
      <c r="I284">
        <v>3.406305555555555</v>
      </c>
      <c r="J284">
        <v>3</v>
      </c>
      <c r="K284" t="s">
        <v>112</v>
      </c>
      <c r="L284" t="s">
        <v>160</v>
      </c>
      <c r="M284">
        <v>3223</v>
      </c>
      <c r="N284" t="b">
        <v>1</v>
      </c>
      <c r="O284" t="s">
        <v>114</v>
      </c>
      <c r="P284">
        <v>2</v>
      </c>
      <c r="R284">
        <v>5</v>
      </c>
      <c r="T284" t="s">
        <v>201</v>
      </c>
      <c r="U284" t="s">
        <v>233</v>
      </c>
      <c r="V284" t="s">
        <v>6</v>
      </c>
      <c r="X284">
        <v>1</v>
      </c>
      <c r="AA284" t="s">
        <v>117</v>
      </c>
    </row>
    <row r="285" spans="1:27" x14ac:dyDescent="0.2">
      <c r="A285">
        <v>2018</v>
      </c>
      <c r="B285" t="s">
        <v>15</v>
      </c>
      <c r="C285" t="s">
        <v>17</v>
      </c>
      <c r="D285" t="s">
        <v>138</v>
      </c>
      <c r="E285" t="s">
        <v>135</v>
      </c>
      <c r="F285" s="4">
        <v>43426</v>
      </c>
      <c r="G285" s="5">
        <v>0.88611111111111107</v>
      </c>
      <c r="H285">
        <v>-76.69072222222222</v>
      </c>
      <c r="I285">
        <v>3.40625</v>
      </c>
      <c r="J285">
        <v>3</v>
      </c>
      <c r="K285" t="s">
        <v>112</v>
      </c>
      <c r="L285" t="s">
        <v>160</v>
      </c>
      <c r="M285">
        <v>3223</v>
      </c>
      <c r="N285" t="b">
        <v>1</v>
      </c>
      <c r="O285" t="s">
        <v>114</v>
      </c>
      <c r="P285">
        <v>2</v>
      </c>
      <c r="R285">
        <v>5</v>
      </c>
      <c r="T285" t="s">
        <v>201</v>
      </c>
      <c r="V285" t="s">
        <v>6</v>
      </c>
      <c r="X285">
        <v>1</v>
      </c>
      <c r="AA285" t="s">
        <v>117</v>
      </c>
    </row>
    <row r="286" spans="1:27" x14ac:dyDescent="0.2">
      <c r="A286">
        <v>2018</v>
      </c>
      <c r="B286" t="s">
        <v>15</v>
      </c>
      <c r="C286" t="s">
        <v>18</v>
      </c>
      <c r="D286" t="s">
        <v>234</v>
      </c>
      <c r="E286" t="s">
        <v>235</v>
      </c>
      <c r="F286" s="4">
        <v>43427</v>
      </c>
      <c r="G286" s="5">
        <v>0.8041666666666667</v>
      </c>
      <c r="H286">
        <v>-76.687333333333342</v>
      </c>
      <c r="I286">
        <v>3.386138888888889</v>
      </c>
      <c r="J286">
        <v>3</v>
      </c>
      <c r="L286" t="s">
        <v>160</v>
      </c>
      <c r="M286">
        <v>3409</v>
      </c>
      <c r="N286" t="b">
        <v>1</v>
      </c>
      <c r="O286" t="s">
        <v>114</v>
      </c>
      <c r="P286">
        <v>1</v>
      </c>
      <c r="S286" t="s">
        <v>149</v>
      </c>
      <c r="T286" t="s">
        <v>201</v>
      </c>
      <c r="V286" t="s">
        <v>43</v>
      </c>
      <c r="X286">
        <v>1</v>
      </c>
      <c r="AA286" t="s">
        <v>117</v>
      </c>
    </row>
    <row r="287" spans="1:27" x14ac:dyDescent="0.2">
      <c r="A287">
        <v>2018</v>
      </c>
      <c r="B287" t="s">
        <v>15</v>
      </c>
      <c r="C287" t="s">
        <v>18</v>
      </c>
      <c r="D287" t="s">
        <v>234</v>
      </c>
      <c r="E287" t="s">
        <v>235</v>
      </c>
      <c r="F287" s="4">
        <v>43427</v>
      </c>
      <c r="G287" s="5">
        <v>0.8125</v>
      </c>
      <c r="H287">
        <v>-76.687416666666664</v>
      </c>
      <c r="I287">
        <v>3.386166666666667</v>
      </c>
      <c r="J287">
        <v>3</v>
      </c>
      <c r="L287" t="s">
        <v>161</v>
      </c>
      <c r="M287">
        <v>3409</v>
      </c>
      <c r="N287" t="b">
        <v>1</v>
      </c>
      <c r="O287" t="s">
        <v>114</v>
      </c>
      <c r="P287">
        <v>1</v>
      </c>
      <c r="S287" t="s">
        <v>146</v>
      </c>
      <c r="T287" t="s">
        <v>201</v>
      </c>
      <c r="V287" t="s">
        <v>38</v>
      </c>
      <c r="X287">
        <v>1</v>
      </c>
      <c r="AA287" t="s">
        <v>117</v>
      </c>
    </row>
    <row r="288" spans="1:27" x14ac:dyDescent="0.2">
      <c r="A288">
        <v>2018</v>
      </c>
      <c r="B288" t="s">
        <v>15</v>
      </c>
      <c r="C288" t="s">
        <v>18</v>
      </c>
      <c r="D288" t="s">
        <v>234</v>
      </c>
      <c r="E288" t="s">
        <v>235</v>
      </c>
      <c r="F288" s="4">
        <v>43427</v>
      </c>
      <c r="G288" s="5">
        <v>0.82222222222222219</v>
      </c>
      <c r="H288">
        <v>-76.687472222222226</v>
      </c>
      <c r="I288">
        <v>3.386194444444445</v>
      </c>
      <c r="J288">
        <v>3</v>
      </c>
      <c r="L288" t="s">
        <v>161</v>
      </c>
      <c r="M288">
        <v>3409</v>
      </c>
      <c r="N288" t="b">
        <v>1</v>
      </c>
      <c r="O288" t="s">
        <v>114</v>
      </c>
      <c r="P288">
        <v>1</v>
      </c>
      <c r="T288" t="s">
        <v>201</v>
      </c>
      <c r="V288" t="s">
        <v>35</v>
      </c>
      <c r="X288">
        <v>1</v>
      </c>
      <c r="AA288" t="s">
        <v>117</v>
      </c>
    </row>
    <row r="289" spans="1:27" x14ac:dyDescent="0.2">
      <c r="A289">
        <v>2018</v>
      </c>
      <c r="B289" t="s">
        <v>15</v>
      </c>
      <c r="C289" t="s">
        <v>18</v>
      </c>
      <c r="D289" t="s">
        <v>236</v>
      </c>
      <c r="E289" t="s">
        <v>237</v>
      </c>
      <c r="F289" s="4">
        <v>43427</v>
      </c>
      <c r="G289" s="5">
        <v>0.82847222222222228</v>
      </c>
      <c r="H289">
        <v>-76.687527777777788</v>
      </c>
      <c r="I289">
        <v>3.38625</v>
      </c>
      <c r="J289">
        <v>3</v>
      </c>
      <c r="L289" t="s">
        <v>161</v>
      </c>
      <c r="M289">
        <v>3109</v>
      </c>
      <c r="N289" t="b">
        <v>1</v>
      </c>
      <c r="O289" t="s">
        <v>114</v>
      </c>
      <c r="P289">
        <v>1</v>
      </c>
      <c r="T289" t="s">
        <v>201</v>
      </c>
      <c r="V289" t="s">
        <v>35</v>
      </c>
      <c r="X289">
        <v>1</v>
      </c>
      <c r="AA289" t="s">
        <v>117</v>
      </c>
    </row>
    <row r="290" spans="1:27" x14ac:dyDescent="0.2">
      <c r="A290">
        <v>2018</v>
      </c>
      <c r="B290" t="s">
        <v>15</v>
      </c>
      <c r="C290" t="s">
        <v>18</v>
      </c>
      <c r="D290" t="s">
        <v>238</v>
      </c>
      <c r="E290" t="s">
        <v>127</v>
      </c>
      <c r="F290" s="4">
        <v>43427</v>
      </c>
      <c r="G290" s="5">
        <v>0.84166666666666667</v>
      </c>
      <c r="H290">
        <v>-76.68772222222222</v>
      </c>
      <c r="I290">
        <v>3.3853333333333331</v>
      </c>
      <c r="J290">
        <v>3</v>
      </c>
      <c r="L290" t="s">
        <v>161</v>
      </c>
      <c r="M290">
        <v>3402</v>
      </c>
      <c r="N290" t="b">
        <v>1</v>
      </c>
      <c r="O290" t="s">
        <v>114</v>
      </c>
      <c r="P290">
        <v>1</v>
      </c>
      <c r="T290" t="s">
        <v>201</v>
      </c>
      <c r="V290" t="s">
        <v>43</v>
      </c>
      <c r="X290">
        <v>1</v>
      </c>
      <c r="AA290" t="s">
        <v>117</v>
      </c>
    </row>
    <row r="291" spans="1:27" x14ac:dyDescent="0.2">
      <c r="A291">
        <v>2018</v>
      </c>
      <c r="B291" t="s">
        <v>15</v>
      </c>
      <c r="C291" t="s">
        <v>19</v>
      </c>
      <c r="D291" t="s">
        <v>193</v>
      </c>
      <c r="E291" t="s">
        <v>111</v>
      </c>
      <c r="F291" s="4">
        <v>43428</v>
      </c>
      <c r="G291" s="5">
        <v>0.84166666666666667</v>
      </c>
      <c r="H291">
        <v>-76.680500000000009</v>
      </c>
      <c r="I291">
        <v>3.4011666666666671</v>
      </c>
      <c r="J291">
        <v>3</v>
      </c>
      <c r="K291" t="s">
        <v>112</v>
      </c>
      <c r="L291" t="s">
        <v>160</v>
      </c>
      <c r="M291">
        <v>2904</v>
      </c>
      <c r="N291" t="b">
        <v>1</v>
      </c>
      <c r="O291" t="s">
        <v>114</v>
      </c>
      <c r="P291">
        <v>20</v>
      </c>
      <c r="R291">
        <v>15</v>
      </c>
      <c r="T291" t="s">
        <v>167</v>
      </c>
      <c r="V291" t="s">
        <v>38</v>
      </c>
      <c r="X291">
        <v>1</v>
      </c>
      <c r="AA291" t="s">
        <v>117</v>
      </c>
    </row>
    <row r="292" spans="1:27" x14ac:dyDescent="0.2">
      <c r="A292">
        <v>2018</v>
      </c>
      <c r="B292" t="s">
        <v>15</v>
      </c>
      <c r="C292" t="s">
        <v>19</v>
      </c>
      <c r="D292" t="s">
        <v>193</v>
      </c>
      <c r="E292" t="s">
        <v>111</v>
      </c>
      <c r="F292" s="4">
        <v>43428</v>
      </c>
      <c r="G292" s="5">
        <v>0.84166666666666667</v>
      </c>
      <c r="H292">
        <v>-76.680527777777783</v>
      </c>
      <c r="I292">
        <v>3.4011666666666671</v>
      </c>
      <c r="J292">
        <v>3</v>
      </c>
      <c r="K292" t="s">
        <v>112</v>
      </c>
      <c r="L292" t="s">
        <v>160</v>
      </c>
      <c r="M292">
        <v>2901</v>
      </c>
      <c r="N292" t="b">
        <v>1</v>
      </c>
      <c r="O292" t="s">
        <v>114</v>
      </c>
      <c r="P292">
        <v>20</v>
      </c>
      <c r="R292">
        <v>30</v>
      </c>
      <c r="T292" t="s">
        <v>167</v>
      </c>
      <c r="V292" t="s">
        <v>7</v>
      </c>
      <c r="X292">
        <v>1</v>
      </c>
      <c r="AA292" t="s">
        <v>117</v>
      </c>
    </row>
    <row r="293" spans="1:27" x14ac:dyDescent="0.2">
      <c r="A293">
        <v>2018</v>
      </c>
      <c r="B293" t="s">
        <v>15</v>
      </c>
      <c r="C293" t="s">
        <v>19</v>
      </c>
      <c r="D293" t="s">
        <v>193</v>
      </c>
      <c r="E293" t="s">
        <v>111</v>
      </c>
      <c r="F293" s="4">
        <v>43428</v>
      </c>
      <c r="G293" s="5">
        <v>0.85069444444444442</v>
      </c>
      <c r="H293">
        <v>-76.680361111111111</v>
      </c>
      <c r="I293">
        <v>3.4010833333333328</v>
      </c>
      <c r="J293">
        <v>3</v>
      </c>
      <c r="K293" t="s">
        <v>112</v>
      </c>
      <c r="L293" t="s">
        <v>239</v>
      </c>
      <c r="M293">
        <v>2899</v>
      </c>
      <c r="N293" t="b">
        <v>1</v>
      </c>
      <c r="O293" t="s">
        <v>114</v>
      </c>
      <c r="P293">
        <v>20</v>
      </c>
      <c r="R293">
        <v>30</v>
      </c>
      <c r="T293" t="s">
        <v>167</v>
      </c>
      <c r="V293" t="s">
        <v>33</v>
      </c>
      <c r="X293">
        <v>1</v>
      </c>
      <c r="AA293" t="s">
        <v>117</v>
      </c>
    </row>
    <row r="294" spans="1:27" x14ac:dyDescent="0.2">
      <c r="A294">
        <v>2018</v>
      </c>
      <c r="B294" t="s">
        <v>15</v>
      </c>
      <c r="C294" t="s">
        <v>20</v>
      </c>
      <c r="D294" t="s">
        <v>151</v>
      </c>
      <c r="E294" t="s">
        <v>111</v>
      </c>
      <c r="F294" s="4">
        <v>43428</v>
      </c>
      <c r="G294" s="5">
        <v>0.81597222222222221</v>
      </c>
      <c r="H294">
        <v>-76.679111111111112</v>
      </c>
      <c r="I294">
        <v>3.402333333333333</v>
      </c>
      <c r="J294">
        <v>3</v>
      </c>
      <c r="K294" t="s">
        <v>119</v>
      </c>
      <c r="L294" t="s">
        <v>227</v>
      </c>
      <c r="M294">
        <v>2911</v>
      </c>
      <c r="N294" t="b">
        <v>1</v>
      </c>
      <c r="O294" t="s">
        <v>114</v>
      </c>
      <c r="P294">
        <v>20</v>
      </c>
      <c r="R294">
        <v>30</v>
      </c>
      <c r="T294" t="s">
        <v>167</v>
      </c>
      <c r="V294" t="s">
        <v>29</v>
      </c>
      <c r="X294">
        <v>1</v>
      </c>
      <c r="AA294" t="s">
        <v>117</v>
      </c>
    </row>
    <row r="295" spans="1:27" x14ac:dyDescent="0.2">
      <c r="A295">
        <v>2018</v>
      </c>
      <c r="B295" t="s">
        <v>15</v>
      </c>
      <c r="C295" t="s">
        <v>19</v>
      </c>
      <c r="D295" t="s">
        <v>150</v>
      </c>
      <c r="E295" t="s">
        <v>122</v>
      </c>
      <c r="F295" s="4">
        <v>43428</v>
      </c>
      <c r="G295" s="5">
        <v>0.89652777777777781</v>
      </c>
      <c r="H295">
        <v>-76.679583333333341</v>
      </c>
      <c r="I295">
        <v>3.400694444444444</v>
      </c>
      <c r="J295">
        <v>3</v>
      </c>
      <c r="K295" t="s">
        <v>112</v>
      </c>
      <c r="L295" t="s">
        <v>160</v>
      </c>
      <c r="M295">
        <v>2880</v>
      </c>
      <c r="N295" t="b">
        <v>1</v>
      </c>
      <c r="O295" t="s">
        <v>114</v>
      </c>
      <c r="P295">
        <v>20</v>
      </c>
      <c r="R295">
        <v>20</v>
      </c>
      <c r="T295" t="s">
        <v>167</v>
      </c>
      <c r="V295" t="s">
        <v>42</v>
      </c>
      <c r="X295">
        <v>1</v>
      </c>
      <c r="AA295" t="s">
        <v>117</v>
      </c>
    </row>
    <row r="296" spans="1:27" x14ac:dyDescent="0.2">
      <c r="A296">
        <v>2018</v>
      </c>
      <c r="B296" t="s">
        <v>15</v>
      </c>
      <c r="C296" t="s">
        <v>19</v>
      </c>
      <c r="D296" t="s">
        <v>150</v>
      </c>
      <c r="E296" t="s">
        <v>122</v>
      </c>
      <c r="F296" s="4">
        <v>43428</v>
      </c>
      <c r="G296" s="5">
        <v>0.8666666666666667</v>
      </c>
      <c r="H296">
        <v>-76.680027777777781</v>
      </c>
      <c r="I296">
        <v>3.400722222222222</v>
      </c>
      <c r="J296">
        <v>3</v>
      </c>
      <c r="K296" t="s">
        <v>119</v>
      </c>
      <c r="L296" t="s">
        <v>161</v>
      </c>
      <c r="M296">
        <v>2890</v>
      </c>
      <c r="N296" t="b">
        <v>1</v>
      </c>
      <c r="O296" t="s">
        <v>114</v>
      </c>
      <c r="P296">
        <v>20</v>
      </c>
      <c r="R296">
        <v>10</v>
      </c>
      <c r="T296" t="s">
        <v>167</v>
      </c>
      <c r="V296" t="s">
        <v>7</v>
      </c>
      <c r="X296">
        <v>1</v>
      </c>
      <c r="AA296" t="s">
        <v>117</v>
      </c>
    </row>
    <row r="297" spans="1:27" x14ac:dyDescent="0.2">
      <c r="A297">
        <v>2018</v>
      </c>
      <c r="B297" t="s">
        <v>15</v>
      </c>
      <c r="C297" t="s">
        <v>19</v>
      </c>
      <c r="D297" t="s">
        <v>193</v>
      </c>
      <c r="E297" t="s">
        <v>111</v>
      </c>
      <c r="F297" s="4">
        <v>43428</v>
      </c>
      <c r="G297" s="5">
        <v>0.87777777777777777</v>
      </c>
      <c r="H297">
        <v>-76.680361111111111</v>
      </c>
      <c r="I297">
        <v>3.4009444444444439</v>
      </c>
      <c r="J297">
        <v>3</v>
      </c>
      <c r="K297" t="s">
        <v>119</v>
      </c>
      <c r="L297" t="s">
        <v>161</v>
      </c>
      <c r="M297">
        <v>2888</v>
      </c>
      <c r="N297" t="b">
        <v>1</v>
      </c>
      <c r="O297" t="s">
        <v>114</v>
      </c>
      <c r="P297">
        <v>15</v>
      </c>
      <c r="R297">
        <v>30</v>
      </c>
      <c r="T297" t="s">
        <v>167</v>
      </c>
      <c r="V297" t="s">
        <v>43</v>
      </c>
      <c r="X297">
        <v>1</v>
      </c>
      <c r="AA297" t="s">
        <v>117</v>
      </c>
    </row>
    <row r="298" spans="1:27" x14ac:dyDescent="0.2">
      <c r="A298">
        <v>2018</v>
      </c>
      <c r="B298" t="s">
        <v>15</v>
      </c>
      <c r="C298" t="s">
        <v>19</v>
      </c>
      <c r="D298" t="s">
        <v>153</v>
      </c>
      <c r="E298" t="s">
        <v>127</v>
      </c>
      <c r="F298" s="4">
        <v>43428</v>
      </c>
      <c r="G298" s="5">
        <v>0.92500000000000004</v>
      </c>
      <c r="H298">
        <v>-76.678777777777782</v>
      </c>
      <c r="I298">
        <v>3.4008333333333329</v>
      </c>
      <c r="J298">
        <v>3</v>
      </c>
      <c r="K298" t="s">
        <v>112</v>
      </c>
      <c r="L298" t="s">
        <v>160</v>
      </c>
      <c r="M298">
        <v>2886</v>
      </c>
      <c r="N298" t="b">
        <v>1</v>
      </c>
      <c r="O298" t="s">
        <v>114</v>
      </c>
      <c r="P298">
        <v>15</v>
      </c>
      <c r="R298">
        <v>10</v>
      </c>
      <c r="T298" t="s">
        <v>167</v>
      </c>
      <c r="V298" t="s">
        <v>44</v>
      </c>
      <c r="X298">
        <v>1</v>
      </c>
      <c r="AA298" t="s">
        <v>117</v>
      </c>
    </row>
    <row r="299" spans="1:27" x14ac:dyDescent="0.2">
      <c r="A299">
        <v>2018</v>
      </c>
      <c r="B299" t="s">
        <v>15</v>
      </c>
      <c r="C299" t="s">
        <v>19</v>
      </c>
      <c r="D299" t="s">
        <v>153</v>
      </c>
      <c r="E299" t="s">
        <v>127</v>
      </c>
      <c r="F299" s="4">
        <v>43428</v>
      </c>
      <c r="G299" s="5">
        <v>0.91805555555555551</v>
      </c>
      <c r="H299">
        <v>-76.679055555555564</v>
      </c>
      <c r="I299">
        <v>3.4007499999999999</v>
      </c>
      <c r="J299">
        <v>3</v>
      </c>
      <c r="K299" t="s">
        <v>119</v>
      </c>
      <c r="L299" t="s">
        <v>161</v>
      </c>
      <c r="M299">
        <v>2883</v>
      </c>
      <c r="N299" t="b">
        <v>1</v>
      </c>
      <c r="O299" t="s">
        <v>114</v>
      </c>
      <c r="P299">
        <v>15</v>
      </c>
      <c r="R299">
        <v>10</v>
      </c>
      <c r="T299" t="s">
        <v>167</v>
      </c>
      <c r="V299" t="s">
        <v>33</v>
      </c>
      <c r="X299">
        <v>1</v>
      </c>
      <c r="AA299" t="s">
        <v>117</v>
      </c>
    </row>
    <row r="300" spans="1:27" x14ac:dyDescent="0.2">
      <c r="A300">
        <v>2018</v>
      </c>
      <c r="B300" t="s">
        <v>15</v>
      </c>
      <c r="C300" t="s">
        <v>19</v>
      </c>
      <c r="D300" t="s">
        <v>153</v>
      </c>
      <c r="E300" t="s">
        <v>127</v>
      </c>
      <c r="F300" s="4">
        <v>43428</v>
      </c>
      <c r="G300" s="5">
        <v>0.93055555555555558</v>
      </c>
      <c r="H300">
        <v>-76.678638888888898</v>
      </c>
      <c r="I300">
        <v>3.400694444444444</v>
      </c>
      <c r="J300">
        <v>3</v>
      </c>
      <c r="K300" t="s">
        <v>119</v>
      </c>
      <c r="L300" t="s">
        <v>227</v>
      </c>
      <c r="M300">
        <v>2886</v>
      </c>
      <c r="N300" t="b">
        <v>1</v>
      </c>
      <c r="O300" t="s">
        <v>114</v>
      </c>
      <c r="P300">
        <v>15</v>
      </c>
      <c r="R300">
        <v>10</v>
      </c>
      <c r="T300" t="s">
        <v>167</v>
      </c>
      <c r="V300" t="s">
        <v>44</v>
      </c>
      <c r="X300">
        <v>1</v>
      </c>
      <c r="AA300" t="s">
        <v>117</v>
      </c>
    </row>
    <row r="301" spans="1:27" x14ac:dyDescent="0.2">
      <c r="A301">
        <v>2018</v>
      </c>
      <c r="B301" t="s">
        <v>49</v>
      </c>
      <c r="C301" t="s">
        <v>51</v>
      </c>
      <c r="D301" t="s">
        <v>223</v>
      </c>
      <c r="E301" t="s">
        <v>122</v>
      </c>
      <c r="F301" s="4">
        <v>43438</v>
      </c>
      <c r="G301" s="5">
        <v>0.97986111111111107</v>
      </c>
      <c r="H301">
        <v>-76.882583333333329</v>
      </c>
      <c r="I301">
        <v>3.5523055555555549</v>
      </c>
      <c r="J301">
        <v>3</v>
      </c>
      <c r="K301" t="s">
        <v>112</v>
      </c>
      <c r="L301" t="s">
        <v>161</v>
      </c>
      <c r="M301">
        <v>532</v>
      </c>
      <c r="N301" t="b">
        <v>1</v>
      </c>
      <c r="O301" t="s">
        <v>114</v>
      </c>
      <c r="P301">
        <v>3</v>
      </c>
      <c r="R301">
        <v>5</v>
      </c>
      <c r="T301" t="s">
        <v>167</v>
      </c>
      <c r="V301" t="s">
        <v>46</v>
      </c>
      <c r="X301">
        <v>1</v>
      </c>
      <c r="AA301" t="s">
        <v>117</v>
      </c>
    </row>
    <row r="302" spans="1:27" x14ac:dyDescent="0.2">
      <c r="A302">
        <v>2018</v>
      </c>
      <c r="B302" t="s">
        <v>49</v>
      </c>
      <c r="C302" t="s">
        <v>51</v>
      </c>
      <c r="D302" t="s">
        <v>223</v>
      </c>
      <c r="E302" t="s">
        <v>122</v>
      </c>
      <c r="F302" s="4">
        <v>43438</v>
      </c>
      <c r="G302" s="5">
        <v>0.97986111111111107</v>
      </c>
      <c r="H302">
        <v>-76.882583333333329</v>
      </c>
      <c r="I302">
        <v>3.5523055555555549</v>
      </c>
      <c r="J302">
        <v>3</v>
      </c>
      <c r="K302" t="s">
        <v>112</v>
      </c>
      <c r="L302" t="s">
        <v>161</v>
      </c>
      <c r="M302">
        <v>533</v>
      </c>
      <c r="N302" t="b">
        <v>1</v>
      </c>
      <c r="O302" t="s">
        <v>114</v>
      </c>
      <c r="P302">
        <v>3</v>
      </c>
      <c r="R302">
        <v>5</v>
      </c>
      <c r="T302" t="s">
        <v>167</v>
      </c>
      <c r="V302" t="s">
        <v>46</v>
      </c>
      <c r="X302">
        <v>1</v>
      </c>
      <c r="AA302" t="s">
        <v>117</v>
      </c>
    </row>
    <row r="303" spans="1:27" x14ac:dyDescent="0.2">
      <c r="A303">
        <v>2018</v>
      </c>
      <c r="B303" t="s">
        <v>49</v>
      </c>
      <c r="C303" t="s">
        <v>51</v>
      </c>
      <c r="D303" t="s">
        <v>223</v>
      </c>
      <c r="E303" t="s">
        <v>122</v>
      </c>
      <c r="F303" s="4">
        <v>43438</v>
      </c>
      <c r="G303" s="5">
        <v>0.97986111111111107</v>
      </c>
      <c r="H303">
        <v>-76.882583333333329</v>
      </c>
      <c r="I303">
        <v>3.5523055555555549</v>
      </c>
      <c r="J303">
        <v>3</v>
      </c>
      <c r="K303" t="s">
        <v>112</v>
      </c>
      <c r="L303" t="s">
        <v>161</v>
      </c>
      <c r="M303">
        <v>534</v>
      </c>
      <c r="N303" t="b">
        <v>1</v>
      </c>
      <c r="O303" t="s">
        <v>114</v>
      </c>
      <c r="P303">
        <v>3</v>
      </c>
      <c r="R303">
        <v>5</v>
      </c>
      <c r="T303" t="s">
        <v>167</v>
      </c>
      <c r="V303" t="s">
        <v>46</v>
      </c>
      <c r="X303">
        <v>1</v>
      </c>
      <c r="AA303" t="s">
        <v>117</v>
      </c>
    </row>
    <row r="304" spans="1:27" x14ac:dyDescent="0.2">
      <c r="A304">
        <v>2018</v>
      </c>
      <c r="B304" t="s">
        <v>49</v>
      </c>
      <c r="C304" t="s">
        <v>51</v>
      </c>
      <c r="D304" t="s">
        <v>223</v>
      </c>
      <c r="E304" t="s">
        <v>122</v>
      </c>
      <c r="F304" s="4">
        <v>43438</v>
      </c>
      <c r="G304" s="5">
        <v>0.97986111111111107</v>
      </c>
      <c r="H304">
        <v>-76.882583333333329</v>
      </c>
      <c r="I304">
        <v>3.5523055555555549</v>
      </c>
      <c r="J304">
        <v>3</v>
      </c>
      <c r="K304" t="s">
        <v>112</v>
      </c>
      <c r="L304" t="s">
        <v>161</v>
      </c>
      <c r="M304">
        <v>535</v>
      </c>
      <c r="N304" t="b">
        <v>1</v>
      </c>
      <c r="O304" t="s">
        <v>114</v>
      </c>
      <c r="P304">
        <v>3</v>
      </c>
      <c r="R304">
        <v>5</v>
      </c>
      <c r="T304" t="s">
        <v>167</v>
      </c>
      <c r="V304" t="s">
        <v>46</v>
      </c>
      <c r="X304">
        <v>1</v>
      </c>
      <c r="AA304" t="s">
        <v>117</v>
      </c>
    </row>
    <row r="305" spans="1:27" x14ac:dyDescent="0.2">
      <c r="A305">
        <v>2018</v>
      </c>
      <c r="B305" t="s">
        <v>49</v>
      </c>
      <c r="C305" t="s">
        <v>51</v>
      </c>
      <c r="D305" t="s">
        <v>240</v>
      </c>
      <c r="E305" t="s">
        <v>135</v>
      </c>
      <c r="F305" s="4">
        <v>43438</v>
      </c>
      <c r="G305" s="5">
        <v>0.94930555555555551</v>
      </c>
      <c r="H305">
        <v>-76.882611111111103</v>
      </c>
      <c r="I305">
        <v>3.5524444444444438</v>
      </c>
      <c r="J305">
        <v>3</v>
      </c>
      <c r="K305" t="s">
        <v>112</v>
      </c>
      <c r="L305" t="s">
        <v>161</v>
      </c>
      <c r="M305">
        <v>516</v>
      </c>
      <c r="N305" t="b">
        <v>1</v>
      </c>
      <c r="O305" t="s">
        <v>114</v>
      </c>
      <c r="P305">
        <v>20</v>
      </c>
      <c r="R305">
        <v>10</v>
      </c>
      <c r="T305" t="s">
        <v>167</v>
      </c>
      <c r="V305" t="s">
        <v>27</v>
      </c>
      <c r="X305">
        <v>1</v>
      </c>
      <c r="AA305" t="s">
        <v>117</v>
      </c>
    </row>
    <row r="306" spans="1:27" x14ac:dyDescent="0.2">
      <c r="A306">
        <v>2018</v>
      </c>
      <c r="B306" t="s">
        <v>49</v>
      </c>
      <c r="C306" t="s">
        <v>51</v>
      </c>
      <c r="D306" t="s">
        <v>240</v>
      </c>
      <c r="E306" t="s">
        <v>135</v>
      </c>
      <c r="F306" s="4">
        <v>43438</v>
      </c>
      <c r="G306" s="5">
        <v>0.94930555555555551</v>
      </c>
      <c r="H306">
        <v>-76.882611111111103</v>
      </c>
      <c r="I306">
        <v>3.5524444444444438</v>
      </c>
      <c r="J306">
        <v>3</v>
      </c>
      <c r="K306" t="s">
        <v>112</v>
      </c>
      <c r="L306" t="s">
        <v>161</v>
      </c>
      <c r="M306">
        <v>516</v>
      </c>
      <c r="N306" t="b">
        <v>1</v>
      </c>
      <c r="O306" t="s">
        <v>114</v>
      </c>
      <c r="P306">
        <v>20</v>
      </c>
      <c r="R306">
        <v>10</v>
      </c>
      <c r="T306" t="s">
        <v>167</v>
      </c>
      <c r="V306" t="s">
        <v>27</v>
      </c>
      <c r="X306">
        <v>1</v>
      </c>
      <c r="AA306" t="s">
        <v>117</v>
      </c>
    </row>
    <row r="307" spans="1:27" x14ac:dyDescent="0.2">
      <c r="A307">
        <v>2018</v>
      </c>
      <c r="B307" t="s">
        <v>49</v>
      </c>
      <c r="C307" t="s">
        <v>51</v>
      </c>
      <c r="D307" t="s">
        <v>240</v>
      </c>
      <c r="E307" t="s">
        <v>135</v>
      </c>
      <c r="F307" s="4">
        <v>43438</v>
      </c>
      <c r="G307" s="5">
        <v>0.94930555555555551</v>
      </c>
      <c r="H307">
        <v>-76.882611111111103</v>
      </c>
      <c r="I307">
        <v>3.5524444444444438</v>
      </c>
      <c r="J307">
        <v>3</v>
      </c>
      <c r="K307" t="s">
        <v>112</v>
      </c>
      <c r="L307" t="s">
        <v>227</v>
      </c>
      <c r="M307">
        <v>516</v>
      </c>
      <c r="N307" t="b">
        <v>1</v>
      </c>
      <c r="O307" t="s">
        <v>114</v>
      </c>
      <c r="P307">
        <v>20</v>
      </c>
      <c r="R307">
        <v>10</v>
      </c>
      <c r="T307" t="s">
        <v>167</v>
      </c>
      <c r="V307" t="s">
        <v>27</v>
      </c>
      <c r="X307">
        <v>1</v>
      </c>
      <c r="AA307" t="s">
        <v>117</v>
      </c>
    </row>
    <row r="308" spans="1:27" x14ac:dyDescent="0.2">
      <c r="A308">
        <v>2018</v>
      </c>
      <c r="B308" t="s">
        <v>49</v>
      </c>
      <c r="C308" t="s">
        <v>51</v>
      </c>
      <c r="D308" t="s">
        <v>240</v>
      </c>
      <c r="E308" t="s">
        <v>135</v>
      </c>
      <c r="F308" s="4">
        <v>43438</v>
      </c>
      <c r="G308" s="5">
        <v>0.94930555555555551</v>
      </c>
      <c r="H308">
        <v>-76.882611111111103</v>
      </c>
      <c r="I308">
        <v>3.5524444444444438</v>
      </c>
      <c r="J308">
        <v>3</v>
      </c>
      <c r="K308" t="s">
        <v>112</v>
      </c>
      <c r="L308" t="s">
        <v>227</v>
      </c>
      <c r="M308">
        <v>516</v>
      </c>
      <c r="N308" t="b">
        <v>1</v>
      </c>
      <c r="O308" t="s">
        <v>114</v>
      </c>
      <c r="P308">
        <v>20</v>
      </c>
      <c r="R308">
        <v>10</v>
      </c>
      <c r="T308" t="s">
        <v>167</v>
      </c>
      <c r="V308" t="s">
        <v>28</v>
      </c>
      <c r="X308">
        <v>1</v>
      </c>
      <c r="AA308" t="s">
        <v>117</v>
      </c>
    </row>
    <row r="309" spans="1:27" x14ac:dyDescent="0.2">
      <c r="A309">
        <v>2018</v>
      </c>
      <c r="B309" t="s">
        <v>49</v>
      </c>
      <c r="C309" t="s">
        <v>51</v>
      </c>
      <c r="D309" t="s">
        <v>221</v>
      </c>
      <c r="E309" t="s">
        <v>111</v>
      </c>
      <c r="F309" s="4">
        <v>43438</v>
      </c>
      <c r="G309" s="5">
        <v>0.92291666666666672</v>
      </c>
      <c r="H309">
        <v>-76.881583333333325</v>
      </c>
      <c r="I309">
        <v>3.5526944444444442</v>
      </c>
      <c r="J309">
        <v>3</v>
      </c>
      <c r="K309" t="s">
        <v>119</v>
      </c>
      <c r="L309" t="s">
        <v>160</v>
      </c>
      <c r="M309">
        <v>511</v>
      </c>
      <c r="N309" t="b">
        <v>1</v>
      </c>
      <c r="O309" t="s">
        <v>114</v>
      </c>
      <c r="P309">
        <v>6</v>
      </c>
      <c r="R309">
        <v>10</v>
      </c>
      <c r="T309" t="s">
        <v>167</v>
      </c>
      <c r="V309" t="s">
        <v>32</v>
      </c>
      <c r="X309">
        <v>1</v>
      </c>
      <c r="AA309" t="s">
        <v>117</v>
      </c>
    </row>
    <row r="310" spans="1:27" x14ac:dyDescent="0.2">
      <c r="A310">
        <v>2018</v>
      </c>
      <c r="B310" t="s">
        <v>49</v>
      </c>
      <c r="C310" t="s">
        <v>51</v>
      </c>
      <c r="D310" t="s">
        <v>223</v>
      </c>
      <c r="E310" t="s">
        <v>122</v>
      </c>
      <c r="F310" s="4">
        <v>43438</v>
      </c>
      <c r="G310" s="5">
        <v>0.93194444444444446</v>
      </c>
      <c r="H310">
        <v>-76.881999999999991</v>
      </c>
      <c r="I310">
        <v>3.5524444444444438</v>
      </c>
      <c r="J310">
        <v>3</v>
      </c>
      <c r="K310" t="s">
        <v>119</v>
      </c>
      <c r="L310" t="s">
        <v>160</v>
      </c>
      <c r="M310">
        <v>515</v>
      </c>
      <c r="N310" t="b">
        <v>1</v>
      </c>
      <c r="O310" t="s">
        <v>114</v>
      </c>
      <c r="P310">
        <v>10</v>
      </c>
      <c r="R310">
        <v>5</v>
      </c>
      <c r="T310" t="s">
        <v>167</v>
      </c>
      <c r="V310" t="s">
        <v>32</v>
      </c>
      <c r="X310">
        <v>1</v>
      </c>
      <c r="AA310" t="s">
        <v>117</v>
      </c>
    </row>
    <row r="311" spans="1:27" x14ac:dyDescent="0.2">
      <c r="A311">
        <v>2018</v>
      </c>
      <c r="B311" t="s">
        <v>49</v>
      </c>
      <c r="C311" t="s">
        <v>51</v>
      </c>
      <c r="D311" t="s">
        <v>240</v>
      </c>
      <c r="E311" t="s">
        <v>135</v>
      </c>
      <c r="F311" s="4">
        <v>43438</v>
      </c>
      <c r="G311" s="5">
        <v>0.94930555555555551</v>
      </c>
      <c r="H311">
        <v>-76.882611111111103</v>
      </c>
      <c r="I311">
        <v>3.5524444444444438</v>
      </c>
      <c r="J311">
        <v>3</v>
      </c>
      <c r="K311" t="s">
        <v>119</v>
      </c>
      <c r="L311" t="s">
        <v>160</v>
      </c>
      <c r="M311">
        <v>516</v>
      </c>
      <c r="N311" t="b">
        <v>1</v>
      </c>
      <c r="O311" t="s">
        <v>114</v>
      </c>
      <c r="P311">
        <v>20</v>
      </c>
      <c r="R311">
        <v>10</v>
      </c>
      <c r="T311" t="s">
        <v>167</v>
      </c>
      <c r="V311" t="s">
        <v>48</v>
      </c>
      <c r="X311">
        <v>1</v>
      </c>
      <c r="AA311" t="s">
        <v>117</v>
      </c>
    </row>
    <row r="312" spans="1:27" x14ac:dyDescent="0.2">
      <c r="A312">
        <v>2018</v>
      </c>
      <c r="B312" t="s">
        <v>49</v>
      </c>
      <c r="C312" t="s">
        <v>51</v>
      </c>
      <c r="D312" t="s">
        <v>221</v>
      </c>
      <c r="E312" t="s">
        <v>111</v>
      </c>
      <c r="F312" s="4">
        <v>43438</v>
      </c>
      <c r="G312" s="5">
        <v>0.90277777777777779</v>
      </c>
      <c r="H312">
        <v>-76.880694444444444</v>
      </c>
      <c r="I312">
        <v>3.5526666666666671</v>
      </c>
      <c r="J312">
        <v>3</v>
      </c>
      <c r="K312" t="s">
        <v>112</v>
      </c>
      <c r="L312" t="s">
        <v>160</v>
      </c>
      <c r="M312">
        <v>503</v>
      </c>
      <c r="N312" t="b">
        <v>1</v>
      </c>
      <c r="O312" t="s">
        <v>114</v>
      </c>
      <c r="T312" t="s">
        <v>167</v>
      </c>
      <c r="V312" t="s">
        <v>47</v>
      </c>
      <c r="W312" t="s">
        <v>141</v>
      </c>
      <c r="X312">
        <v>0</v>
      </c>
      <c r="AA312" t="s">
        <v>117</v>
      </c>
    </row>
    <row r="313" spans="1:27" x14ac:dyDescent="0.2">
      <c r="A313">
        <v>2018</v>
      </c>
      <c r="B313" t="s">
        <v>49</v>
      </c>
      <c r="C313" t="s">
        <v>51</v>
      </c>
      <c r="D313" t="s">
        <v>221</v>
      </c>
      <c r="E313" t="s">
        <v>111</v>
      </c>
      <c r="F313" s="4">
        <v>43438</v>
      </c>
      <c r="G313" s="5">
        <v>0.91041666666666665</v>
      </c>
      <c r="H313">
        <v>-76.880861111111102</v>
      </c>
      <c r="I313">
        <v>3.5526666666666671</v>
      </c>
      <c r="J313">
        <v>3</v>
      </c>
      <c r="K313" t="s">
        <v>119</v>
      </c>
      <c r="L313" t="s">
        <v>160</v>
      </c>
      <c r="M313">
        <v>503</v>
      </c>
      <c r="N313" t="b">
        <v>1</v>
      </c>
      <c r="O313" t="s">
        <v>114</v>
      </c>
      <c r="P313">
        <v>2</v>
      </c>
      <c r="R313">
        <v>7</v>
      </c>
      <c r="S313" t="s">
        <v>159</v>
      </c>
      <c r="T313" t="s">
        <v>167</v>
      </c>
      <c r="V313" t="s">
        <v>32</v>
      </c>
      <c r="X313">
        <v>1</v>
      </c>
      <c r="AA313" t="s">
        <v>117</v>
      </c>
    </row>
    <row r="314" spans="1:27" x14ac:dyDescent="0.2">
      <c r="A314">
        <v>2018</v>
      </c>
      <c r="B314" t="s">
        <v>49</v>
      </c>
      <c r="C314" t="s">
        <v>51</v>
      </c>
      <c r="D314" t="s">
        <v>221</v>
      </c>
      <c r="E314" t="s">
        <v>111</v>
      </c>
      <c r="F314" s="4">
        <v>43216</v>
      </c>
      <c r="G314" s="5">
        <v>0.84375</v>
      </c>
      <c r="H314">
        <v>-76.88047222222221</v>
      </c>
      <c r="I314">
        <v>3.5526944444444442</v>
      </c>
      <c r="J314">
        <v>2</v>
      </c>
      <c r="L314" t="s">
        <v>120</v>
      </c>
      <c r="M314">
        <v>586</v>
      </c>
      <c r="O314" t="s">
        <v>114</v>
      </c>
      <c r="R314">
        <v>5</v>
      </c>
      <c r="V314" t="s">
        <v>45</v>
      </c>
      <c r="X314">
        <v>1</v>
      </c>
      <c r="Y314">
        <v>97</v>
      </c>
      <c r="Z314">
        <v>25.5</v>
      </c>
      <c r="AA314" t="s">
        <v>117</v>
      </c>
    </row>
    <row r="315" spans="1:27" x14ac:dyDescent="0.2">
      <c r="A315">
        <v>2018</v>
      </c>
      <c r="B315" t="s">
        <v>49</v>
      </c>
      <c r="C315" t="s">
        <v>52</v>
      </c>
      <c r="D315" t="s">
        <v>241</v>
      </c>
      <c r="E315" t="s">
        <v>111</v>
      </c>
      <c r="F315" s="4">
        <v>43216</v>
      </c>
      <c r="G315" s="5">
        <v>0.93958333333333333</v>
      </c>
      <c r="H315">
        <v>-76.890277777777783</v>
      </c>
      <c r="I315">
        <v>3.5511111111111111</v>
      </c>
      <c r="J315">
        <v>2</v>
      </c>
      <c r="L315" t="s">
        <v>161</v>
      </c>
      <c r="M315">
        <v>680</v>
      </c>
      <c r="O315" t="s">
        <v>114</v>
      </c>
      <c r="V315" t="s">
        <v>45</v>
      </c>
      <c r="X315">
        <v>1</v>
      </c>
      <c r="Y315">
        <v>99</v>
      </c>
      <c r="Z315">
        <v>24</v>
      </c>
      <c r="AA315" t="s">
        <v>117</v>
      </c>
    </row>
    <row r="316" spans="1:27" x14ac:dyDescent="0.2">
      <c r="A316">
        <v>2018</v>
      </c>
      <c r="B316" t="s">
        <v>49</v>
      </c>
      <c r="C316" t="s">
        <v>50</v>
      </c>
      <c r="D316" t="s">
        <v>242</v>
      </c>
      <c r="E316" t="s">
        <v>111</v>
      </c>
      <c r="F316" s="4">
        <v>43217</v>
      </c>
      <c r="G316" s="5">
        <v>0.34236111111111112</v>
      </c>
      <c r="H316">
        <v>-76.880444444444436</v>
      </c>
      <c r="I316">
        <v>3.576888888888889</v>
      </c>
      <c r="J316">
        <v>2</v>
      </c>
      <c r="K316" t="s">
        <v>112</v>
      </c>
      <c r="L316" t="s">
        <v>194</v>
      </c>
      <c r="M316">
        <v>662</v>
      </c>
      <c r="N316" t="b">
        <v>1</v>
      </c>
      <c r="O316" t="s">
        <v>114</v>
      </c>
      <c r="P316">
        <v>10</v>
      </c>
      <c r="R316">
        <v>90</v>
      </c>
      <c r="T316" t="s">
        <v>145</v>
      </c>
      <c r="V316" t="s">
        <v>71</v>
      </c>
      <c r="X316">
        <v>1</v>
      </c>
      <c r="AA316" t="s">
        <v>117</v>
      </c>
    </row>
    <row r="317" spans="1:27" x14ac:dyDescent="0.2">
      <c r="A317">
        <v>2018</v>
      </c>
      <c r="B317" t="s">
        <v>49</v>
      </c>
      <c r="C317" t="s">
        <v>50</v>
      </c>
      <c r="D317" t="s">
        <v>243</v>
      </c>
      <c r="E317" t="s">
        <v>135</v>
      </c>
      <c r="F317" s="4">
        <v>43217</v>
      </c>
      <c r="G317" s="5">
        <v>0.36944444444444446</v>
      </c>
      <c r="H317">
        <v>-76.880416666666662</v>
      </c>
      <c r="I317">
        <v>3.5791388888888891</v>
      </c>
      <c r="J317">
        <v>2</v>
      </c>
      <c r="K317" t="s">
        <v>112</v>
      </c>
      <c r="L317" t="s">
        <v>194</v>
      </c>
      <c r="M317">
        <v>741</v>
      </c>
      <c r="N317" t="b">
        <v>1</v>
      </c>
      <c r="O317" t="s">
        <v>114</v>
      </c>
      <c r="P317">
        <v>8</v>
      </c>
      <c r="R317">
        <v>90</v>
      </c>
      <c r="T317" t="s">
        <v>145</v>
      </c>
      <c r="V317" t="s">
        <v>71</v>
      </c>
      <c r="X317">
        <v>1</v>
      </c>
      <c r="AA317" t="s">
        <v>117</v>
      </c>
    </row>
    <row r="318" spans="1:27" x14ac:dyDescent="0.2">
      <c r="A318">
        <v>2018</v>
      </c>
      <c r="B318" t="s">
        <v>49</v>
      </c>
      <c r="C318" t="s">
        <v>50</v>
      </c>
      <c r="D318" t="s">
        <v>243</v>
      </c>
      <c r="E318" t="s">
        <v>135</v>
      </c>
      <c r="F318" s="4">
        <v>43217</v>
      </c>
      <c r="G318" s="5">
        <v>0.34861111111111109</v>
      </c>
      <c r="H318">
        <v>-76.880416666666662</v>
      </c>
      <c r="I318">
        <v>3.5791388888888891</v>
      </c>
      <c r="J318">
        <v>2</v>
      </c>
      <c r="K318" t="s">
        <v>112</v>
      </c>
      <c r="L318" t="s">
        <v>120</v>
      </c>
      <c r="M318">
        <v>741</v>
      </c>
      <c r="N318" t="b">
        <v>1</v>
      </c>
      <c r="O318" t="s">
        <v>114</v>
      </c>
      <c r="T318" t="s">
        <v>145</v>
      </c>
      <c r="U318" t="s">
        <v>244</v>
      </c>
      <c r="V318" t="s">
        <v>71</v>
      </c>
      <c r="X318">
        <v>1</v>
      </c>
      <c r="AA318" t="s">
        <v>117</v>
      </c>
    </row>
    <row r="319" spans="1:27" x14ac:dyDescent="0.2">
      <c r="A319">
        <v>2018</v>
      </c>
      <c r="B319" t="s">
        <v>49</v>
      </c>
      <c r="C319" t="s">
        <v>50</v>
      </c>
      <c r="D319" t="s">
        <v>243</v>
      </c>
      <c r="E319" t="s">
        <v>135</v>
      </c>
      <c r="F319" s="4">
        <v>43217</v>
      </c>
      <c r="G319" s="5">
        <v>0.34861111111111109</v>
      </c>
      <c r="H319">
        <v>-76.880416666666662</v>
      </c>
      <c r="I319">
        <v>3.5791388888888891</v>
      </c>
      <c r="J319">
        <v>2</v>
      </c>
      <c r="K319" t="s">
        <v>119</v>
      </c>
      <c r="L319" t="s">
        <v>194</v>
      </c>
      <c r="M319">
        <v>741</v>
      </c>
      <c r="N319" t="b">
        <v>1</v>
      </c>
      <c r="O319" t="s">
        <v>114</v>
      </c>
      <c r="T319" t="s">
        <v>145</v>
      </c>
      <c r="U319" t="s">
        <v>244</v>
      </c>
      <c r="V319" t="s">
        <v>71</v>
      </c>
      <c r="X319">
        <v>1</v>
      </c>
      <c r="AA319" t="s">
        <v>117</v>
      </c>
    </row>
    <row r="320" spans="1:27" x14ac:dyDescent="0.2">
      <c r="A320">
        <v>2018</v>
      </c>
      <c r="B320" t="s">
        <v>49</v>
      </c>
      <c r="C320" t="s">
        <v>50</v>
      </c>
      <c r="D320" t="s">
        <v>243</v>
      </c>
      <c r="E320" t="s">
        <v>135</v>
      </c>
      <c r="F320" s="4">
        <v>43217</v>
      </c>
      <c r="G320" s="5">
        <v>0.38194444444444442</v>
      </c>
      <c r="H320">
        <v>-76.880416666666662</v>
      </c>
      <c r="I320">
        <v>3.5791388888888891</v>
      </c>
      <c r="J320">
        <v>2</v>
      </c>
      <c r="K320" t="s">
        <v>112</v>
      </c>
      <c r="L320" t="s">
        <v>194</v>
      </c>
      <c r="M320">
        <v>741</v>
      </c>
      <c r="N320" t="b">
        <v>1</v>
      </c>
      <c r="O320" t="s">
        <v>114</v>
      </c>
      <c r="T320" t="s">
        <v>145</v>
      </c>
      <c r="U320" t="s">
        <v>244</v>
      </c>
      <c r="V320" t="s">
        <v>71</v>
      </c>
      <c r="X320">
        <v>1</v>
      </c>
      <c r="AA320" t="s">
        <v>117</v>
      </c>
    </row>
    <row r="321" spans="1:27" x14ac:dyDescent="0.2">
      <c r="A321">
        <v>2018</v>
      </c>
      <c r="B321" t="s">
        <v>49</v>
      </c>
      <c r="C321" t="s">
        <v>50</v>
      </c>
      <c r="D321" t="s">
        <v>243</v>
      </c>
      <c r="E321" t="s">
        <v>135</v>
      </c>
      <c r="F321" s="4">
        <v>43217</v>
      </c>
      <c r="G321" s="5">
        <v>0.38333333333333336</v>
      </c>
      <c r="H321">
        <v>-76.880416666666662</v>
      </c>
      <c r="I321">
        <v>3.5791388888888891</v>
      </c>
      <c r="J321">
        <v>2</v>
      </c>
      <c r="K321" t="s">
        <v>112</v>
      </c>
      <c r="L321" t="s">
        <v>148</v>
      </c>
      <c r="M321">
        <v>741</v>
      </c>
      <c r="N321" t="b">
        <v>1</v>
      </c>
      <c r="O321" t="s">
        <v>114</v>
      </c>
      <c r="T321" t="s">
        <v>145</v>
      </c>
      <c r="U321" t="s">
        <v>244</v>
      </c>
      <c r="V321" t="s">
        <v>71</v>
      </c>
      <c r="X321">
        <v>1</v>
      </c>
      <c r="AA321" t="s">
        <v>117</v>
      </c>
    </row>
    <row r="322" spans="1:27" x14ac:dyDescent="0.2">
      <c r="A322">
        <v>2018</v>
      </c>
      <c r="B322" t="s">
        <v>49</v>
      </c>
      <c r="C322" t="s">
        <v>50</v>
      </c>
      <c r="D322" t="s">
        <v>245</v>
      </c>
      <c r="E322" t="s">
        <v>127</v>
      </c>
      <c r="F322" s="4">
        <v>43217</v>
      </c>
      <c r="G322" s="5">
        <v>0.40972222222222221</v>
      </c>
      <c r="H322">
        <v>-76.88047222222221</v>
      </c>
      <c r="I322">
        <v>3.5787499999999999</v>
      </c>
      <c r="J322">
        <v>2</v>
      </c>
      <c r="K322" t="s">
        <v>119</v>
      </c>
      <c r="L322" t="s">
        <v>194</v>
      </c>
      <c r="M322">
        <v>712</v>
      </c>
      <c r="N322" t="b">
        <v>1</v>
      </c>
      <c r="O322" t="s">
        <v>114</v>
      </c>
      <c r="P322">
        <v>7</v>
      </c>
      <c r="R322">
        <v>70</v>
      </c>
      <c r="T322" t="s">
        <v>145</v>
      </c>
      <c r="V322" t="s">
        <v>71</v>
      </c>
      <c r="X322">
        <v>1</v>
      </c>
      <c r="AA322" t="s">
        <v>117</v>
      </c>
    </row>
    <row r="323" spans="1:27" x14ac:dyDescent="0.2">
      <c r="A323">
        <v>2018</v>
      </c>
      <c r="B323" t="s">
        <v>49</v>
      </c>
      <c r="C323" t="s">
        <v>50</v>
      </c>
      <c r="D323" t="s">
        <v>245</v>
      </c>
      <c r="E323" t="s">
        <v>127</v>
      </c>
      <c r="F323" s="4">
        <v>43217</v>
      </c>
      <c r="G323" s="5">
        <v>0.41111111111111109</v>
      </c>
      <c r="H323">
        <v>-76.88047222222221</v>
      </c>
      <c r="I323">
        <v>3.5787499999999999</v>
      </c>
      <c r="J323">
        <v>2</v>
      </c>
      <c r="K323" t="s">
        <v>119</v>
      </c>
      <c r="L323" t="s">
        <v>161</v>
      </c>
      <c r="M323">
        <v>712</v>
      </c>
      <c r="N323" t="b">
        <v>1</v>
      </c>
      <c r="O323" t="s">
        <v>114</v>
      </c>
      <c r="P323">
        <v>7</v>
      </c>
      <c r="R323">
        <v>70</v>
      </c>
      <c r="T323" t="s">
        <v>145</v>
      </c>
      <c r="V323" t="s">
        <v>71</v>
      </c>
      <c r="X323">
        <v>1</v>
      </c>
      <c r="AA323" t="s">
        <v>117</v>
      </c>
    </row>
    <row r="324" spans="1:27" x14ac:dyDescent="0.2">
      <c r="A324">
        <v>2018</v>
      </c>
      <c r="B324" t="s">
        <v>49</v>
      </c>
      <c r="C324" t="s">
        <v>50</v>
      </c>
      <c r="D324" t="s">
        <v>246</v>
      </c>
      <c r="E324" t="s">
        <v>122</v>
      </c>
      <c r="F324" s="4">
        <v>43217</v>
      </c>
      <c r="G324" s="5"/>
      <c r="J324">
        <v>2</v>
      </c>
      <c r="O324" t="s">
        <v>114</v>
      </c>
      <c r="V324" t="s">
        <v>47</v>
      </c>
      <c r="X324">
        <v>0</v>
      </c>
    </row>
    <row r="325" spans="1:27" x14ac:dyDescent="0.2">
      <c r="A325">
        <v>2018</v>
      </c>
      <c r="B325" t="s">
        <v>49</v>
      </c>
      <c r="C325" t="s">
        <v>54</v>
      </c>
      <c r="D325" t="s">
        <v>247</v>
      </c>
      <c r="E325" t="s">
        <v>111</v>
      </c>
      <c r="F325" s="4">
        <v>43218</v>
      </c>
      <c r="G325" s="5">
        <v>0.85069444444444442</v>
      </c>
      <c r="H325">
        <v>-76.891833333333338</v>
      </c>
      <c r="I325">
        <v>3.594586111111111</v>
      </c>
      <c r="J325">
        <v>2</v>
      </c>
      <c r="K325" t="s">
        <v>119</v>
      </c>
      <c r="L325" t="s">
        <v>120</v>
      </c>
      <c r="M325">
        <v>624</v>
      </c>
      <c r="N325" t="b">
        <v>1</v>
      </c>
      <c r="O325" t="s">
        <v>114</v>
      </c>
      <c r="P325">
        <v>12</v>
      </c>
      <c r="R325">
        <v>10</v>
      </c>
      <c r="T325" t="s">
        <v>145</v>
      </c>
      <c r="V325" t="s">
        <v>34</v>
      </c>
      <c r="X325">
        <v>1</v>
      </c>
      <c r="AA325" t="s">
        <v>117</v>
      </c>
    </row>
    <row r="326" spans="1:27" x14ac:dyDescent="0.2">
      <c r="A326">
        <v>2018</v>
      </c>
      <c r="B326" t="s">
        <v>49</v>
      </c>
      <c r="C326" t="s">
        <v>54</v>
      </c>
      <c r="D326" t="s">
        <v>247</v>
      </c>
      <c r="E326" t="s">
        <v>111</v>
      </c>
      <c r="F326" s="4">
        <v>43218</v>
      </c>
      <c r="G326" s="5">
        <v>0.8569444444444444</v>
      </c>
      <c r="H326">
        <v>-76.891430555555559</v>
      </c>
      <c r="I326">
        <v>3.594213888888889</v>
      </c>
      <c r="J326">
        <v>2</v>
      </c>
      <c r="K326" t="s">
        <v>119</v>
      </c>
      <c r="L326" t="s">
        <v>120</v>
      </c>
      <c r="M326">
        <v>523</v>
      </c>
      <c r="N326" t="b">
        <v>1</v>
      </c>
      <c r="O326" t="s">
        <v>114</v>
      </c>
      <c r="P326">
        <v>3</v>
      </c>
      <c r="R326">
        <v>10</v>
      </c>
      <c r="T326" t="s">
        <v>145</v>
      </c>
      <c r="V326" t="s">
        <v>30</v>
      </c>
      <c r="X326">
        <v>1</v>
      </c>
      <c r="AA326" t="s">
        <v>117</v>
      </c>
    </row>
    <row r="327" spans="1:27" x14ac:dyDescent="0.2">
      <c r="A327">
        <v>2018</v>
      </c>
      <c r="B327" t="s">
        <v>49</v>
      </c>
      <c r="C327" t="s">
        <v>54</v>
      </c>
      <c r="D327" t="s">
        <v>247</v>
      </c>
      <c r="E327" t="s">
        <v>111</v>
      </c>
      <c r="F327" s="4">
        <v>43218</v>
      </c>
      <c r="G327" s="5">
        <v>0.86319444444444449</v>
      </c>
      <c r="H327">
        <v>-76.891852777777785</v>
      </c>
      <c r="I327">
        <v>3.594558333333334</v>
      </c>
      <c r="J327">
        <v>2</v>
      </c>
      <c r="K327" t="s">
        <v>119</v>
      </c>
      <c r="L327" t="s">
        <v>120</v>
      </c>
      <c r="M327">
        <v>596</v>
      </c>
      <c r="N327" t="b">
        <v>1</v>
      </c>
      <c r="O327" t="s">
        <v>114</v>
      </c>
      <c r="P327">
        <v>15</v>
      </c>
      <c r="R327">
        <v>5</v>
      </c>
      <c r="T327" t="s">
        <v>145</v>
      </c>
      <c r="V327" t="s">
        <v>30</v>
      </c>
      <c r="X327">
        <v>1</v>
      </c>
      <c r="AA327" t="s">
        <v>117</v>
      </c>
    </row>
    <row r="328" spans="1:27" x14ac:dyDescent="0.2">
      <c r="A328">
        <v>2018</v>
      </c>
      <c r="B328" t="s">
        <v>49</v>
      </c>
      <c r="C328" t="s">
        <v>54</v>
      </c>
      <c r="D328" t="s">
        <v>247</v>
      </c>
      <c r="E328" t="s">
        <v>111</v>
      </c>
      <c r="F328" s="4">
        <v>43218</v>
      </c>
      <c r="G328" s="5">
        <v>0.86805555555555558</v>
      </c>
      <c r="H328">
        <v>-76.892086111111112</v>
      </c>
      <c r="I328">
        <v>3.5949</v>
      </c>
      <c r="J328">
        <v>2</v>
      </c>
      <c r="K328" t="s">
        <v>112</v>
      </c>
      <c r="L328" t="s">
        <v>161</v>
      </c>
      <c r="M328">
        <v>585</v>
      </c>
      <c r="N328" t="b">
        <v>1</v>
      </c>
      <c r="O328" t="s">
        <v>114</v>
      </c>
      <c r="P328">
        <v>30</v>
      </c>
      <c r="R328">
        <v>90</v>
      </c>
      <c r="T328" t="s">
        <v>145</v>
      </c>
      <c r="V328" t="s">
        <v>31</v>
      </c>
      <c r="X328">
        <v>1</v>
      </c>
      <c r="AA328" t="s">
        <v>117</v>
      </c>
    </row>
    <row r="329" spans="1:27" x14ac:dyDescent="0.2">
      <c r="A329">
        <v>2018</v>
      </c>
      <c r="B329" t="s">
        <v>49</v>
      </c>
      <c r="C329" t="s">
        <v>54</v>
      </c>
      <c r="D329" t="s">
        <v>248</v>
      </c>
      <c r="E329" t="s">
        <v>122</v>
      </c>
      <c r="F329" s="4">
        <v>43218</v>
      </c>
      <c r="G329" s="5">
        <v>0.89097222222222228</v>
      </c>
      <c r="H329">
        <v>-76.89262777777779</v>
      </c>
      <c r="I329">
        <v>3.5956250000000001</v>
      </c>
      <c r="J329">
        <v>2</v>
      </c>
      <c r="K329" t="s">
        <v>119</v>
      </c>
      <c r="L329" t="s">
        <v>120</v>
      </c>
      <c r="M329">
        <v>576</v>
      </c>
      <c r="N329" t="b">
        <v>1</v>
      </c>
      <c r="O329" t="s">
        <v>114</v>
      </c>
      <c r="P329">
        <v>15</v>
      </c>
      <c r="R329">
        <v>5</v>
      </c>
      <c r="T329" t="s">
        <v>145</v>
      </c>
      <c r="V329" t="s">
        <v>30</v>
      </c>
      <c r="X329">
        <v>1</v>
      </c>
      <c r="AA329" t="s">
        <v>117</v>
      </c>
    </row>
    <row r="330" spans="1:27" x14ac:dyDescent="0.2">
      <c r="A330">
        <v>2018</v>
      </c>
      <c r="B330" t="s">
        <v>49</v>
      </c>
      <c r="C330" t="s">
        <v>50</v>
      </c>
      <c r="D330" t="s">
        <v>245</v>
      </c>
      <c r="E330" t="s">
        <v>127</v>
      </c>
      <c r="F330" s="4">
        <v>43439</v>
      </c>
      <c r="G330" s="5">
        <v>0.32708333333333334</v>
      </c>
      <c r="H330">
        <v>-76.880499999999998</v>
      </c>
      <c r="I330">
        <v>3.5787499999999999</v>
      </c>
      <c r="J330">
        <v>3</v>
      </c>
      <c r="K330" t="s">
        <v>119</v>
      </c>
      <c r="L330" t="s">
        <v>227</v>
      </c>
      <c r="M330">
        <v>620</v>
      </c>
      <c r="N330" t="b">
        <v>1</v>
      </c>
      <c r="O330" t="s">
        <v>114</v>
      </c>
      <c r="P330">
        <v>20</v>
      </c>
      <c r="R330">
        <v>40</v>
      </c>
      <c r="S330" t="s">
        <v>159</v>
      </c>
      <c r="T330" t="s">
        <v>145</v>
      </c>
      <c r="V330" t="s">
        <v>71</v>
      </c>
      <c r="X330">
        <v>1</v>
      </c>
      <c r="AA330" t="s">
        <v>117</v>
      </c>
    </row>
    <row r="331" spans="1:27" x14ac:dyDescent="0.2">
      <c r="A331">
        <v>2018</v>
      </c>
      <c r="B331" t="s">
        <v>49</v>
      </c>
      <c r="C331" t="s">
        <v>50</v>
      </c>
      <c r="D331" t="s">
        <v>245</v>
      </c>
      <c r="E331" t="s">
        <v>127</v>
      </c>
      <c r="F331" s="4">
        <v>43439</v>
      </c>
      <c r="G331" s="5">
        <v>0.33680555555555558</v>
      </c>
      <c r="H331">
        <v>-76.880499999999998</v>
      </c>
      <c r="I331">
        <v>3.578638888888888</v>
      </c>
      <c r="J331">
        <v>3</v>
      </c>
      <c r="K331" t="s">
        <v>119</v>
      </c>
      <c r="L331" t="s">
        <v>227</v>
      </c>
      <c r="M331">
        <v>620</v>
      </c>
      <c r="N331" t="b">
        <v>1</v>
      </c>
      <c r="O331" t="s">
        <v>114</v>
      </c>
      <c r="P331">
        <v>2</v>
      </c>
      <c r="R331">
        <v>50</v>
      </c>
      <c r="S331" t="s">
        <v>159</v>
      </c>
      <c r="T331" t="s">
        <v>145</v>
      </c>
      <c r="V331" t="s">
        <v>71</v>
      </c>
      <c r="X331">
        <v>1</v>
      </c>
      <c r="AA331" t="s">
        <v>117</v>
      </c>
    </row>
    <row r="332" spans="1:27" x14ac:dyDescent="0.2">
      <c r="A332">
        <v>2018</v>
      </c>
      <c r="B332" t="s">
        <v>49</v>
      </c>
      <c r="C332" t="s">
        <v>54</v>
      </c>
      <c r="D332" t="s">
        <v>248</v>
      </c>
      <c r="E332" t="s">
        <v>122</v>
      </c>
      <c r="F332" s="4">
        <v>43440</v>
      </c>
      <c r="G332" s="5">
        <v>0.36458333333333331</v>
      </c>
      <c r="H332">
        <v>-76.89200000000001</v>
      </c>
      <c r="I332">
        <v>3.5956944444444452</v>
      </c>
      <c r="J332">
        <v>3</v>
      </c>
      <c r="K332" t="s">
        <v>119</v>
      </c>
      <c r="L332" t="s">
        <v>227</v>
      </c>
      <c r="M332">
        <v>508</v>
      </c>
      <c r="N332" t="b">
        <v>1</v>
      </c>
      <c r="O332" t="s">
        <v>114</v>
      </c>
      <c r="P332">
        <v>15</v>
      </c>
      <c r="R332">
        <v>30</v>
      </c>
      <c r="S332" t="s">
        <v>249</v>
      </c>
      <c r="T332" t="s">
        <v>145</v>
      </c>
      <c r="V332" t="s">
        <v>71</v>
      </c>
      <c r="X332">
        <v>1</v>
      </c>
      <c r="AA332" t="s">
        <v>117</v>
      </c>
    </row>
    <row r="333" spans="1:27" x14ac:dyDescent="0.2">
      <c r="A333">
        <v>2018</v>
      </c>
      <c r="B333" t="s">
        <v>49</v>
      </c>
      <c r="C333" t="s">
        <v>54</v>
      </c>
      <c r="D333" t="s">
        <v>248</v>
      </c>
      <c r="E333" t="s">
        <v>122</v>
      </c>
      <c r="F333" s="4">
        <v>43440</v>
      </c>
      <c r="G333" s="5">
        <v>0.36458333333333331</v>
      </c>
      <c r="H333">
        <v>-76.89200000000001</v>
      </c>
      <c r="I333">
        <v>3.5956944444444452</v>
      </c>
      <c r="J333">
        <v>3</v>
      </c>
      <c r="K333" t="s">
        <v>119</v>
      </c>
      <c r="L333" t="s">
        <v>227</v>
      </c>
      <c r="M333">
        <v>508</v>
      </c>
      <c r="N333" t="b">
        <v>1</v>
      </c>
      <c r="O333" t="s">
        <v>114</v>
      </c>
      <c r="P333">
        <v>15</v>
      </c>
      <c r="R333">
        <v>30</v>
      </c>
      <c r="S333" t="s">
        <v>249</v>
      </c>
      <c r="T333" t="s">
        <v>145</v>
      </c>
      <c r="V333" t="s">
        <v>71</v>
      </c>
      <c r="X333">
        <v>1</v>
      </c>
      <c r="AA333" t="s">
        <v>117</v>
      </c>
    </row>
    <row r="334" spans="1:27" x14ac:dyDescent="0.2">
      <c r="A334">
        <v>2018</v>
      </c>
      <c r="B334" t="s">
        <v>49</v>
      </c>
      <c r="C334" t="s">
        <v>54</v>
      </c>
      <c r="D334" t="s">
        <v>248</v>
      </c>
      <c r="E334" t="s">
        <v>122</v>
      </c>
      <c r="F334" s="4">
        <v>43440</v>
      </c>
      <c r="G334" s="5">
        <v>0.38333333333333336</v>
      </c>
      <c r="H334">
        <v>-76.892194444444456</v>
      </c>
      <c r="I334">
        <v>3.5955833333333329</v>
      </c>
      <c r="J334">
        <v>3</v>
      </c>
      <c r="K334" t="s">
        <v>119</v>
      </c>
      <c r="L334" t="s">
        <v>160</v>
      </c>
      <c r="M334">
        <v>501</v>
      </c>
      <c r="N334" t="b">
        <v>1</v>
      </c>
      <c r="O334" t="s">
        <v>114</v>
      </c>
      <c r="P334">
        <v>30</v>
      </c>
      <c r="R334">
        <v>80</v>
      </c>
      <c r="S334" t="s">
        <v>159</v>
      </c>
      <c r="T334" t="s">
        <v>145</v>
      </c>
      <c r="V334" t="s">
        <v>71</v>
      </c>
      <c r="X334">
        <v>1</v>
      </c>
      <c r="AA334" t="s">
        <v>117</v>
      </c>
    </row>
    <row r="335" spans="1:27" x14ac:dyDescent="0.2">
      <c r="A335">
        <v>2018</v>
      </c>
      <c r="B335" t="s">
        <v>49</v>
      </c>
      <c r="C335" t="s">
        <v>54</v>
      </c>
      <c r="D335" t="s">
        <v>248</v>
      </c>
      <c r="E335" t="s">
        <v>122</v>
      </c>
      <c r="F335" s="4">
        <v>43440</v>
      </c>
      <c r="G335" s="5"/>
      <c r="H335">
        <v>-76.892833333333343</v>
      </c>
      <c r="I335">
        <v>3.5960000000000001</v>
      </c>
      <c r="J335">
        <v>3</v>
      </c>
      <c r="M335">
        <v>512</v>
      </c>
      <c r="N335" t="b">
        <v>1</v>
      </c>
      <c r="O335" t="s">
        <v>114</v>
      </c>
      <c r="T335" t="s">
        <v>145</v>
      </c>
      <c r="V335" t="s">
        <v>47</v>
      </c>
      <c r="X335">
        <v>0</v>
      </c>
      <c r="AA335" t="s">
        <v>117</v>
      </c>
    </row>
    <row r="336" spans="1:27" x14ac:dyDescent="0.2">
      <c r="A336">
        <v>2018</v>
      </c>
      <c r="B336" t="s">
        <v>10</v>
      </c>
      <c r="C336" t="s">
        <v>11</v>
      </c>
      <c r="D336" t="s">
        <v>186</v>
      </c>
      <c r="E336" t="s">
        <v>122</v>
      </c>
      <c r="F336" s="4">
        <v>43202</v>
      </c>
      <c r="G336" s="5">
        <v>0.94374999999999998</v>
      </c>
      <c r="H336">
        <v>-76.656272222222228</v>
      </c>
      <c r="I336">
        <v>3.3548583333333331</v>
      </c>
      <c r="J336">
        <v>2</v>
      </c>
      <c r="K336" t="s">
        <v>119</v>
      </c>
      <c r="L336" t="s">
        <v>194</v>
      </c>
      <c r="M336">
        <v>2593</v>
      </c>
      <c r="N336" t="b">
        <v>1</v>
      </c>
      <c r="O336" t="s">
        <v>114</v>
      </c>
      <c r="P336">
        <v>20</v>
      </c>
      <c r="R336">
        <v>60</v>
      </c>
      <c r="S336" t="s">
        <v>159</v>
      </c>
      <c r="T336" t="s">
        <v>145</v>
      </c>
      <c r="V336" t="s">
        <v>59</v>
      </c>
      <c r="X336">
        <v>1</v>
      </c>
      <c r="AA336" t="s">
        <v>117</v>
      </c>
    </row>
    <row r="337" spans="1:29" x14ac:dyDescent="0.2">
      <c r="A337">
        <v>2018</v>
      </c>
      <c r="B337" t="s">
        <v>10</v>
      </c>
      <c r="C337" t="s">
        <v>11</v>
      </c>
      <c r="D337" t="s">
        <v>186</v>
      </c>
      <c r="E337" t="s">
        <v>122</v>
      </c>
      <c r="F337" s="4">
        <v>43202</v>
      </c>
      <c r="G337" s="5">
        <v>0.94791666666666663</v>
      </c>
      <c r="H337">
        <v>-76.656130555555563</v>
      </c>
      <c r="I337">
        <v>3.3548249999999999</v>
      </c>
      <c r="J337">
        <v>2</v>
      </c>
      <c r="K337" t="s">
        <v>119</v>
      </c>
      <c r="L337" t="s">
        <v>161</v>
      </c>
      <c r="M337">
        <v>2595</v>
      </c>
      <c r="N337" t="b">
        <v>1</v>
      </c>
      <c r="O337" t="s">
        <v>114</v>
      </c>
      <c r="P337">
        <v>20</v>
      </c>
      <c r="R337">
        <v>45</v>
      </c>
      <c r="S337" t="s">
        <v>159</v>
      </c>
      <c r="T337" t="s">
        <v>145</v>
      </c>
      <c r="V337" t="s">
        <v>59</v>
      </c>
      <c r="X337">
        <v>1</v>
      </c>
      <c r="AA337" t="s">
        <v>117</v>
      </c>
    </row>
    <row r="338" spans="1:29" x14ac:dyDescent="0.2">
      <c r="A338">
        <v>2018</v>
      </c>
      <c r="B338" t="s">
        <v>10</v>
      </c>
      <c r="C338" t="s">
        <v>11</v>
      </c>
      <c r="D338" t="s">
        <v>186</v>
      </c>
      <c r="E338" t="s">
        <v>122</v>
      </c>
      <c r="F338" s="4">
        <v>43202</v>
      </c>
      <c r="G338" s="5">
        <v>0.94791666666666663</v>
      </c>
      <c r="H338">
        <v>-76.656130555555563</v>
      </c>
      <c r="I338">
        <v>3.3548249999999999</v>
      </c>
      <c r="J338">
        <v>2</v>
      </c>
      <c r="K338" t="s">
        <v>119</v>
      </c>
      <c r="L338" t="s">
        <v>161</v>
      </c>
      <c r="M338">
        <v>2595</v>
      </c>
      <c r="N338" t="b">
        <v>1</v>
      </c>
      <c r="O338" t="s">
        <v>114</v>
      </c>
      <c r="P338">
        <v>20</v>
      </c>
      <c r="R338">
        <v>45</v>
      </c>
      <c r="S338" t="s">
        <v>159</v>
      </c>
      <c r="T338" t="s">
        <v>145</v>
      </c>
      <c r="V338" t="s">
        <v>59</v>
      </c>
      <c r="X338">
        <v>1</v>
      </c>
      <c r="AA338" t="s">
        <v>117</v>
      </c>
    </row>
    <row r="339" spans="1:29" x14ac:dyDescent="0.2">
      <c r="A339">
        <v>2018</v>
      </c>
      <c r="B339" t="s">
        <v>10</v>
      </c>
      <c r="C339" t="s">
        <v>12</v>
      </c>
      <c r="D339" t="s">
        <v>192</v>
      </c>
      <c r="E339" t="s">
        <v>135</v>
      </c>
      <c r="F339" s="4">
        <v>43202</v>
      </c>
      <c r="G339" s="5">
        <v>1.0416666666666666E-2</v>
      </c>
      <c r="H339">
        <v>-76.652033333333335</v>
      </c>
      <c r="I339">
        <v>3.3534944444444439</v>
      </c>
      <c r="J339">
        <v>2</v>
      </c>
      <c r="K339" t="s">
        <v>119</v>
      </c>
      <c r="L339" t="s">
        <v>161</v>
      </c>
      <c r="M339">
        <v>2554</v>
      </c>
      <c r="N339" t="b">
        <v>1</v>
      </c>
      <c r="O339" t="s">
        <v>114</v>
      </c>
      <c r="P339">
        <v>15</v>
      </c>
      <c r="R339">
        <v>50</v>
      </c>
      <c r="S339" t="s">
        <v>159</v>
      </c>
      <c r="T339" t="s">
        <v>145</v>
      </c>
      <c r="V339" t="s">
        <v>9</v>
      </c>
      <c r="X339">
        <v>1</v>
      </c>
      <c r="AA339" t="s">
        <v>117</v>
      </c>
    </row>
    <row r="340" spans="1:29" x14ac:dyDescent="0.2">
      <c r="A340">
        <v>2018</v>
      </c>
      <c r="B340" t="s">
        <v>10</v>
      </c>
      <c r="C340" t="s">
        <v>12</v>
      </c>
      <c r="D340" t="s">
        <v>192</v>
      </c>
      <c r="E340" t="s">
        <v>135</v>
      </c>
      <c r="F340" s="4">
        <v>43202</v>
      </c>
      <c r="G340" s="5">
        <v>1.2500000000000001E-2</v>
      </c>
      <c r="H340">
        <v>-76.652033333333335</v>
      </c>
      <c r="I340">
        <v>3.3534944444444439</v>
      </c>
      <c r="J340">
        <v>2</v>
      </c>
      <c r="K340" t="s">
        <v>119</v>
      </c>
      <c r="L340" t="s">
        <v>113</v>
      </c>
      <c r="M340">
        <v>2554</v>
      </c>
      <c r="N340" t="b">
        <v>1</v>
      </c>
      <c r="O340" t="s">
        <v>114</v>
      </c>
      <c r="P340">
        <v>20</v>
      </c>
      <c r="R340">
        <v>60</v>
      </c>
      <c r="S340" t="s">
        <v>159</v>
      </c>
      <c r="T340" t="s">
        <v>145</v>
      </c>
      <c r="V340" t="s">
        <v>9</v>
      </c>
      <c r="X340">
        <v>1</v>
      </c>
      <c r="AA340" t="s">
        <v>117</v>
      </c>
    </row>
    <row r="341" spans="1:29" x14ac:dyDescent="0.2">
      <c r="A341">
        <v>2018</v>
      </c>
      <c r="B341" t="s">
        <v>10</v>
      </c>
      <c r="C341" t="s">
        <v>12</v>
      </c>
      <c r="D341" t="s">
        <v>192</v>
      </c>
      <c r="E341" t="s">
        <v>135</v>
      </c>
      <c r="F341" s="4">
        <v>43202</v>
      </c>
      <c r="G341" s="5">
        <v>1.3888888888888888E-2</v>
      </c>
      <c r="H341">
        <v>-76.651983333333334</v>
      </c>
      <c r="I341">
        <v>3.3534388888888889</v>
      </c>
      <c r="J341">
        <v>2</v>
      </c>
      <c r="K341" t="s">
        <v>119</v>
      </c>
      <c r="L341" t="s">
        <v>194</v>
      </c>
      <c r="M341">
        <v>2548</v>
      </c>
      <c r="N341" t="b">
        <v>1</v>
      </c>
      <c r="O341" t="s">
        <v>114</v>
      </c>
      <c r="P341">
        <v>20</v>
      </c>
      <c r="R341">
        <v>90</v>
      </c>
      <c r="S341" t="s">
        <v>159</v>
      </c>
      <c r="T341" t="s">
        <v>145</v>
      </c>
      <c r="V341" t="s">
        <v>9</v>
      </c>
      <c r="X341">
        <v>1</v>
      </c>
      <c r="AA341" t="s">
        <v>117</v>
      </c>
    </row>
    <row r="342" spans="1:29" x14ac:dyDescent="0.2">
      <c r="A342">
        <v>2018</v>
      </c>
      <c r="B342" t="s">
        <v>10</v>
      </c>
      <c r="C342" t="s">
        <v>12</v>
      </c>
      <c r="D342" t="s">
        <v>192</v>
      </c>
      <c r="E342" t="s">
        <v>135</v>
      </c>
      <c r="F342" s="4">
        <v>43202</v>
      </c>
      <c r="G342" s="5">
        <v>1.8055555555555554E-2</v>
      </c>
      <c r="H342">
        <v>-76.651825000000002</v>
      </c>
      <c r="I342">
        <v>3.3532972222222219</v>
      </c>
      <c r="J342">
        <v>2</v>
      </c>
      <c r="K342" t="s">
        <v>119</v>
      </c>
      <c r="L342" t="s">
        <v>161</v>
      </c>
      <c r="M342">
        <v>2545</v>
      </c>
      <c r="N342" t="b">
        <v>1</v>
      </c>
      <c r="O342" t="s">
        <v>114</v>
      </c>
      <c r="P342">
        <v>15</v>
      </c>
      <c r="R342">
        <v>30</v>
      </c>
      <c r="S342" t="s">
        <v>159</v>
      </c>
      <c r="T342" t="s">
        <v>145</v>
      </c>
      <c r="V342" t="s">
        <v>9</v>
      </c>
      <c r="X342">
        <v>1</v>
      </c>
      <c r="AA342" t="s">
        <v>117</v>
      </c>
    </row>
    <row r="343" spans="1:29" x14ac:dyDescent="0.2">
      <c r="A343">
        <v>2018</v>
      </c>
      <c r="B343" t="s">
        <v>49</v>
      </c>
      <c r="C343" t="s">
        <v>54</v>
      </c>
      <c r="D343" t="s">
        <v>196</v>
      </c>
      <c r="E343" t="s">
        <v>127</v>
      </c>
      <c r="F343" s="4">
        <v>43440</v>
      </c>
      <c r="G343" s="5">
        <v>0.41180555555555554</v>
      </c>
      <c r="H343">
        <v>-76.892472222222224</v>
      </c>
      <c r="I343">
        <v>3.5973055555555562</v>
      </c>
      <c r="J343">
        <v>3</v>
      </c>
      <c r="K343" t="s">
        <v>119</v>
      </c>
      <c r="L343" t="s">
        <v>161</v>
      </c>
      <c r="M343">
        <v>583</v>
      </c>
      <c r="N343" t="b">
        <v>1</v>
      </c>
      <c r="O343" t="s">
        <v>114</v>
      </c>
      <c r="P343">
        <v>30</v>
      </c>
      <c r="R343">
        <v>45</v>
      </c>
      <c r="S343" t="s">
        <v>249</v>
      </c>
      <c r="T343" t="s">
        <v>145</v>
      </c>
      <c r="V343" t="s">
        <v>71</v>
      </c>
      <c r="X343">
        <v>1</v>
      </c>
      <c r="AA343" t="s">
        <v>117</v>
      </c>
    </row>
    <row r="344" spans="1:29" x14ac:dyDescent="0.2">
      <c r="A344">
        <v>2019</v>
      </c>
      <c r="B344" t="s">
        <v>21</v>
      </c>
      <c r="C344" t="s">
        <v>66</v>
      </c>
      <c r="D344" t="s">
        <v>250</v>
      </c>
      <c r="E344" t="s">
        <v>122</v>
      </c>
      <c r="F344" s="4">
        <v>43754</v>
      </c>
      <c r="G344" s="5">
        <v>0.90586805555555561</v>
      </c>
      <c r="H344">
        <v>-76.726098333333297</v>
      </c>
      <c r="I344">
        <v>3.4994049999999999</v>
      </c>
      <c r="J344">
        <v>4</v>
      </c>
      <c r="K344" t="s">
        <v>119</v>
      </c>
      <c r="L344" t="s">
        <v>227</v>
      </c>
      <c r="M344">
        <v>1805</v>
      </c>
      <c r="N344" t="b">
        <v>1</v>
      </c>
      <c r="O344" t="b">
        <v>1</v>
      </c>
      <c r="P344">
        <v>20</v>
      </c>
      <c r="Q344">
        <v>2.1</v>
      </c>
      <c r="R344">
        <v>3</v>
      </c>
      <c r="S344" t="s">
        <v>251</v>
      </c>
      <c r="T344" t="s">
        <v>167</v>
      </c>
      <c r="V344" t="s">
        <v>8</v>
      </c>
      <c r="X344">
        <v>1</v>
      </c>
      <c r="AA344" t="s">
        <v>117</v>
      </c>
    </row>
    <row r="345" spans="1:29" x14ac:dyDescent="0.2">
      <c r="A345">
        <v>2019</v>
      </c>
      <c r="B345" t="s">
        <v>21</v>
      </c>
      <c r="C345" t="s">
        <v>66</v>
      </c>
      <c r="D345" t="s">
        <v>252</v>
      </c>
      <c r="E345" t="s">
        <v>111</v>
      </c>
      <c r="F345" s="4">
        <v>43754</v>
      </c>
      <c r="G345" s="5">
        <v>0.96562499999999996</v>
      </c>
      <c r="H345">
        <v>-76.726883333333305</v>
      </c>
      <c r="I345">
        <v>3.5003649999999999</v>
      </c>
      <c r="J345">
        <v>4</v>
      </c>
      <c r="K345" t="s">
        <v>112</v>
      </c>
      <c r="L345" t="s">
        <v>253</v>
      </c>
      <c r="M345">
        <v>1808</v>
      </c>
      <c r="N345" t="b">
        <v>1</v>
      </c>
      <c r="O345" t="b">
        <v>0</v>
      </c>
      <c r="P345">
        <v>5</v>
      </c>
      <c r="Q345">
        <v>0</v>
      </c>
      <c r="R345">
        <v>5</v>
      </c>
      <c r="S345" t="s">
        <v>254</v>
      </c>
      <c r="T345" t="s">
        <v>255</v>
      </c>
      <c r="U345" t="s">
        <v>256</v>
      </c>
      <c r="V345" t="s">
        <v>3</v>
      </c>
      <c r="X345">
        <v>1</v>
      </c>
      <c r="AA345" t="s">
        <v>257</v>
      </c>
    </row>
    <row r="346" spans="1:29" x14ac:dyDescent="0.2">
      <c r="A346">
        <v>2019</v>
      </c>
      <c r="B346" t="s">
        <v>21</v>
      </c>
      <c r="C346" t="s">
        <v>66</v>
      </c>
      <c r="D346" t="s">
        <v>250</v>
      </c>
      <c r="E346" t="s">
        <v>122</v>
      </c>
      <c r="F346" s="4">
        <v>43754</v>
      </c>
      <c r="G346" s="5">
        <v>0.89128472222222221</v>
      </c>
      <c r="H346">
        <v>-76.726044999999999</v>
      </c>
      <c r="I346">
        <v>3.499285</v>
      </c>
      <c r="J346">
        <v>4</v>
      </c>
      <c r="M346">
        <v>1790</v>
      </c>
      <c r="N346" t="b">
        <v>1</v>
      </c>
      <c r="O346" t="b">
        <v>1</v>
      </c>
      <c r="P346">
        <v>20</v>
      </c>
      <c r="Q346">
        <v>2</v>
      </c>
      <c r="R346">
        <v>10</v>
      </c>
      <c r="T346" t="s">
        <v>258</v>
      </c>
      <c r="V346" t="s">
        <v>47</v>
      </c>
      <c r="X346">
        <v>0</v>
      </c>
      <c r="AA346" t="s">
        <v>117</v>
      </c>
    </row>
    <row r="347" spans="1:29" x14ac:dyDescent="0.2">
      <c r="A347">
        <v>2019</v>
      </c>
      <c r="B347" t="s">
        <v>21</v>
      </c>
      <c r="C347" t="s">
        <v>66</v>
      </c>
      <c r="D347" t="s">
        <v>250</v>
      </c>
      <c r="E347" t="s">
        <v>122</v>
      </c>
      <c r="F347" s="4">
        <v>43754</v>
      </c>
      <c r="G347" s="5">
        <v>0.89857638888888891</v>
      </c>
      <c r="H347">
        <v>-76.726074999999994</v>
      </c>
      <c r="I347">
        <v>3.4993616666666698</v>
      </c>
      <c r="J347">
        <v>4</v>
      </c>
      <c r="K347" t="s">
        <v>119</v>
      </c>
      <c r="L347" t="s">
        <v>253</v>
      </c>
      <c r="M347">
        <v>1790</v>
      </c>
      <c r="N347" t="b">
        <v>1</v>
      </c>
      <c r="O347" t="b">
        <v>1</v>
      </c>
      <c r="P347">
        <v>25</v>
      </c>
      <c r="Q347">
        <v>2</v>
      </c>
      <c r="R347">
        <v>3</v>
      </c>
      <c r="S347" t="s">
        <v>259</v>
      </c>
      <c r="T347" t="s">
        <v>167</v>
      </c>
      <c r="U347" t="s">
        <v>260</v>
      </c>
      <c r="V347" t="s">
        <v>31</v>
      </c>
      <c r="X347">
        <v>1</v>
      </c>
      <c r="AA347" t="s">
        <v>117</v>
      </c>
    </row>
    <row r="348" spans="1:29" x14ac:dyDescent="0.2">
      <c r="A348">
        <v>2019</v>
      </c>
      <c r="B348" t="s">
        <v>21</v>
      </c>
      <c r="C348" t="s">
        <v>66</v>
      </c>
      <c r="D348" t="s">
        <v>250</v>
      </c>
      <c r="E348" t="s">
        <v>122</v>
      </c>
      <c r="F348" s="4">
        <v>43754</v>
      </c>
      <c r="G348" s="5">
        <v>0.93240740740740746</v>
      </c>
      <c r="H348">
        <v>-76.726285000000004</v>
      </c>
      <c r="I348">
        <v>3.49976333333333</v>
      </c>
      <c r="J348">
        <v>4</v>
      </c>
      <c r="K348" t="s">
        <v>112</v>
      </c>
      <c r="L348" t="s">
        <v>253</v>
      </c>
      <c r="M348">
        <v>1806</v>
      </c>
      <c r="N348" t="b">
        <v>1</v>
      </c>
      <c r="O348" t="b">
        <v>1</v>
      </c>
      <c r="P348">
        <v>18</v>
      </c>
      <c r="Q348">
        <v>2.5</v>
      </c>
      <c r="R348">
        <v>7</v>
      </c>
      <c r="S348" t="s">
        <v>261</v>
      </c>
      <c r="T348" t="s">
        <v>167</v>
      </c>
      <c r="V348" t="s">
        <v>9</v>
      </c>
      <c r="X348">
        <v>1</v>
      </c>
      <c r="AA348" t="s">
        <v>117</v>
      </c>
    </row>
    <row r="349" spans="1:29" x14ac:dyDescent="0.2">
      <c r="A349">
        <v>2019</v>
      </c>
      <c r="B349" t="s">
        <v>21</v>
      </c>
      <c r="C349" t="s">
        <v>66</v>
      </c>
      <c r="D349" t="s">
        <v>252</v>
      </c>
      <c r="E349" t="s">
        <v>111</v>
      </c>
      <c r="F349" s="4">
        <v>43754</v>
      </c>
      <c r="G349" s="5">
        <v>0.93994212962962964</v>
      </c>
      <c r="H349">
        <v>-76.726240000000004</v>
      </c>
      <c r="I349">
        <v>3.4999699999999998</v>
      </c>
      <c r="J349">
        <v>4</v>
      </c>
      <c r="K349" t="s">
        <v>112</v>
      </c>
      <c r="L349" t="s">
        <v>262</v>
      </c>
      <c r="M349">
        <v>1803</v>
      </c>
      <c r="N349" t="b">
        <v>1</v>
      </c>
      <c r="O349" t="b">
        <v>0</v>
      </c>
      <c r="P349">
        <v>10</v>
      </c>
      <c r="Q349">
        <v>0</v>
      </c>
      <c r="R349">
        <v>5</v>
      </c>
      <c r="S349" t="s">
        <v>263</v>
      </c>
      <c r="T349" t="s">
        <v>167</v>
      </c>
      <c r="V349" t="s">
        <v>9</v>
      </c>
      <c r="X349">
        <v>1</v>
      </c>
      <c r="AA349" t="s">
        <v>117</v>
      </c>
    </row>
    <row r="350" spans="1:29" x14ac:dyDescent="0.2">
      <c r="A350">
        <v>2019</v>
      </c>
      <c r="B350" t="s">
        <v>21</v>
      </c>
      <c r="C350" t="s">
        <v>66</v>
      </c>
      <c r="D350" t="s">
        <v>252</v>
      </c>
      <c r="E350" t="s">
        <v>111</v>
      </c>
      <c r="F350" s="4">
        <v>43754</v>
      </c>
      <c r="G350" s="5">
        <v>0.93994212962962964</v>
      </c>
      <c r="H350">
        <v>-76.726240000000004</v>
      </c>
      <c r="I350">
        <v>3.4999699999999998</v>
      </c>
      <c r="J350">
        <v>4</v>
      </c>
      <c r="K350" t="s">
        <v>112</v>
      </c>
      <c r="L350" t="s">
        <v>264</v>
      </c>
      <c r="M350">
        <v>1803</v>
      </c>
      <c r="N350" t="b">
        <v>1</v>
      </c>
      <c r="O350" t="b">
        <v>0</v>
      </c>
      <c r="P350">
        <v>10</v>
      </c>
      <c r="Q350">
        <v>0</v>
      </c>
      <c r="R350">
        <v>5</v>
      </c>
      <c r="S350" t="s">
        <v>265</v>
      </c>
      <c r="T350" t="s">
        <v>167</v>
      </c>
      <c r="V350" t="s">
        <v>8</v>
      </c>
      <c r="X350">
        <v>1</v>
      </c>
      <c r="AA350" t="s">
        <v>117</v>
      </c>
    </row>
    <row r="351" spans="1:29" x14ac:dyDescent="0.2">
      <c r="A351">
        <v>2019</v>
      </c>
      <c r="B351" t="s">
        <v>21</v>
      </c>
      <c r="C351" t="s">
        <v>66</v>
      </c>
      <c r="D351" t="s">
        <v>252</v>
      </c>
      <c r="E351" t="s">
        <v>111</v>
      </c>
      <c r="F351" s="4">
        <v>43754</v>
      </c>
      <c r="G351" s="5">
        <v>0.96712962962962967</v>
      </c>
      <c r="H351">
        <v>-76.726903333333297</v>
      </c>
      <c r="I351">
        <v>3.5003549999999999</v>
      </c>
      <c r="J351">
        <v>4</v>
      </c>
      <c r="M351">
        <v>1808</v>
      </c>
      <c r="N351" t="b">
        <v>1</v>
      </c>
      <c r="O351" t="b">
        <v>0</v>
      </c>
      <c r="P351">
        <v>5</v>
      </c>
      <c r="Q351">
        <v>0</v>
      </c>
      <c r="R351">
        <v>5</v>
      </c>
      <c r="T351" t="s">
        <v>255</v>
      </c>
      <c r="U351" t="s">
        <v>266</v>
      </c>
      <c r="V351" t="s">
        <v>47</v>
      </c>
      <c r="X351">
        <v>0</v>
      </c>
      <c r="AA351" t="s">
        <v>117</v>
      </c>
    </row>
    <row r="352" spans="1:29" x14ac:dyDescent="0.2">
      <c r="A352">
        <v>2019</v>
      </c>
      <c r="B352" t="s">
        <v>21</v>
      </c>
      <c r="C352" t="s">
        <v>66</v>
      </c>
      <c r="D352" t="s">
        <v>252</v>
      </c>
      <c r="E352" t="s">
        <v>111</v>
      </c>
      <c r="F352" s="4">
        <v>43754</v>
      </c>
      <c r="G352" s="5">
        <v>0.94634259259259257</v>
      </c>
      <c r="H352">
        <v>-76.726150000000004</v>
      </c>
      <c r="I352">
        <v>3.5001000000000002</v>
      </c>
      <c r="J352">
        <v>4</v>
      </c>
      <c r="K352" t="s">
        <v>112</v>
      </c>
      <c r="M352">
        <v>1799</v>
      </c>
      <c r="N352" t="b">
        <v>1</v>
      </c>
      <c r="O352" t="b">
        <v>1</v>
      </c>
      <c r="P352">
        <v>18</v>
      </c>
      <c r="Q352">
        <v>2</v>
      </c>
      <c r="R352">
        <v>10</v>
      </c>
      <c r="T352" t="s">
        <v>167</v>
      </c>
      <c r="U352" t="s">
        <v>266</v>
      </c>
      <c r="V352" t="s">
        <v>47</v>
      </c>
      <c r="X352">
        <v>0</v>
      </c>
      <c r="AA352" t="s">
        <v>267</v>
      </c>
      <c r="AC352" t="s">
        <v>268</v>
      </c>
    </row>
    <row r="353" spans="1:29" x14ac:dyDescent="0.2">
      <c r="A353">
        <v>2019</v>
      </c>
      <c r="B353" t="s">
        <v>21</v>
      </c>
      <c r="C353" t="s">
        <v>66</v>
      </c>
      <c r="D353" t="s">
        <v>250</v>
      </c>
      <c r="E353" t="s">
        <v>122</v>
      </c>
      <c r="F353" s="4">
        <v>43754</v>
      </c>
      <c r="G353" s="5">
        <v>0.91206018518518517</v>
      </c>
      <c r="H353">
        <v>-76.726091666666704</v>
      </c>
      <c r="I353">
        <v>3.4994566666666702</v>
      </c>
      <c r="J353">
        <v>4</v>
      </c>
      <c r="K353" t="s">
        <v>119</v>
      </c>
      <c r="L353" t="s">
        <v>253</v>
      </c>
      <c r="M353">
        <v>1805</v>
      </c>
      <c r="N353" t="b">
        <v>1</v>
      </c>
      <c r="O353" t="b">
        <v>1</v>
      </c>
      <c r="P353">
        <v>20</v>
      </c>
      <c r="Q353">
        <v>2</v>
      </c>
      <c r="R353">
        <v>5</v>
      </c>
      <c r="S353" t="s">
        <v>269</v>
      </c>
      <c r="T353" t="s">
        <v>167</v>
      </c>
      <c r="V353" t="s">
        <v>3</v>
      </c>
      <c r="X353">
        <v>1</v>
      </c>
      <c r="AA353" t="s">
        <v>117</v>
      </c>
    </row>
    <row r="354" spans="1:29" x14ac:dyDescent="0.2">
      <c r="A354">
        <v>2019</v>
      </c>
      <c r="B354" t="s">
        <v>21</v>
      </c>
      <c r="C354" t="s">
        <v>66</v>
      </c>
      <c r="D354" t="s">
        <v>250</v>
      </c>
      <c r="E354" t="s">
        <v>122</v>
      </c>
      <c r="F354" s="4">
        <v>43754</v>
      </c>
      <c r="G354" s="5">
        <v>0.92612268518518515</v>
      </c>
      <c r="H354">
        <v>-76.726276666666706</v>
      </c>
      <c r="I354">
        <v>3.49969333333333</v>
      </c>
      <c r="J354">
        <v>4</v>
      </c>
      <c r="K354" t="s">
        <v>112</v>
      </c>
      <c r="L354" t="s">
        <v>253</v>
      </c>
      <c r="M354">
        <v>1811</v>
      </c>
      <c r="N354" t="b">
        <v>1</v>
      </c>
      <c r="O354" t="b">
        <v>1</v>
      </c>
      <c r="P354">
        <v>18</v>
      </c>
      <c r="Q354">
        <v>3</v>
      </c>
      <c r="R354">
        <v>5</v>
      </c>
      <c r="T354" t="s">
        <v>167</v>
      </c>
      <c r="V354" t="s">
        <v>47</v>
      </c>
      <c r="X354">
        <v>0</v>
      </c>
      <c r="AA354" t="s">
        <v>267</v>
      </c>
      <c r="AC354" t="s">
        <v>270</v>
      </c>
    </row>
    <row r="355" spans="1:29" x14ac:dyDescent="0.2">
      <c r="A355">
        <v>2019</v>
      </c>
      <c r="B355" t="s">
        <v>21</v>
      </c>
      <c r="C355" t="s">
        <v>66</v>
      </c>
      <c r="D355" t="s">
        <v>252</v>
      </c>
      <c r="E355" t="s">
        <v>111</v>
      </c>
      <c r="F355" s="4">
        <v>43754</v>
      </c>
      <c r="G355" s="5">
        <v>0.95399305555555558</v>
      </c>
      <c r="H355">
        <v>-76.726399999999998</v>
      </c>
      <c r="I355">
        <v>3.5000550000000001</v>
      </c>
      <c r="J355">
        <v>4</v>
      </c>
      <c r="K355" t="s">
        <v>112</v>
      </c>
      <c r="L355" t="s">
        <v>253</v>
      </c>
      <c r="M355">
        <v>1800</v>
      </c>
      <c r="N355" t="b">
        <v>1</v>
      </c>
      <c r="O355" t="b">
        <v>0</v>
      </c>
      <c r="P355">
        <v>7</v>
      </c>
      <c r="Q355">
        <v>0</v>
      </c>
      <c r="R355">
        <v>3</v>
      </c>
      <c r="T355" t="s">
        <v>145</v>
      </c>
      <c r="V355" t="s">
        <v>47</v>
      </c>
      <c r="X355">
        <v>0</v>
      </c>
      <c r="AA355" t="s">
        <v>257</v>
      </c>
      <c r="AC355" t="s">
        <v>271</v>
      </c>
    </row>
    <row r="356" spans="1:29" x14ac:dyDescent="0.2">
      <c r="A356">
        <v>2019</v>
      </c>
      <c r="B356" t="s">
        <v>21</v>
      </c>
      <c r="C356" t="s">
        <v>66</v>
      </c>
      <c r="D356" t="s">
        <v>272</v>
      </c>
      <c r="E356" t="s">
        <v>127</v>
      </c>
      <c r="F356" s="4">
        <v>43754</v>
      </c>
      <c r="G356" s="5">
        <v>0.8397337962962963</v>
      </c>
      <c r="H356">
        <v>-76.725263333333302</v>
      </c>
      <c r="I356">
        <v>3.4995750000000001</v>
      </c>
      <c r="J356">
        <v>4</v>
      </c>
      <c r="K356" t="s">
        <v>112</v>
      </c>
      <c r="M356">
        <v>1809</v>
      </c>
      <c r="N356" t="b">
        <v>1</v>
      </c>
      <c r="O356" t="b">
        <v>0</v>
      </c>
      <c r="P356">
        <v>6</v>
      </c>
      <c r="Q356">
        <v>0</v>
      </c>
      <c r="R356">
        <v>10</v>
      </c>
      <c r="T356" t="s">
        <v>145</v>
      </c>
      <c r="V356" t="s">
        <v>47</v>
      </c>
      <c r="X356">
        <v>0</v>
      </c>
      <c r="AA356" t="s">
        <v>273</v>
      </c>
      <c r="AC356" t="s">
        <v>274</v>
      </c>
    </row>
    <row r="357" spans="1:29" x14ac:dyDescent="0.2">
      <c r="A357">
        <v>2019</v>
      </c>
      <c r="B357" t="s">
        <v>21</v>
      </c>
      <c r="C357" t="s">
        <v>66</v>
      </c>
      <c r="D357" t="s">
        <v>272</v>
      </c>
      <c r="E357" t="s">
        <v>127</v>
      </c>
      <c r="F357" s="4">
        <v>43754</v>
      </c>
      <c r="G357" s="5">
        <v>0.86766203703703704</v>
      </c>
      <c r="H357">
        <v>-76.725828333333297</v>
      </c>
      <c r="I357">
        <v>3.4995500000000002</v>
      </c>
      <c r="J357">
        <v>4</v>
      </c>
      <c r="K357" t="s">
        <v>112</v>
      </c>
      <c r="L357" t="s">
        <v>253</v>
      </c>
      <c r="M357">
        <v>1798</v>
      </c>
      <c r="N357" t="b">
        <v>1</v>
      </c>
      <c r="O357" t="b">
        <v>0</v>
      </c>
      <c r="P357">
        <v>12</v>
      </c>
      <c r="Q357">
        <v>0</v>
      </c>
      <c r="R357">
        <v>5</v>
      </c>
      <c r="S357" t="s">
        <v>159</v>
      </c>
      <c r="T357" t="s">
        <v>145</v>
      </c>
      <c r="V357" t="s">
        <v>64</v>
      </c>
      <c r="X357">
        <v>1</v>
      </c>
      <c r="AA357" t="s">
        <v>117</v>
      </c>
    </row>
    <row r="358" spans="1:29" x14ac:dyDescent="0.2">
      <c r="A358">
        <v>2019</v>
      </c>
      <c r="B358" t="s">
        <v>21</v>
      </c>
      <c r="C358" t="s">
        <v>66</v>
      </c>
      <c r="D358" t="s">
        <v>272</v>
      </c>
      <c r="E358" t="s">
        <v>127</v>
      </c>
      <c r="F358" s="4">
        <v>43754</v>
      </c>
      <c r="G358" s="5">
        <v>0.86766203703703704</v>
      </c>
      <c r="H358">
        <v>-76.725828333333297</v>
      </c>
      <c r="I358">
        <v>3.4995500000000002</v>
      </c>
      <c r="J358">
        <v>4</v>
      </c>
      <c r="K358" t="s">
        <v>112</v>
      </c>
      <c r="L358" t="s">
        <v>253</v>
      </c>
      <c r="M358">
        <v>1708</v>
      </c>
      <c r="N358" t="b">
        <v>1</v>
      </c>
      <c r="O358" t="b">
        <v>0</v>
      </c>
      <c r="P358">
        <v>12</v>
      </c>
      <c r="Q358">
        <v>0</v>
      </c>
      <c r="R358">
        <v>5</v>
      </c>
      <c r="S358" t="s">
        <v>275</v>
      </c>
      <c r="T358" t="s">
        <v>145</v>
      </c>
      <c r="V358" t="s">
        <v>8</v>
      </c>
      <c r="X358">
        <v>1</v>
      </c>
      <c r="AA358" t="s">
        <v>117</v>
      </c>
    </row>
    <row r="359" spans="1:29" x14ac:dyDescent="0.2">
      <c r="A359">
        <v>2019</v>
      </c>
      <c r="B359" t="s">
        <v>21</v>
      </c>
      <c r="C359" t="s">
        <v>66</v>
      </c>
      <c r="D359" t="s">
        <v>272</v>
      </c>
      <c r="E359" t="s">
        <v>127</v>
      </c>
      <c r="F359" s="4">
        <v>43754</v>
      </c>
      <c r="G359" s="5">
        <v>0.86766203703703704</v>
      </c>
      <c r="H359">
        <v>-76.725828333333297</v>
      </c>
      <c r="I359">
        <v>3.4995500000000002</v>
      </c>
      <c r="J359">
        <v>4</v>
      </c>
      <c r="K359" t="s">
        <v>112</v>
      </c>
      <c r="L359" t="s">
        <v>276</v>
      </c>
      <c r="M359">
        <v>1708</v>
      </c>
      <c r="N359" t="b">
        <v>1</v>
      </c>
      <c r="O359" t="b">
        <v>0</v>
      </c>
      <c r="P359">
        <v>12</v>
      </c>
      <c r="Q359">
        <v>0</v>
      </c>
      <c r="R359">
        <v>5</v>
      </c>
      <c r="S359" t="s">
        <v>159</v>
      </c>
      <c r="T359" t="s">
        <v>145</v>
      </c>
      <c r="V359" t="s">
        <v>9</v>
      </c>
      <c r="X359">
        <v>1</v>
      </c>
      <c r="AA359" t="s">
        <v>117</v>
      </c>
    </row>
    <row r="360" spans="1:29" x14ac:dyDescent="0.2">
      <c r="A360">
        <v>2019</v>
      </c>
      <c r="B360" t="s">
        <v>21</v>
      </c>
      <c r="C360" t="s">
        <v>66</v>
      </c>
      <c r="D360" t="s">
        <v>252</v>
      </c>
      <c r="E360" t="s">
        <v>111</v>
      </c>
      <c r="F360" s="4">
        <v>43754</v>
      </c>
      <c r="G360" s="5">
        <v>0.9506944444444444</v>
      </c>
      <c r="H360">
        <v>-76.726415000000003</v>
      </c>
      <c r="I360">
        <v>3.5000433333333301</v>
      </c>
      <c r="J360">
        <v>4</v>
      </c>
      <c r="K360" t="s">
        <v>112</v>
      </c>
      <c r="M360">
        <v>1800</v>
      </c>
      <c r="N360" t="b">
        <v>1</v>
      </c>
      <c r="O360" t="b">
        <v>0</v>
      </c>
      <c r="P360">
        <v>18</v>
      </c>
      <c r="R360">
        <v>6</v>
      </c>
      <c r="T360" t="s">
        <v>145</v>
      </c>
      <c r="V360" t="s">
        <v>47</v>
      </c>
      <c r="X360">
        <v>0</v>
      </c>
      <c r="AA360" t="s">
        <v>267</v>
      </c>
      <c r="AC360" t="s">
        <v>277</v>
      </c>
    </row>
    <row r="361" spans="1:29" x14ac:dyDescent="0.2">
      <c r="A361">
        <v>2019</v>
      </c>
      <c r="B361" t="s">
        <v>21</v>
      </c>
      <c r="C361" t="s">
        <v>67</v>
      </c>
      <c r="D361" t="s">
        <v>278</v>
      </c>
      <c r="E361" t="s">
        <v>122</v>
      </c>
      <c r="F361" s="4">
        <v>43755</v>
      </c>
      <c r="G361" s="5">
        <v>0.89800925925925923</v>
      </c>
      <c r="H361">
        <v>-76.718916666666701</v>
      </c>
      <c r="I361">
        <v>3.4848699999999999</v>
      </c>
      <c r="J361">
        <v>4</v>
      </c>
      <c r="K361" t="s">
        <v>119</v>
      </c>
      <c r="M361">
        <v>1943</v>
      </c>
      <c r="N361" t="b">
        <v>1</v>
      </c>
      <c r="O361" t="b">
        <v>1</v>
      </c>
      <c r="P361">
        <v>18</v>
      </c>
      <c r="Q361">
        <v>1.5</v>
      </c>
      <c r="R361">
        <v>15</v>
      </c>
      <c r="T361" t="s">
        <v>145</v>
      </c>
      <c r="U361" t="s">
        <v>266</v>
      </c>
      <c r="V361" t="s">
        <v>47</v>
      </c>
      <c r="X361">
        <v>0</v>
      </c>
      <c r="AA361" t="s">
        <v>117</v>
      </c>
    </row>
    <row r="362" spans="1:29" x14ac:dyDescent="0.2">
      <c r="A362">
        <v>2019</v>
      </c>
      <c r="B362" t="s">
        <v>21</v>
      </c>
      <c r="C362" t="s">
        <v>67</v>
      </c>
      <c r="D362" t="s">
        <v>279</v>
      </c>
      <c r="E362" t="s">
        <v>127</v>
      </c>
      <c r="F362" s="4">
        <v>43755</v>
      </c>
      <c r="G362" s="5">
        <v>0.83618055555555559</v>
      </c>
      <c r="H362">
        <v>-76.718339999999998</v>
      </c>
      <c r="I362">
        <v>3.4851433333333302</v>
      </c>
      <c r="J362">
        <v>4</v>
      </c>
      <c r="M362">
        <v>1924</v>
      </c>
      <c r="N362" t="b">
        <v>1</v>
      </c>
      <c r="O362" t="b">
        <v>0</v>
      </c>
      <c r="P362">
        <v>15</v>
      </c>
      <c r="Q362">
        <v>0</v>
      </c>
      <c r="R362">
        <v>9</v>
      </c>
      <c r="T362" t="s">
        <v>145</v>
      </c>
      <c r="V362" t="s">
        <v>47</v>
      </c>
      <c r="X362">
        <v>0</v>
      </c>
      <c r="AA362" t="s">
        <v>117</v>
      </c>
    </row>
    <row r="363" spans="1:29" x14ac:dyDescent="0.2">
      <c r="A363">
        <v>2019</v>
      </c>
      <c r="B363" t="s">
        <v>21</v>
      </c>
      <c r="C363" t="s">
        <v>67</v>
      </c>
      <c r="D363" t="s">
        <v>279</v>
      </c>
      <c r="E363" t="s">
        <v>127</v>
      </c>
      <c r="F363" s="4">
        <v>43755</v>
      </c>
      <c r="G363" s="5">
        <v>0.83618055555555559</v>
      </c>
      <c r="H363">
        <v>-76.718339999999998</v>
      </c>
      <c r="I363">
        <v>3.4851433333333302</v>
      </c>
      <c r="J363">
        <v>4</v>
      </c>
      <c r="K363" t="s">
        <v>119</v>
      </c>
      <c r="M363">
        <v>1924</v>
      </c>
      <c r="N363" t="b">
        <v>1</v>
      </c>
      <c r="O363" t="b">
        <v>0</v>
      </c>
      <c r="P363">
        <v>15</v>
      </c>
      <c r="Q363">
        <v>0</v>
      </c>
      <c r="R363">
        <v>9</v>
      </c>
      <c r="T363" t="s">
        <v>145</v>
      </c>
      <c r="U363" t="s">
        <v>266</v>
      </c>
      <c r="V363" t="s">
        <v>47</v>
      </c>
      <c r="X363">
        <v>0</v>
      </c>
      <c r="AA363" t="s">
        <v>117</v>
      </c>
    </row>
    <row r="364" spans="1:29" x14ac:dyDescent="0.2">
      <c r="A364">
        <v>2019</v>
      </c>
      <c r="B364" t="s">
        <v>21</v>
      </c>
      <c r="C364" t="s">
        <v>67</v>
      </c>
      <c r="D364" t="s">
        <v>279</v>
      </c>
      <c r="E364" t="s">
        <v>127</v>
      </c>
      <c r="F364" s="4">
        <v>43755</v>
      </c>
      <c r="G364" s="5">
        <v>0.83174768518518516</v>
      </c>
      <c r="H364">
        <v>-76.718209999999999</v>
      </c>
      <c r="I364">
        <v>3.4851399999999999</v>
      </c>
      <c r="J364">
        <v>4</v>
      </c>
      <c r="K364" t="s">
        <v>119</v>
      </c>
      <c r="M364">
        <v>1924</v>
      </c>
      <c r="N364" t="b">
        <v>1</v>
      </c>
      <c r="O364" t="b">
        <v>0</v>
      </c>
      <c r="P364">
        <v>15</v>
      </c>
      <c r="Q364">
        <v>0</v>
      </c>
      <c r="R364">
        <v>9</v>
      </c>
      <c r="S364" t="s">
        <v>147</v>
      </c>
      <c r="T364" t="s">
        <v>145</v>
      </c>
      <c r="V364" t="s">
        <v>8</v>
      </c>
      <c r="X364">
        <v>1</v>
      </c>
      <c r="AA364" t="s">
        <v>117</v>
      </c>
    </row>
    <row r="365" spans="1:29" x14ac:dyDescent="0.2">
      <c r="A365">
        <v>2019</v>
      </c>
      <c r="B365" t="s">
        <v>21</v>
      </c>
      <c r="C365" t="s">
        <v>67</v>
      </c>
      <c r="D365" t="s">
        <v>279</v>
      </c>
      <c r="E365" t="s">
        <v>127</v>
      </c>
      <c r="F365" s="4">
        <v>43755</v>
      </c>
      <c r="G365" s="5">
        <v>0.83174768518518516</v>
      </c>
      <c r="H365">
        <v>-76.718209999999999</v>
      </c>
      <c r="I365">
        <v>3.4851399999999999</v>
      </c>
      <c r="J365">
        <v>4</v>
      </c>
      <c r="K365" t="s">
        <v>119</v>
      </c>
      <c r="L365" t="s">
        <v>253</v>
      </c>
      <c r="M365">
        <v>1924</v>
      </c>
      <c r="N365" t="b">
        <v>1</v>
      </c>
      <c r="O365" t="b">
        <v>0</v>
      </c>
      <c r="P365">
        <v>18</v>
      </c>
      <c r="Q365">
        <v>0</v>
      </c>
      <c r="R365">
        <v>9</v>
      </c>
      <c r="S365" t="s">
        <v>269</v>
      </c>
      <c r="T365" t="s">
        <v>145</v>
      </c>
      <c r="V365" t="s">
        <v>40</v>
      </c>
      <c r="X365">
        <v>1</v>
      </c>
      <c r="AA365" t="s">
        <v>117</v>
      </c>
    </row>
    <row r="366" spans="1:29" x14ac:dyDescent="0.2">
      <c r="A366">
        <v>2019</v>
      </c>
      <c r="B366" t="s">
        <v>21</v>
      </c>
      <c r="C366" t="s">
        <v>67</v>
      </c>
      <c r="D366" t="s">
        <v>278</v>
      </c>
      <c r="E366" t="s">
        <v>122</v>
      </c>
      <c r="F366" s="4">
        <v>43755</v>
      </c>
      <c r="G366" s="5">
        <v>0.89709490740740738</v>
      </c>
      <c r="H366">
        <v>-76.718909999999994</v>
      </c>
      <c r="I366">
        <v>3.48484666666667</v>
      </c>
      <c r="J366">
        <v>4</v>
      </c>
      <c r="K366" t="s">
        <v>119</v>
      </c>
      <c r="L366" t="s">
        <v>113</v>
      </c>
      <c r="M366">
        <v>1943</v>
      </c>
      <c r="N366" t="b">
        <v>1</v>
      </c>
      <c r="O366" t="b">
        <v>1</v>
      </c>
      <c r="P366">
        <v>18</v>
      </c>
      <c r="Q366">
        <v>1.5</v>
      </c>
      <c r="R366">
        <v>15</v>
      </c>
      <c r="S366" t="s">
        <v>280</v>
      </c>
      <c r="T366" t="s">
        <v>145</v>
      </c>
      <c r="V366" t="s">
        <v>9</v>
      </c>
      <c r="X366">
        <v>1</v>
      </c>
      <c r="AA366" t="s">
        <v>117</v>
      </c>
    </row>
    <row r="367" spans="1:29" x14ac:dyDescent="0.2">
      <c r="A367">
        <v>2019</v>
      </c>
      <c r="B367" t="s">
        <v>21</v>
      </c>
      <c r="C367" t="s">
        <v>67</v>
      </c>
      <c r="D367" t="s">
        <v>278</v>
      </c>
      <c r="E367" t="s">
        <v>122</v>
      </c>
      <c r="F367" s="4">
        <v>43755</v>
      </c>
      <c r="G367" s="5">
        <v>0.88416666666666666</v>
      </c>
      <c r="H367">
        <v>-76.7188533333333</v>
      </c>
      <c r="I367">
        <v>3.48494833333333</v>
      </c>
      <c r="J367">
        <v>4</v>
      </c>
      <c r="K367" t="s">
        <v>119</v>
      </c>
      <c r="L367" t="s">
        <v>253</v>
      </c>
      <c r="M367">
        <v>1946</v>
      </c>
      <c r="N367" t="b">
        <v>1</v>
      </c>
      <c r="O367" t="b">
        <v>1</v>
      </c>
      <c r="P367">
        <v>18</v>
      </c>
      <c r="Q367">
        <v>2</v>
      </c>
      <c r="R367">
        <v>15</v>
      </c>
      <c r="S367" t="s">
        <v>259</v>
      </c>
      <c r="T367" t="s">
        <v>145</v>
      </c>
      <c r="V367" t="s">
        <v>8</v>
      </c>
      <c r="X367">
        <v>1</v>
      </c>
      <c r="AA367" t="s">
        <v>117</v>
      </c>
    </row>
    <row r="368" spans="1:29" x14ac:dyDescent="0.2">
      <c r="A368">
        <v>2019</v>
      </c>
      <c r="B368" t="s">
        <v>21</v>
      </c>
      <c r="C368" t="s">
        <v>67</v>
      </c>
      <c r="D368" t="s">
        <v>278</v>
      </c>
      <c r="E368" t="s">
        <v>122</v>
      </c>
      <c r="F368" s="4">
        <v>43755</v>
      </c>
      <c r="G368" s="5">
        <v>0.8911458333333333</v>
      </c>
      <c r="H368">
        <v>-76.718890000000002</v>
      </c>
      <c r="I368">
        <v>3.4849649999999999</v>
      </c>
      <c r="J368">
        <v>4</v>
      </c>
      <c r="K368" t="s">
        <v>112</v>
      </c>
      <c r="L368" t="s">
        <v>195</v>
      </c>
      <c r="M368">
        <v>1943</v>
      </c>
      <c r="N368" t="b">
        <v>1</v>
      </c>
      <c r="O368" t="b">
        <v>1</v>
      </c>
      <c r="P368">
        <v>18</v>
      </c>
      <c r="Q368">
        <v>2</v>
      </c>
      <c r="R368">
        <v>10</v>
      </c>
      <c r="S368" t="s">
        <v>281</v>
      </c>
      <c r="T368" t="s">
        <v>145</v>
      </c>
      <c r="V368" t="s">
        <v>9</v>
      </c>
      <c r="X368">
        <v>2</v>
      </c>
      <c r="AA368" t="s">
        <v>117</v>
      </c>
    </row>
    <row r="369" spans="1:29" x14ac:dyDescent="0.2">
      <c r="A369">
        <v>2019</v>
      </c>
      <c r="B369" t="s">
        <v>21</v>
      </c>
      <c r="C369" t="s">
        <v>67</v>
      </c>
      <c r="D369" t="s">
        <v>279</v>
      </c>
      <c r="E369" t="s">
        <v>127</v>
      </c>
      <c r="F369" s="4">
        <v>43755</v>
      </c>
      <c r="G369" s="5">
        <v>0.82306712962962958</v>
      </c>
      <c r="H369">
        <v>-76.718145000000007</v>
      </c>
      <c r="I369">
        <v>3.4851816666666702</v>
      </c>
      <c r="J369">
        <v>4</v>
      </c>
      <c r="K369" t="s">
        <v>112</v>
      </c>
      <c r="L369" t="s">
        <v>195</v>
      </c>
      <c r="M369">
        <v>1926</v>
      </c>
      <c r="N369" t="b">
        <v>1</v>
      </c>
      <c r="O369" t="b">
        <v>0</v>
      </c>
      <c r="P369">
        <v>15</v>
      </c>
      <c r="Q369">
        <v>0</v>
      </c>
      <c r="R369">
        <v>12</v>
      </c>
      <c r="S369" t="s">
        <v>282</v>
      </c>
      <c r="T369" t="s">
        <v>145</v>
      </c>
      <c r="V369" t="s">
        <v>64</v>
      </c>
      <c r="X369">
        <v>1</v>
      </c>
      <c r="AA369" t="s">
        <v>117</v>
      </c>
    </row>
    <row r="370" spans="1:29" x14ac:dyDescent="0.2">
      <c r="A370">
        <v>2019</v>
      </c>
      <c r="B370" t="s">
        <v>21</v>
      </c>
      <c r="C370" t="s">
        <v>67</v>
      </c>
      <c r="D370" t="s">
        <v>279</v>
      </c>
      <c r="E370" t="s">
        <v>127</v>
      </c>
      <c r="F370" s="4">
        <v>43755</v>
      </c>
      <c r="G370" s="5">
        <v>0.82461805555555556</v>
      </c>
      <c r="H370">
        <v>-76.718114999999997</v>
      </c>
      <c r="I370">
        <v>3.4851800000000002</v>
      </c>
      <c r="J370">
        <v>4</v>
      </c>
      <c r="K370" t="s">
        <v>119</v>
      </c>
      <c r="L370" t="s">
        <v>253</v>
      </c>
      <c r="M370">
        <v>1928</v>
      </c>
      <c r="N370" t="b">
        <v>1</v>
      </c>
      <c r="O370" t="b">
        <v>0</v>
      </c>
      <c r="P370">
        <v>15</v>
      </c>
      <c r="Q370">
        <v>0</v>
      </c>
      <c r="R370">
        <v>12</v>
      </c>
      <c r="S370" t="s">
        <v>283</v>
      </c>
      <c r="T370" t="s">
        <v>145</v>
      </c>
      <c r="V370" t="s">
        <v>41</v>
      </c>
      <c r="X370">
        <v>1</v>
      </c>
      <c r="AA370" t="s">
        <v>117</v>
      </c>
    </row>
    <row r="371" spans="1:29" x14ac:dyDescent="0.2">
      <c r="A371">
        <v>2019</v>
      </c>
      <c r="B371" t="s">
        <v>21</v>
      </c>
      <c r="C371" t="s">
        <v>67</v>
      </c>
      <c r="D371" t="s">
        <v>284</v>
      </c>
      <c r="E371" t="s">
        <v>157</v>
      </c>
      <c r="F371" s="4">
        <v>43755</v>
      </c>
      <c r="G371" s="5">
        <v>0.93177083333333333</v>
      </c>
      <c r="H371">
        <v>-76.718551666666599</v>
      </c>
      <c r="I371">
        <v>3.4868549999999998</v>
      </c>
      <c r="J371">
        <v>4</v>
      </c>
      <c r="K371" t="s">
        <v>119</v>
      </c>
      <c r="M371">
        <v>1813</v>
      </c>
      <c r="N371" t="b">
        <v>1</v>
      </c>
      <c r="O371" t="b">
        <v>0</v>
      </c>
      <c r="P371">
        <v>8</v>
      </c>
      <c r="Q371">
        <v>0</v>
      </c>
      <c r="R371">
        <v>6</v>
      </c>
      <c r="T371" t="s">
        <v>201</v>
      </c>
      <c r="U371" t="s">
        <v>285</v>
      </c>
      <c r="V371" t="s">
        <v>47</v>
      </c>
      <c r="X371">
        <v>0</v>
      </c>
      <c r="AA371" t="s">
        <v>257</v>
      </c>
      <c r="AC371" t="s">
        <v>286</v>
      </c>
    </row>
    <row r="372" spans="1:29" x14ac:dyDescent="0.2">
      <c r="A372">
        <v>2019</v>
      </c>
      <c r="B372" t="s">
        <v>21</v>
      </c>
      <c r="C372" t="s">
        <v>67</v>
      </c>
      <c r="D372" t="s">
        <v>279</v>
      </c>
      <c r="E372" t="s">
        <v>127</v>
      </c>
      <c r="F372" s="4">
        <v>43755</v>
      </c>
      <c r="G372" s="5">
        <v>0.85035879629629629</v>
      </c>
      <c r="H372">
        <v>-76.7183316666667</v>
      </c>
      <c r="I372">
        <v>3.4851083333333301</v>
      </c>
      <c r="J372">
        <v>4</v>
      </c>
      <c r="K372" t="s">
        <v>119</v>
      </c>
      <c r="M372">
        <v>1936</v>
      </c>
      <c r="N372" t="b">
        <v>1</v>
      </c>
      <c r="O372" t="b">
        <v>1</v>
      </c>
      <c r="P372">
        <v>25</v>
      </c>
      <c r="Q372">
        <v>1.5</v>
      </c>
      <c r="R372">
        <v>10</v>
      </c>
      <c r="T372" t="s">
        <v>145</v>
      </c>
      <c r="U372" t="s">
        <v>285</v>
      </c>
      <c r="V372" t="s">
        <v>47</v>
      </c>
      <c r="X372">
        <v>0</v>
      </c>
      <c r="AA372" t="s">
        <v>257</v>
      </c>
    </row>
    <row r="373" spans="1:29" x14ac:dyDescent="0.2">
      <c r="A373">
        <v>2019</v>
      </c>
      <c r="B373" t="s">
        <v>21</v>
      </c>
      <c r="C373" t="s">
        <v>67</v>
      </c>
      <c r="D373" t="s">
        <v>278</v>
      </c>
      <c r="E373" t="s">
        <v>122</v>
      </c>
      <c r="F373" s="4">
        <v>43755</v>
      </c>
      <c r="G373" s="5">
        <v>0.88979166666666665</v>
      </c>
      <c r="H373">
        <v>-76.718874999999997</v>
      </c>
      <c r="I373">
        <v>3.484915</v>
      </c>
      <c r="J373">
        <v>4</v>
      </c>
      <c r="K373" t="s">
        <v>119</v>
      </c>
      <c r="L373" t="s">
        <v>253</v>
      </c>
      <c r="M373">
        <v>1943</v>
      </c>
      <c r="N373" t="b">
        <v>1</v>
      </c>
      <c r="O373" t="b">
        <v>1</v>
      </c>
      <c r="P373">
        <v>18</v>
      </c>
      <c r="Q373">
        <v>2</v>
      </c>
      <c r="R373">
        <v>10</v>
      </c>
      <c r="S373" t="s">
        <v>280</v>
      </c>
      <c r="T373" t="s">
        <v>145</v>
      </c>
      <c r="V373" t="s">
        <v>9</v>
      </c>
      <c r="X373">
        <v>2</v>
      </c>
      <c r="AA373" t="s">
        <v>117</v>
      </c>
    </row>
    <row r="374" spans="1:29" x14ac:dyDescent="0.2">
      <c r="A374">
        <v>2019</v>
      </c>
      <c r="B374" t="s">
        <v>21</v>
      </c>
      <c r="C374" t="s">
        <v>67</v>
      </c>
      <c r="D374" t="s">
        <v>284</v>
      </c>
      <c r="E374" t="s">
        <v>157</v>
      </c>
      <c r="F374" s="4">
        <v>43755</v>
      </c>
      <c r="G374" s="5">
        <v>0.93626157407407407</v>
      </c>
      <c r="H374">
        <v>-76.718819999999994</v>
      </c>
      <c r="I374">
        <v>3.487215</v>
      </c>
      <c r="J374">
        <v>4</v>
      </c>
      <c r="K374" t="s">
        <v>119</v>
      </c>
      <c r="M374">
        <v>1918</v>
      </c>
      <c r="N374" t="b">
        <v>1</v>
      </c>
      <c r="O374" t="b">
        <v>0</v>
      </c>
      <c r="P374">
        <v>4</v>
      </c>
      <c r="Q374">
        <v>0</v>
      </c>
      <c r="R374">
        <v>15</v>
      </c>
      <c r="T374" t="s">
        <v>201</v>
      </c>
      <c r="U374" t="s">
        <v>287</v>
      </c>
      <c r="V374" t="s">
        <v>47</v>
      </c>
      <c r="X374">
        <v>0</v>
      </c>
      <c r="AA374" t="s">
        <v>452</v>
      </c>
    </row>
    <row r="375" spans="1:29" x14ac:dyDescent="0.2">
      <c r="A375">
        <v>2019</v>
      </c>
      <c r="B375" t="s">
        <v>21</v>
      </c>
      <c r="C375" t="s">
        <v>67</v>
      </c>
      <c r="D375" t="s">
        <v>288</v>
      </c>
      <c r="E375" t="s">
        <v>135</v>
      </c>
      <c r="F375" s="4">
        <v>43755</v>
      </c>
      <c r="G375" s="5">
        <v>0.92641203703703701</v>
      </c>
      <c r="H375">
        <v>-76.7182733333333</v>
      </c>
      <c r="I375">
        <v>3.4862166666666701</v>
      </c>
      <c r="J375">
        <v>4</v>
      </c>
      <c r="K375" t="s">
        <v>119</v>
      </c>
      <c r="M375">
        <v>1920</v>
      </c>
      <c r="N375" t="b">
        <v>1</v>
      </c>
      <c r="O375" t="b">
        <v>0</v>
      </c>
      <c r="P375">
        <v>4</v>
      </c>
      <c r="Q375">
        <v>0</v>
      </c>
      <c r="R375">
        <v>7</v>
      </c>
      <c r="T375" t="s">
        <v>201</v>
      </c>
      <c r="U375" t="s">
        <v>266</v>
      </c>
      <c r="V375" t="s">
        <v>47</v>
      </c>
      <c r="X375">
        <v>0</v>
      </c>
      <c r="AA375" t="s">
        <v>257</v>
      </c>
      <c r="AC375" t="s">
        <v>289</v>
      </c>
    </row>
    <row r="376" spans="1:29" x14ac:dyDescent="0.2">
      <c r="A376">
        <v>2019</v>
      </c>
      <c r="B376" t="s">
        <v>21</v>
      </c>
      <c r="C376" t="s">
        <v>67</v>
      </c>
      <c r="D376" t="s">
        <v>278</v>
      </c>
      <c r="E376" t="s">
        <v>122</v>
      </c>
      <c r="F376" s="4">
        <v>43755</v>
      </c>
      <c r="G376" s="5">
        <v>0.86637731481481484</v>
      </c>
      <c r="H376">
        <v>-76.718638333333303</v>
      </c>
      <c r="I376">
        <v>3.48519333333333</v>
      </c>
      <c r="J376">
        <v>4</v>
      </c>
      <c r="K376" t="s">
        <v>119</v>
      </c>
      <c r="L376" t="s">
        <v>253</v>
      </c>
      <c r="M376">
        <v>1940</v>
      </c>
      <c r="N376" t="b">
        <v>1</v>
      </c>
      <c r="O376" t="b">
        <v>1</v>
      </c>
      <c r="P376">
        <v>12</v>
      </c>
      <c r="Q376">
        <v>1.5</v>
      </c>
      <c r="R376">
        <v>12</v>
      </c>
      <c r="S376" t="s">
        <v>259</v>
      </c>
      <c r="T376" t="s">
        <v>167</v>
      </c>
      <c r="U376" t="s">
        <v>290</v>
      </c>
      <c r="V376" t="s">
        <v>3</v>
      </c>
      <c r="X376">
        <v>1</v>
      </c>
      <c r="AA376" t="s">
        <v>117</v>
      </c>
    </row>
    <row r="377" spans="1:29" x14ac:dyDescent="0.2">
      <c r="A377">
        <v>2019</v>
      </c>
      <c r="B377" t="s">
        <v>21</v>
      </c>
      <c r="C377" t="s">
        <v>67</v>
      </c>
      <c r="D377" t="s">
        <v>288</v>
      </c>
      <c r="E377" t="s">
        <v>135</v>
      </c>
      <c r="F377" s="4">
        <v>43755</v>
      </c>
      <c r="G377" s="5">
        <v>0.91741898148148149</v>
      </c>
      <c r="H377">
        <v>-76.717631666666705</v>
      </c>
      <c r="I377">
        <v>3.4859049999999998</v>
      </c>
      <c r="J377">
        <v>4</v>
      </c>
      <c r="K377" t="s">
        <v>119</v>
      </c>
      <c r="M377">
        <v>1924</v>
      </c>
      <c r="N377" t="b">
        <v>1</v>
      </c>
      <c r="O377" t="b">
        <v>0</v>
      </c>
      <c r="P377">
        <v>8</v>
      </c>
      <c r="Q377">
        <v>0</v>
      </c>
      <c r="R377">
        <v>10</v>
      </c>
      <c r="T377" t="s">
        <v>201</v>
      </c>
      <c r="U377" t="s">
        <v>291</v>
      </c>
      <c r="V377" t="s">
        <v>47</v>
      </c>
      <c r="X377">
        <v>0</v>
      </c>
      <c r="AA377" t="s">
        <v>257</v>
      </c>
    </row>
    <row r="378" spans="1:29" x14ac:dyDescent="0.2">
      <c r="A378">
        <v>2019</v>
      </c>
      <c r="B378" t="s">
        <v>21</v>
      </c>
      <c r="C378" t="s">
        <v>67</v>
      </c>
      <c r="D378" t="s">
        <v>288</v>
      </c>
      <c r="E378" t="s">
        <v>135</v>
      </c>
      <c r="F378" s="4">
        <v>43755</v>
      </c>
      <c r="G378" s="5">
        <v>0.79392361111111109</v>
      </c>
      <c r="H378">
        <v>-76.7176166666667</v>
      </c>
      <c r="I378">
        <v>3.4859133333333299</v>
      </c>
      <c r="J378">
        <v>4</v>
      </c>
      <c r="M378">
        <v>1924</v>
      </c>
      <c r="N378" t="b">
        <v>1</v>
      </c>
      <c r="O378" t="b">
        <v>0</v>
      </c>
      <c r="P378">
        <v>8</v>
      </c>
      <c r="Q378">
        <v>0</v>
      </c>
      <c r="R378">
        <v>10</v>
      </c>
      <c r="T378" t="s">
        <v>201</v>
      </c>
      <c r="U378" t="s">
        <v>292</v>
      </c>
      <c r="V378" t="s">
        <v>47</v>
      </c>
      <c r="X378">
        <v>0</v>
      </c>
      <c r="AA378" t="s">
        <v>117</v>
      </c>
    </row>
    <row r="379" spans="1:29" x14ac:dyDescent="0.2">
      <c r="A379">
        <v>2019</v>
      </c>
      <c r="B379" t="s">
        <v>21</v>
      </c>
      <c r="C379" t="s">
        <v>67</v>
      </c>
      <c r="D379" t="s">
        <v>284</v>
      </c>
      <c r="E379" t="s">
        <v>157</v>
      </c>
      <c r="F379" s="4">
        <v>43755</v>
      </c>
      <c r="G379" s="5">
        <v>0.93943287037037038</v>
      </c>
      <c r="H379">
        <v>-76.719004999999996</v>
      </c>
      <c r="I379">
        <v>3.4875766666666701</v>
      </c>
      <c r="J379">
        <v>4</v>
      </c>
      <c r="K379" t="s">
        <v>119</v>
      </c>
      <c r="M379">
        <v>1920</v>
      </c>
      <c r="N379" t="b">
        <v>1</v>
      </c>
      <c r="O379" t="b">
        <v>0</v>
      </c>
      <c r="P379">
        <v>5</v>
      </c>
      <c r="Q379">
        <v>0</v>
      </c>
      <c r="R379">
        <v>15</v>
      </c>
      <c r="T379" t="s">
        <v>201</v>
      </c>
      <c r="U379" t="s">
        <v>266</v>
      </c>
      <c r="V379" t="s">
        <v>47</v>
      </c>
      <c r="X379">
        <v>0</v>
      </c>
      <c r="AA379" t="s">
        <v>257</v>
      </c>
      <c r="AC379" t="s">
        <v>289</v>
      </c>
    </row>
    <row r="380" spans="1:29" x14ac:dyDescent="0.2">
      <c r="A380">
        <v>2019</v>
      </c>
      <c r="B380" t="s">
        <v>21</v>
      </c>
      <c r="C380" t="s">
        <v>24</v>
      </c>
      <c r="D380" t="s">
        <v>176</v>
      </c>
      <c r="E380" t="s">
        <v>127</v>
      </c>
      <c r="F380" s="4">
        <v>43756</v>
      </c>
      <c r="G380" s="5">
        <v>0.52697916666666667</v>
      </c>
      <c r="H380">
        <v>-76.715226666666695</v>
      </c>
      <c r="I380">
        <v>3.487015</v>
      </c>
      <c r="J380">
        <v>4</v>
      </c>
      <c r="K380" t="s">
        <v>119</v>
      </c>
      <c r="M380">
        <v>1871</v>
      </c>
      <c r="N380" t="b">
        <v>1</v>
      </c>
      <c r="O380" t="b">
        <v>1</v>
      </c>
      <c r="P380">
        <v>4</v>
      </c>
      <c r="Q380">
        <v>1</v>
      </c>
      <c r="R380">
        <v>15</v>
      </c>
      <c r="T380" t="s">
        <v>167</v>
      </c>
      <c r="U380" t="s">
        <v>293</v>
      </c>
      <c r="V380" t="s">
        <v>47</v>
      </c>
      <c r="X380">
        <v>0</v>
      </c>
      <c r="AA380" t="s">
        <v>267</v>
      </c>
      <c r="AC380" t="s">
        <v>255</v>
      </c>
    </row>
    <row r="381" spans="1:29" x14ac:dyDescent="0.2">
      <c r="A381">
        <v>2019</v>
      </c>
      <c r="B381" t="s">
        <v>21</v>
      </c>
      <c r="C381" t="s">
        <v>24</v>
      </c>
      <c r="D381" t="s">
        <v>176</v>
      </c>
      <c r="E381" t="s">
        <v>127</v>
      </c>
      <c r="F381" s="4">
        <v>43756</v>
      </c>
      <c r="G381" s="5">
        <v>0.51775462962962959</v>
      </c>
      <c r="H381">
        <v>-76.714896666666704</v>
      </c>
      <c r="I381">
        <v>3.4871699999999999</v>
      </c>
      <c r="J381">
        <v>4</v>
      </c>
      <c r="K381" t="s">
        <v>112</v>
      </c>
      <c r="M381">
        <v>1857</v>
      </c>
      <c r="N381" t="b">
        <v>1</v>
      </c>
      <c r="O381" t="b">
        <v>1</v>
      </c>
      <c r="P381">
        <v>12</v>
      </c>
      <c r="Q381">
        <v>1</v>
      </c>
      <c r="R381">
        <v>10</v>
      </c>
      <c r="T381" t="s">
        <v>167</v>
      </c>
      <c r="U381" t="s">
        <v>294</v>
      </c>
      <c r="V381" t="s">
        <v>47</v>
      </c>
      <c r="X381">
        <v>0</v>
      </c>
      <c r="AA381" t="s">
        <v>452</v>
      </c>
    </row>
    <row r="382" spans="1:29" x14ac:dyDescent="0.2">
      <c r="A382">
        <v>2019</v>
      </c>
      <c r="B382" t="s">
        <v>21</v>
      </c>
      <c r="C382" t="s">
        <v>24</v>
      </c>
      <c r="D382" t="s">
        <v>176</v>
      </c>
      <c r="E382" t="s">
        <v>127</v>
      </c>
      <c r="F382" s="4">
        <v>43756</v>
      </c>
      <c r="G382" s="5">
        <v>0.51775462962962959</v>
      </c>
      <c r="H382">
        <v>-76.714896666666704</v>
      </c>
      <c r="I382">
        <v>3.4871699999999999</v>
      </c>
      <c r="J382">
        <v>4</v>
      </c>
      <c r="K382" t="s">
        <v>119</v>
      </c>
      <c r="M382">
        <v>1875</v>
      </c>
      <c r="N382" t="b">
        <v>1</v>
      </c>
      <c r="O382" t="b">
        <v>1</v>
      </c>
      <c r="P382">
        <v>12</v>
      </c>
      <c r="Q382">
        <v>1</v>
      </c>
      <c r="R382">
        <v>10</v>
      </c>
      <c r="T382" t="s">
        <v>167</v>
      </c>
      <c r="U382" t="s">
        <v>295</v>
      </c>
      <c r="V382" t="s">
        <v>47</v>
      </c>
      <c r="X382">
        <v>0</v>
      </c>
      <c r="AA382" t="s">
        <v>452</v>
      </c>
      <c r="AC382" t="s">
        <v>294</v>
      </c>
    </row>
    <row r="383" spans="1:29" x14ac:dyDescent="0.2">
      <c r="A383">
        <v>2019</v>
      </c>
      <c r="B383" t="s">
        <v>21</v>
      </c>
      <c r="C383" t="s">
        <v>24</v>
      </c>
      <c r="D383" t="s">
        <v>170</v>
      </c>
      <c r="E383" t="s">
        <v>122</v>
      </c>
      <c r="F383" s="4">
        <v>43756</v>
      </c>
      <c r="G383" s="5">
        <v>0.50258101851851855</v>
      </c>
      <c r="H383">
        <v>-76.714598333333299</v>
      </c>
      <c r="I383">
        <v>3.48752833333333</v>
      </c>
      <c r="J383">
        <v>4</v>
      </c>
      <c r="K383" t="s">
        <v>119</v>
      </c>
      <c r="M383">
        <v>1871</v>
      </c>
      <c r="N383" t="b">
        <v>1</v>
      </c>
      <c r="O383" t="b">
        <v>1</v>
      </c>
      <c r="P383">
        <v>12</v>
      </c>
      <c r="Q383">
        <v>1.6</v>
      </c>
      <c r="R383">
        <v>10</v>
      </c>
      <c r="T383" t="s">
        <v>167</v>
      </c>
      <c r="U383" t="s">
        <v>296</v>
      </c>
      <c r="V383" t="s">
        <v>47</v>
      </c>
      <c r="X383">
        <v>0</v>
      </c>
      <c r="AA383" t="s">
        <v>117</v>
      </c>
    </row>
    <row r="384" spans="1:29" x14ac:dyDescent="0.2">
      <c r="A384">
        <v>2019</v>
      </c>
      <c r="B384" t="s">
        <v>21</v>
      </c>
      <c r="C384" t="s">
        <v>24</v>
      </c>
      <c r="D384" t="s">
        <v>166</v>
      </c>
      <c r="E384" t="s">
        <v>111</v>
      </c>
      <c r="F384" s="4">
        <v>43756</v>
      </c>
      <c r="G384" s="5">
        <v>0.47940972222222222</v>
      </c>
      <c r="H384">
        <v>-76.713941666666699</v>
      </c>
      <c r="I384">
        <v>3.4877066666666701</v>
      </c>
      <c r="J384">
        <v>4</v>
      </c>
      <c r="K384" t="s">
        <v>119</v>
      </c>
      <c r="M384">
        <v>1857</v>
      </c>
      <c r="N384" t="b">
        <v>1</v>
      </c>
      <c r="O384" t="b">
        <v>1</v>
      </c>
      <c r="T384" t="s">
        <v>167</v>
      </c>
      <c r="V384" t="s">
        <v>47</v>
      </c>
      <c r="X384">
        <v>0</v>
      </c>
      <c r="AA384" t="s">
        <v>452</v>
      </c>
    </row>
    <row r="385" spans="1:29" x14ac:dyDescent="0.2">
      <c r="A385">
        <v>2019</v>
      </c>
      <c r="B385" t="s">
        <v>21</v>
      </c>
      <c r="C385" t="s">
        <v>24</v>
      </c>
      <c r="D385" t="s">
        <v>170</v>
      </c>
      <c r="E385" t="s">
        <v>122</v>
      </c>
      <c r="F385" s="4">
        <v>43756</v>
      </c>
      <c r="G385" s="5">
        <v>0.91538194444444443</v>
      </c>
      <c r="H385">
        <v>-76.714813333333296</v>
      </c>
      <c r="I385">
        <v>3.4874283333333298</v>
      </c>
      <c r="J385">
        <v>4</v>
      </c>
      <c r="K385" t="s">
        <v>112</v>
      </c>
      <c r="L385" t="s">
        <v>113</v>
      </c>
      <c r="M385">
        <v>1854</v>
      </c>
      <c r="N385" t="b">
        <v>1</v>
      </c>
      <c r="O385" t="b">
        <v>1</v>
      </c>
      <c r="P385">
        <v>7</v>
      </c>
      <c r="Q385">
        <v>1.7</v>
      </c>
      <c r="R385">
        <v>10</v>
      </c>
      <c r="S385" t="s">
        <v>297</v>
      </c>
      <c r="T385" t="s">
        <v>167</v>
      </c>
      <c r="V385" t="s">
        <v>9</v>
      </c>
      <c r="X385">
        <v>1</v>
      </c>
      <c r="AA385" t="s">
        <v>117</v>
      </c>
    </row>
    <row r="386" spans="1:29" x14ac:dyDescent="0.2">
      <c r="A386">
        <v>2019</v>
      </c>
      <c r="B386" t="s">
        <v>21</v>
      </c>
      <c r="C386" t="s">
        <v>24</v>
      </c>
      <c r="D386" t="s">
        <v>170</v>
      </c>
      <c r="E386" t="s">
        <v>122</v>
      </c>
      <c r="F386" s="4">
        <v>43756</v>
      </c>
      <c r="G386" s="5">
        <v>0.91538194444444443</v>
      </c>
      <c r="H386">
        <v>-76.714813333333296</v>
      </c>
      <c r="I386">
        <v>3.4874283333333298</v>
      </c>
      <c r="J386">
        <v>4</v>
      </c>
      <c r="M386">
        <v>1854</v>
      </c>
      <c r="N386" t="b">
        <v>1</v>
      </c>
      <c r="O386" t="b">
        <v>1</v>
      </c>
      <c r="P386">
        <v>7</v>
      </c>
      <c r="Q386">
        <v>1.7</v>
      </c>
      <c r="R386">
        <v>13</v>
      </c>
      <c r="T386" t="s">
        <v>167</v>
      </c>
      <c r="U386" t="s">
        <v>291</v>
      </c>
      <c r="V386" t="s">
        <v>47</v>
      </c>
      <c r="X386">
        <v>0</v>
      </c>
      <c r="AA386" t="s">
        <v>117</v>
      </c>
    </row>
    <row r="387" spans="1:29" x14ac:dyDescent="0.2">
      <c r="A387">
        <v>2019</v>
      </c>
      <c r="B387" t="s">
        <v>21</v>
      </c>
      <c r="C387" t="s">
        <v>24</v>
      </c>
      <c r="D387" t="s">
        <v>170</v>
      </c>
      <c r="E387" t="s">
        <v>122</v>
      </c>
      <c r="F387" s="4">
        <v>43756</v>
      </c>
      <c r="G387" s="5">
        <v>0.87304398148148143</v>
      </c>
      <c r="H387">
        <v>-76.714053333333297</v>
      </c>
      <c r="I387">
        <v>3.48769666666667</v>
      </c>
      <c r="J387">
        <v>4</v>
      </c>
      <c r="K387" t="s">
        <v>119</v>
      </c>
      <c r="M387">
        <v>1861</v>
      </c>
      <c r="N387" t="b">
        <v>1</v>
      </c>
      <c r="O387" t="b">
        <v>1</v>
      </c>
      <c r="P387">
        <v>5</v>
      </c>
      <c r="Q387">
        <v>2</v>
      </c>
      <c r="R387">
        <v>12</v>
      </c>
      <c r="T387" t="s">
        <v>167</v>
      </c>
      <c r="V387" t="s">
        <v>47</v>
      </c>
      <c r="X387">
        <v>0</v>
      </c>
      <c r="AA387" t="s">
        <v>452</v>
      </c>
    </row>
    <row r="388" spans="1:29" x14ac:dyDescent="0.2">
      <c r="A388">
        <v>2019</v>
      </c>
      <c r="B388" t="s">
        <v>21</v>
      </c>
      <c r="C388" t="s">
        <v>24</v>
      </c>
      <c r="D388" t="s">
        <v>176</v>
      </c>
      <c r="E388" t="s">
        <v>127</v>
      </c>
      <c r="F388" s="4">
        <v>43756</v>
      </c>
      <c r="G388" s="5">
        <v>0.52322916666666663</v>
      </c>
      <c r="H388">
        <v>-76.714873333333301</v>
      </c>
      <c r="I388">
        <v>3.4870633333333299</v>
      </c>
      <c r="J388">
        <v>4</v>
      </c>
      <c r="K388" t="s">
        <v>119</v>
      </c>
      <c r="M388">
        <v>1865</v>
      </c>
      <c r="N388" t="b">
        <v>1</v>
      </c>
      <c r="O388" t="b">
        <v>1</v>
      </c>
      <c r="P388">
        <v>12</v>
      </c>
      <c r="Q388">
        <v>1.2</v>
      </c>
      <c r="R388">
        <v>8</v>
      </c>
      <c r="T388" t="s">
        <v>167</v>
      </c>
      <c r="U388" t="s">
        <v>298</v>
      </c>
      <c r="V388" t="s">
        <v>47</v>
      </c>
      <c r="X388">
        <v>0</v>
      </c>
      <c r="AA388" t="s">
        <v>452</v>
      </c>
    </row>
    <row r="389" spans="1:29" x14ac:dyDescent="0.2">
      <c r="A389">
        <v>2019</v>
      </c>
      <c r="B389" t="s">
        <v>21</v>
      </c>
      <c r="C389" t="s">
        <v>24</v>
      </c>
      <c r="D389" t="s">
        <v>176</v>
      </c>
      <c r="E389" t="s">
        <v>127</v>
      </c>
      <c r="F389" s="4">
        <v>43756</v>
      </c>
      <c r="G389" s="5">
        <v>0.94353009259259257</v>
      </c>
      <c r="H389">
        <v>-76.715171666666706</v>
      </c>
      <c r="I389">
        <v>3.4865699999999999</v>
      </c>
      <c r="J389">
        <v>4</v>
      </c>
      <c r="K389" t="s">
        <v>112</v>
      </c>
      <c r="M389">
        <v>1866</v>
      </c>
      <c r="N389" t="b">
        <v>1</v>
      </c>
      <c r="O389" t="b">
        <v>1</v>
      </c>
      <c r="P389">
        <v>12</v>
      </c>
      <c r="Q389">
        <v>1.5</v>
      </c>
      <c r="R389">
        <v>12</v>
      </c>
      <c r="T389" t="s">
        <v>167</v>
      </c>
      <c r="U389" t="s">
        <v>266</v>
      </c>
      <c r="V389" t="s">
        <v>47</v>
      </c>
      <c r="X389">
        <v>0</v>
      </c>
      <c r="AA389" t="s">
        <v>117</v>
      </c>
    </row>
    <row r="390" spans="1:29" x14ac:dyDescent="0.2">
      <c r="A390">
        <v>2019</v>
      </c>
      <c r="B390" t="s">
        <v>21</v>
      </c>
      <c r="C390" t="s">
        <v>24</v>
      </c>
      <c r="D390" t="s">
        <v>176</v>
      </c>
      <c r="E390" t="s">
        <v>127</v>
      </c>
      <c r="F390" s="4">
        <v>43756</v>
      </c>
      <c r="G390" s="5">
        <v>0.92302083333333329</v>
      </c>
      <c r="H390">
        <v>-76.7148866666667</v>
      </c>
      <c r="I390">
        <v>3.4872049999999999</v>
      </c>
      <c r="J390">
        <v>4</v>
      </c>
      <c r="K390" t="s">
        <v>112</v>
      </c>
      <c r="L390" t="s">
        <v>253</v>
      </c>
      <c r="M390">
        <v>1855</v>
      </c>
      <c r="N390" t="b">
        <v>1</v>
      </c>
      <c r="O390" t="b">
        <v>1</v>
      </c>
      <c r="P390">
        <v>5</v>
      </c>
      <c r="Q390">
        <v>1.5</v>
      </c>
      <c r="R390">
        <v>15</v>
      </c>
      <c r="S390" t="s">
        <v>280</v>
      </c>
      <c r="T390" t="s">
        <v>167</v>
      </c>
      <c r="V390" t="s">
        <v>8</v>
      </c>
      <c r="X390">
        <v>1</v>
      </c>
      <c r="AA390" t="s">
        <v>117</v>
      </c>
    </row>
    <row r="391" spans="1:29" x14ac:dyDescent="0.2">
      <c r="A391">
        <v>2019</v>
      </c>
      <c r="B391" t="s">
        <v>21</v>
      </c>
      <c r="C391" t="s">
        <v>24</v>
      </c>
      <c r="D391" t="s">
        <v>170</v>
      </c>
      <c r="E391" t="s">
        <v>122</v>
      </c>
      <c r="F391" s="4">
        <v>43756</v>
      </c>
      <c r="G391" s="5">
        <v>0.88121527777777775</v>
      </c>
      <c r="H391">
        <v>-76.714224999999999</v>
      </c>
      <c r="I391">
        <v>3.4877449999999999</v>
      </c>
      <c r="J391">
        <v>4</v>
      </c>
      <c r="K391" t="s">
        <v>112</v>
      </c>
      <c r="M391">
        <v>1861</v>
      </c>
      <c r="N391" t="b">
        <v>1</v>
      </c>
      <c r="O391" t="b">
        <v>1</v>
      </c>
      <c r="P391">
        <v>10</v>
      </c>
      <c r="Q391">
        <v>1.7</v>
      </c>
      <c r="R391">
        <v>10</v>
      </c>
      <c r="T391" t="s">
        <v>167</v>
      </c>
      <c r="U391" t="s">
        <v>299</v>
      </c>
      <c r="V391" t="s">
        <v>47</v>
      </c>
      <c r="X391">
        <v>0</v>
      </c>
      <c r="AA391" t="s">
        <v>452</v>
      </c>
    </row>
    <row r="392" spans="1:29" x14ac:dyDescent="0.2">
      <c r="A392">
        <v>2019</v>
      </c>
      <c r="B392" t="s">
        <v>21</v>
      </c>
      <c r="C392" t="s">
        <v>24</v>
      </c>
      <c r="D392" t="s">
        <v>170</v>
      </c>
      <c r="E392" t="s">
        <v>122</v>
      </c>
      <c r="F392" s="4">
        <v>43756</v>
      </c>
      <c r="G392" s="5">
        <v>0.90869212962962964</v>
      </c>
      <c r="H392">
        <v>-76.714685000000003</v>
      </c>
      <c r="I392">
        <v>3.4873766666666701</v>
      </c>
      <c r="J392">
        <v>4</v>
      </c>
      <c r="M392">
        <v>1855</v>
      </c>
      <c r="N392" t="b">
        <v>1</v>
      </c>
      <c r="O392" t="b">
        <v>1</v>
      </c>
      <c r="P392">
        <v>10</v>
      </c>
      <c r="Q392">
        <v>1.5</v>
      </c>
      <c r="R392">
        <v>15</v>
      </c>
      <c r="T392" t="s">
        <v>167</v>
      </c>
      <c r="U392" t="s">
        <v>266</v>
      </c>
      <c r="V392" t="s">
        <v>47</v>
      </c>
      <c r="X392">
        <v>0</v>
      </c>
      <c r="AA392" t="s">
        <v>117</v>
      </c>
    </row>
    <row r="393" spans="1:29" x14ac:dyDescent="0.2">
      <c r="A393">
        <v>2019</v>
      </c>
      <c r="B393" t="s">
        <v>21</v>
      </c>
      <c r="C393" t="s">
        <v>24</v>
      </c>
      <c r="D393" t="s">
        <v>176</v>
      </c>
      <c r="E393" t="s">
        <v>127</v>
      </c>
      <c r="F393" s="4">
        <v>43756</v>
      </c>
      <c r="G393" s="5">
        <v>0.92836805555555557</v>
      </c>
      <c r="H393">
        <v>-76.714830000000006</v>
      </c>
      <c r="I393">
        <v>3.48718833333333</v>
      </c>
      <c r="J393">
        <v>4</v>
      </c>
      <c r="K393" t="s">
        <v>112</v>
      </c>
      <c r="M393">
        <v>1844</v>
      </c>
      <c r="N393" t="b">
        <v>1</v>
      </c>
      <c r="O393" t="b">
        <v>1</v>
      </c>
      <c r="P393">
        <v>7</v>
      </c>
      <c r="Q393">
        <v>1.5</v>
      </c>
      <c r="R393">
        <v>12</v>
      </c>
      <c r="T393" t="s">
        <v>167</v>
      </c>
      <c r="V393" t="s">
        <v>47</v>
      </c>
      <c r="X393">
        <v>0</v>
      </c>
      <c r="AA393" t="s">
        <v>452</v>
      </c>
      <c r="AC393" t="s">
        <v>299</v>
      </c>
    </row>
    <row r="394" spans="1:29" x14ac:dyDescent="0.2">
      <c r="A394">
        <v>2019</v>
      </c>
      <c r="B394" t="s">
        <v>21</v>
      </c>
      <c r="C394" t="s">
        <v>24</v>
      </c>
      <c r="D394" t="s">
        <v>176</v>
      </c>
      <c r="E394" t="s">
        <v>127</v>
      </c>
      <c r="F394" s="4">
        <v>43756</v>
      </c>
      <c r="G394" s="5">
        <v>0.92836805555555557</v>
      </c>
      <c r="H394">
        <v>-76.714830000000006</v>
      </c>
      <c r="I394">
        <v>3.48718833333333</v>
      </c>
      <c r="J394">
        <v>4</v>
      </c>
      <c r="K394" t="s">
        <v>119</v>
      </c>
      <c r="M394">
        <v>1844</v>
      </c>
      <c r="N394" t="b">
        <v>1</v>
      </c>
      <c r="O394" t="b">
        <v>1</v>
      </c>
      <c r="P394">
        <v>7</v>
      </c>
      <c r="Q394">
        <v>1.5</v>
      </c>
      <c r="R394">
        <v>12</v>
      </c>
      <c r="T394" t="s">
        <v>167</v>
      </c>
      <c r="V394" t="s">
        <v>47</v>
      </c>
      <c r="X394">
        <v>0</v>
      </c>
      <c r="AA394" t="s">
        <v>452</v>
      </c>
    </row>
    <row r="395" spans="1:29" x14ac:dyDescent="0.2">
      <c r="A395">
        <v>2019</v>
      </c>
      <c r="B395" t="s">
        <v>21</v>
      </c>
      <c r="C395" t="s">
        <v>24</v>
      </c>
      <c r="D395" t="s">
        <v>166</v>
      </c>
      <c r="E395" t="s">
        <v>111</v>
      </c>
      <c r="F395" s="4">
        <v>43756</v>
      </c>
      <c r="G395" s="5">
        <v>0.48534722222222221</v>
      </c>
      <c r="H395">
        <v>-76.713933333333301</v>
      </c>
      <c r="I395">
        <v>3.48770333333333</v>
      </c>
      <c r="J395">
        <v>4</v>
      </c>
      <c r="K395" t="s">
        <v>112</v>
      </c>
      <c r="M395">
        <v>1850</v>
      </c>
      <c r="N395" t="b">
        <v>1</v>
      </c>
      <c r="O395" t="b">
        <v>1</v>
      </c>
      <c r="P395">
        <v>12</v>
      </c>
      <c r="Q395">
        <v>1.5</v>
      </c>
      <c r="R395">
        <v>12</v>
      </c>
      <c r="T395" t="s">
        <v>167</v>
      </c>
      <c r="U395" t="s">
        <v>300</v>
      </c>
      <c r="V395" t="s">
        <v>47</v>
      </c>
      <c r="X395">
        <v>0</v>
      </c>
      <c r="AA395" t="s">
        <v>452</v>
      </c>
      <c r="AC395" t="s">
        <v>301</v>
      </c>
    </row>
    <row r="396" spans="1:29" x14ac:dyDescent="0.2">
      <c r="A396">
        <v>2019</v>
      </c>
      <c r="B396" t="s">
        <v>21</v>
      </c>
      <c r="C396" t="s">
        <v>24</v>
      </c>
      <c r="D396" t="s">
        <v>170</v>
      </c>
      <c r="E396" t="s">
        <v>122</v>
      </c>
      <c r="F396" s="4">
        <v>43756</v>
      </c>
      <c r="G396" s="5">
        <v>0.90688657407407403</v>
      </c>
      <c r="H396">
        <v>-76.714693333333301</v>
      </c>
      <c r="I396">
        <v>3.4874016666666701</v>
      </c>
      <c r="J396">
        <v>4</v>
      </c>
      <c r="K396" t="s">
        <v>112</v>
      </c>
      <c r="L396" t="s">
        <v>253</v>
      </c>
      <c r="M396">
        <v>1855</v>
      </c>
      <c r="N396" t="b">
        <v>1</v>
      </c>
      <c r="O396" t="b">
        <v>1</v>
      </c>
      <c r="P396">
        <v>8</v>
      </c>
      <c r="Q396">
        <v>1.5</v>
      </c>
      <c r="R396">
        <v>15</v>
      </c>
      <c r="T396" t="s">
        <v>167</v>
      </c>
      <c r="U396" t="s">
        <v>244</v>
      </c>
      <c r="V396" t="s">
        <v>3</v>
      </c>
      <c r="X396">
        <v>8</v>
      </c>
      <c r="AA396" t="s">
        <v>117</v>
      </c>
    </row>
    <row r="397" spans="1:29" x14ac:dyDescent="0.2">
      <c r="A397">
        <v>2019</v>
      </c>
      <c r="B397" t="s">
        <v>21</v>
      </c>
      <c r="C397" t="s">
        <v>24</v>
      </c>
      <c r="D397" t="s">
        <v>176</v>
      </c>
      <c r="E397" t="s">
        <v>127</v>
      </c>
      <c r="F397" s="4">
        <v>43756</v>
      </c>
      <c r="G397" s="5">
        <v>0.9362731481481481</v>
      </c>
      <c r="H397">
        <v>-76.715121666666704</v>
      </c>
      <c r="I397">
        <v>3.4870666666666699</v>
      </c>
      <c r="J397">
        <v>4</v>
      </c>
      <c r="K397" t="s">
        <v>112</v>
      </c>
      <c r="L397" t="s">
        <v>113</v>
      </c>
      <c r="M397">
        <v>1871</v>
      </c>
      <c r="N397" t="b">
        <v>1</v>
      </c>
      <c r="O397" t="b">
        <v>0</v>
      </c>
      <c r="P397">
        <v>6</v>
      </c>
      <c r="Q397">
        <v>0</v>
      </c>
      <c r="R397">
        <v>15</v>
      </c>
      <c r="S397" t="s">
        <v>259</v>
      </c>
      <c r="T397" t="s">
        <v>145</v>
      </c>
      <c r="V397" t="s">
        <v>40</v>
      </c>
      <c r="X397">
        <v>1</v>
      </c>
      <c r="AA397" t="s">
        <v>117</v>
      </c>
      <c r="AC397" t="s">
        <v>289</v>
      </c>
    </row>
    <row r="398" spans="1:29" x14ac:dyDescent="0.2">
      <c r="A398">
        <v>2019</v>
      </c>
      <c r="B398" t="s">
        <v>21</v>
      </c>
      <c r="C398" t="s">
        <v>24</v>
      </c>
      <c r="D398" t="s">
        <v>176</v>
      </c>
      <c r="E398" t="s">
        <v>127</v>
      </c>
      <c r="F398" s="4">
        <v>43756</v>
      </c>
      <c r="G398" s="5">
        <v>0.53268518518518515</v>
      </c>
      <c r="H398">
        <v>-76.715035</v>
      </c>
      <c r="I398">
        <v>3.4866199999999998</v>
      </c>
      <c r="J398">
        <v>4</v>
      </c>
      <c r="K398" t="s">
        <v>119</v>
      </c>
      <c r="M398">
        <v>1875</v>
      </c>
      <c r="N398" t="b">
        <v>1</v>
      </c>
      <c r="O398" t="b">
        <v>1</v>
      </c>
      <c r="P398">
        <v>10</v>
      </c>
      <c r="Q398">
        <v>1.1000000000000001</v>
      </c>
      <c r="R398">
        <v>8</v>
      </c>
      <c r="T398" t="s">
        <v>167</v>
      </c>
      <c r="U398" t="s">
        <v>302</v>
      </c>
      <c r="V398" t="s">
        <v>47</v>
      </c>
      <c r="X398">
        <v>0</v>
      </c>
      <c r="AA398" t="s">
        <v>117</v>
      </c>
    </row>
    <row r="399" spans="1:29" x14ac:dyDescent="0.2">
      <c r="A399">
        <v>2019</v>
      </c>
      <c r="B399" t="s">
        <v>21</v>
      </c>
      <c r="C399" t="s">
        <v>24</v>
      </c>
      <c r="D399" t="s">
        <v>170</v>
      </c>
      <c r="E399" t="s">
        <v>122</v>
      </c>
      <c r="F399" s="4">
        <v>43756</v>
      </c>
      <c r="G399" s="5">
        <v>0.87578703703703709</v>
      </c>
      <c r="H399">
        <v>-76.714148333333299</v>
      </c>
      <c r="I399">
        <v>3.4876983333333298</v>
      </c>
      <c r="J399">
        <v>4</v>
      </c>
      <c r="K399" t="s">
        <v>112</v>
      </c>
      <c r="M399">
        <v>1861</v>
      </c>
      <c r="N399" t="b">
        <v>1</v>
      </c>
      <c r="O399" t="b">
        <v>1</v>
      </c>
      <c r="P399">
        <v>12</v>
      </c>
      <c r="Q399">
        <v>1.25</v>
      </c>
      <c r="R399">
        <v>10</v>
      </c>
      <c r="T399" t="s">
        <v>167</v>
      </c>
      <c r="U399" t="s">
        <v>299</v>
      </c>
      <c r="V399" t="s">
        <v>47</v>
      </c>
      <c r="X399">
        <v>0</v>
      </c>
      <c r="AA399" t="s">
        <v>452</v>
      </c>
    </row>
    <row r="400" spans="1:29" x14ac:dyDescent="0.2">
      <c r="A400">
        <v>2019</v>
      </c>
      <c r="B400" t="s">
        <v>21</v>
      </c>
      <c r="C400" t="s">
        <v>24</v>
      </c>
      <c r="D400" t="s">
        <v>166</v>
      </c>
      <c r="E400" t="s">
        <v>111</v>
      </c>
      <c r="F400" s="4">
        <v>43756</v>
      </c>
      <c r="G400" s="5">
        <v>0.88002314814814819</v>
      </c>
      <c r="H400">
        <v>-76.714011666666707</v>
      </c>
      <c r="I400">
        <v>3.4878216666666702</v>
      </c>
      <c r="J400">
        <v>4</v>
      </c>
      <c r="K400" t="s">
        <v>119</v>
      </c>
      <c r="L400" t="s">
        <v>195</v>
      </c>
      <c r="M400">
        <v>1861</v>
      </c>
      <c r="N400" t="b">
        <v>1</v>
      </c>
      <c r="O400" t="b">
        <v>1</v>
      </c>
      <c r="P400">
        <v>10</v>
      </c>
      <c r="Q400">
        <v>1.7</v>
      </c>
      <c r="R400">
        <v>10</v>
      </c>
      <c r="T400" t="s">
        <v>167</v>
      </c>
      <c r="V400" t="s">
        <v>64</v>
      </c>
      <c r="X400">
        <v>1</v>
      </c>
      <c r="AA400" t="s">
        <v>117</v>
      </c>
    </row>
    <row r="401" spans="1:29" x14ac:dyDescent="0.2">
      <c r="A401">
        <v>2019</v>
      </c>
      <c r="B401" t="s">
        <v>21</v>
      </c>
      <c r="C401" t="s">
        <v>24</v>
      </c>
      <c r="D401" t="s">
        <v>170</v>
      </c>
      <c r="E401" t="s">
        <v>122</v>
      </c>
      <c r="F401" s="4">
        <v>43756</v>
      </c>
      <c r="G401" s="5">
        <v>0.50793981481481476</v>
      </c>
      <c r="H401">
        <v>-76.71463</v>
      </c>
      <c r="I401">
        <v>3.4873783333333299</v>
      </c>
      <c r="J401">
        <v>4</v>
      </c>
      <c r="K401" t="s">
        <v>112</v>
      </c>
      <c r="M401">
        <v>1865</v>
      </c>
      <c r="N401" t="b">
        <v>1</v>
      </c>
      <c r="O401" t="b">
        <v>1</v>
      </c>
      <c r="P401">
        <v>15</v>
      </c>
      <c r="Q401">
        <v>1</v>
      </c>
      <c r="R401">
        <v>12</v>
      </c>
      <c r="T401" t="s">
        <v>167</v>
      </c>
      <c r="V401" t="s">
        <v>47</v>
      </c>
      <c r="X401">
        <v>0</v>
      </c>
      <c r="AA401" t="s">
        <v>117</v>
      </c>
      <c r="AC401" t="s">
        <v>303</v>
      </c>
    </row>
    <row r="402" spans="1:29" x14ac:dyDescent="0.2">
      <c r="A402">
        <v>2019</v>
      </c>
      <c r="B402" t="s">
        <v>21</v>
      </c>
      <c r="C402" t="s">
        <v>24</v>
      </c>
      <c r="D402" t="s">
        <v>166</v>
      </c>
      <c r="E402" t="s">
        <v>111</v>
      </c>
      <c r="F402" s="4">
        <v>43756</v>
      </c>
      <c r="G402" s="5">
        <v>0.86640046296296291</v>
      </c>
      <c r="H402">
        <v>-76.713881666666694</v>
      </c>
      <c r="I402">
        <v>3.48786166666667</v>
      </c>
      <c r="J402">
        <v>4</v>
      </c>
      <c r="M402">
        <v>1860</v>
      </c>
      <c r="N402" t="b">
        <v>1</v>
      </c>
      <c r="O402" t="b">
        <v>1</v>
      </c>
      <c r="P402">
        <v>7</v>
      </c>
      <c r="Q402">
        <v>1.7</v>
      </c>
      <c r="R402">
        <v>10</v>
      </c>
      <c r="T402" t="s">
        <v>167</v>
      </c>
      <c r="U402" t="s">
        <v>291</v>
      </c>
      <c r="V402" t="s">
        <v>47</v>
      </c>
      <c r="X402">
        <v>0</v>
      </c>
      <c r="AA402" t="s">
        <v>117</v>
      </c>
    </row>
    <row r="403" spans="1:29" x14ac:dyDescent="0.2">
      <c r="A403">
        <v>2019</v>
      </c>
      <c r="B403" t="s">
        <v>21</v>
      </c>
      <c r="C403" t="s">
        <v>22</v>
      </c>
      <c r="D403" t="s">
        <v>211</v>
      </c>
      <c r="E403" t="s">
        <v>135</v>
      </c>
      <c r="F403" s="4">
        <v>43757</v>
      </c>
      <c r="G403" s="5">
        <v>0.9340856481481481</v>
      </c>
      <c r="H403">
        <v>-76.723174999999998</v>
      </c>
      <c r="I403">
        <v>3.47983333333333</v>
      </c>
      <c r="J403">
        <v>4</v>
      </c>
      <c r="K403" t="s">
        <v>119</v>
      </c>
      <c r="L403" t="s">
        <v>253</v>
      </c>
      <c r="M403">
        <v>2100</v>
      </c>
      <c r="N403" t="b">
        <v>1</v>
      </c>
      <c r="O403" t="b">
        <v>0</v>
      </c>
      <c r="P403">
        <v>25</v>
      </c>
      <c r="R403">
        <v>10</v>
      </c>
      <c r="S403" t="s">
        <v>304</v>
      </c>
      <c r="T403" t="s">
        <v>258</v>
      </c>
      <c r="V403" t="s">
        <v>8</v>
      </c>
      <c r="X403">
        <v>1</v>
      </c>
      <c r="AA403" t="s">
        <v>117</v>
      </c>
    </row>
    <row r="404" spans="1:29" x14ac:dyDescent="0.2">
      <c r="A404">
        <v>2019</v>
      </c>
      <c r="B404" t="s">
        <v>21</v>
      </c>
      <c r="C404" t="s">
        <v>22</v>
      </c>
      <c r="D404" t="s">
        <v>163</v>
      </c>
      <c r="E404" t="s">
        <v>157</v>
      </c>
      <c r="F404" s="4">
        <v>43757</v>
      </c>
      <c r="G404" s="5">
        <v>0.93885416666666666</v>
      </c>
      <c r="H404">
        <v>-76.723216666666701</v>
      </c>
      <c r="I404">
        <v>3.4802483333333298</v>
      </c>
      <c r="J404">
        <v>4</v>
      </c>
      <c r="K404" t="s">
        <v>119</v>
      </c>
      <c r="L404" t="s">
        <v>253</v>
      </c>
      <c r="M404">
        <v>2091</v>
      </c>
      <c r="N404" t="b">
        <v>1</v>
      </c>
      <c r="O404" t="b">
        <v>0</v>
      </c>
      <c r="P404">
        <v>20</v>
      </c>
      <c r="R404">
        <v>10</v>
      </c>
      <c r="S404" t="s">
        <v>280</v>
      </c>
      <c r="T404" t="s">
        <v>258</v>
      </c>
      <c r="V404" t="s">
        <v>64</v>
      </c>
      <c r="X404">
        <v>1</v>
      </c>
      <c r="AA404" t="s">
        <v>117</v>
      </c>
    </row>
    <row r="405" spans="1:29" x14ac:dyDescent="0.2">
      <c r="A405">
        <v>2019</v>
      </c>
      <c r="B405" t="s">
        <v>21</v>
      </c>
      <c r="C405" t="s">
        <v>22</v>
      </c>
      <c r="D405" t="s">
        <v>305</v>
      </c>
      <c r="E405" t="s">
        <v>111</v>
      </c>
      <c r="F405" s="4">
        <v>43757</v>
      </c>
      <c r="G405" s="5">
        <v>0.77793981481481478</v>
      </c>
      <c r="H405">
        <v>-76.722223333333403</v>
      </c>
      <c r="I405">
        <v>3.4767450000000002</v>
      </c>
      <c r="J405">
        <v>4</v>
      </c>
      <c r="M405">
        <v>1857</v>
      </c>
      <c r="N405" t="b">
        <v>1</v>
      </c>
      <c r="O405" t="b">
        <v>0</v>
      </c>
      <c r="P405">
        <v>22</v>
      </c>
      <c r="Q405">
        <v>0</v>
      </c>
      <c r="R405">
        <v>15</v>
      </c>
      <c r="T405" t="s">
        <v>258</v>
      </c>
      <c r="V405" t="s">
        <v>47</v>
      </c>
      <c r="X405">
        <v>0</v>
      </c>
      <c r="AA405" t="s">
        <v>117</v>
      </c>
    </row>
    <row r="406" spans="1:29" x14ac:dyDescent="0.2">
      <c r="A406">
        <v>2019</v>
      </c>
      <c r="B406" t="s">
        <v>21</v>
      </c>
      <c r="C406" t="s">
        <v>22</v>
      </c>
      <c r="D406" t="s">
        <v>305</v>
      </c>
      <c r="E406" t="s">
        <v>111</v>
      </c>
      <c r="F406" s="4">
        <v>43757</v>
      </c>
      <c r="G406" s="5">
        <v>0.77793981481481478</v>
      </c>
      <c r="H406">
        <v>-76.722223333333403</v>
      </c>
      <c r="I406">
        <v>3.4767450000000002</v>
      </c>
      <c r="J406">
        <v>4</v>
      </c>
      <c r="K406" t="s">
        <v>112</v>
      </c>
      <c r="L406" t="s">
        <v>253</v>
      </c>
      <c r="M406">
        <v>1957</v>
      </c>
      <c r="N406" t="b">
        <v>1</v>
      </c>
      <c r="O406" t="b">
        <v>0</v>
      </c>
      <c r="P406">
        <v>22</v>
      </c>
      <c r="Q406">
        <v>0</v>
      </c>
      <c r="R406">
        <v>12</v>
      </c>
      <c r="S406" t="s">
        <v>251</v>
      </c>
      <c r="T406" t="s">
        <v>258</v>
      </c>
      <c r="V406" t="s">
        <v>8</v>
      </c>
      <c r="X406">
        <v>2</v>
      </c>
      <c r="AA406" t="s">
        <v>117</v>
      </c>
    </row>
    <row r="407" spans="1:29" x14ac:dyDescent="0.2">
      <c r="A407">
        <v>2019</v>
      </c>
      <c r="B407" t="s">
        <v>21</v>
      </c>
      <c r="C407" t="s">
        <v>22</v>
      </c>
      <c r="D407" t="s">
        <v>217</v>
      </c>
      <c r="E407" t="s">
        <v>122</v>
      </c>
      <c r="F407" s="4">
        <v>43757</v>
      </c>
      <c r="G407" s="5">
        <v>0.85642361111111109</v>
      </c>
      <c r="H407">
        <v>-76.722624999999994</v>
      </c>
      <c r="I407">
        <v>3.4776566666666699</v>
      </c>
      <c r="J407">
        <v>4</v>
      </c>
      <c r="K407" t="s">
        <v>112</v>
      </c>
      <c r="L407" t="s">
        <v>306</v>
      </c>
      <c r="M407">
        <v>2100</v>
      </c>
      <c r="N407" t="b">
        <v>1</v>
      </c>
      <c r="O407" t="b">
        <v>0</v>
      </c>
      <c r="P407">
        <v>20</v>
      </c>
      <c r="Q407">
        <v>0</v>
      </c>
      <c r="R407">
        <v>15</v>
      </c>
      <c r="S407" t="s">
        <v>251</v>
      </c>
      <c r="T407" t="s">
        <v>258</v>
      </c>
      <c r="V407" t="s">
        <v>2</v>
      </c>
      <c r="X407">
        <v>1</v>
      </c>
      <c r="AA407" t="s">
        <v>117</v>
      </c>
    </row>
    <row r="408" spans="1:29" x14ac:dyDescent="0.2">
      <c r="A408">
        <v>2019</v>
      </c>
      <c r="B408" t="s">
        <v>21</v>
      </c>
      <c r="C408" t="s">
        <v>22</v>
      </c>
      <c r="D408" t="s">
        <v>217</v>
      </c>
      <c r="E408" t="s">
        <v>122</v>
      </c>
      <c r="F408" s="4">
        <v>43757</v>
      </c>
      <c r="G408" s="5">
        <v>0.85642361111111109</v>
      </c>
      <c r="H408">
        <v>-76.722624999999994</v>
      </c>
      <c r="I408">
        <v>3.4776566666666699</v>
      </c>
      <c r="J408">
        <v>4</v>
      </c>
      <c r="K408" t="s">
        <v>112</v>
      </c>
      <c r="L408" t="s">
        <v>306</v>
      </c>
      <c r="M408">
        <v>2100</v>
      </c>
      <c r="N408" t="b">
        <v>1</v>
      </c>
      <c r="O408" t="b">
        <v>0</v>
      </c>
      <c r="P408">
        <v>22</v>
      </c>
      <c r="R408">
        <v>15</v>
      </c>
      <c r="S408" t="s">
        <v>251</v>
      </c>
      <c r="T408" t="s">
        <v>258</v>
      </c>
      <c r="V408" t="s">
        <v>8</v>
      </c>
      <c r="X408">
        <v>1</v>
      </c>
      <c r="AA408" t="s">
        <v>117</v>
      </c>
    </row>
    <row r="409" spans="1:29" x14ac:dyDescent="0.2">
      <c r="A409">
        <v>2019</v>
      </c>
      <c r="B409" t="s">
        <v>21</v>
      </c>
      <c r="C409" t="s">
        <v>22</v>
      </c>
      <c r="D409" t="s">
        <v>211</v>
      </c>
      <c r="E409" t="s">
        <v>135</v>
      </c>
      <c r="F409" s="4">
        <v>43757</v>
      </c>
      <c r="G409" s="5">
        <v>0.92103009259259261</v>
      </c>
      <c r="H409">
        <v>-76.722989999999996</v>
      </c>
      <c r="I409">
        <v>3.479355</v>
      </c>
      <c r="J409">
        <v>4</v>
      </c>
      <c r="K409" t="s">
        <v>119</v>
      </c>
      <c r="L409" t="s">
        <v>113</v>
      </c>
      <c r="M409">
        <v>2100</v>
      </c>
      <c r="N409" t="b">
        <v>1</v>
      </c>
      <c r="O409" t="b">
        <v>0</v>
      </c>
      <c r="P409">
        <v>25</v>
      </c>
      <c r="R409">
        <v>10</v>
      </c>
      <c r="S409" t="s">
        <v>280</v>
      </c>
      <c r="T409" t="s">
        <v>258</v>
      </c>
      <c r="V409" t="s">
        <v>8</v>
      </c>
      <c r="X409">
        <v>1</v>
      </c>
      <c r="AA409" t="s">
        <v>117</v>
      </c>
    </row>
    <row r="410" spans="1:29" x14ac:dyDescent="0.2">
      <c r="A410">
        <v>2019</v>
      </c>
      <c r="B410" t="s">
        <v>21</v>
      </c>
      <c r="C410" t="s">
        <v>22</v>
      </c>
      <c r="D410" t="s">
        <v>217</v>
      </c>
      <c r="E410" t="s">
        <v>122</v>
      </c>
      <c r="F410" s="4">
        <v>43757</v>
      </c>
      <c r="G410" s="5">
        <v>0.80666666666666664</v>
      </c>
      <c r="H410">
        <v>-76.722413333333293</v>
      </c>
      <c r="I410">
        <v>3.47718666666667</v>
      </c>
      <c r="J410">
        <v>4</v>
      </c>
      <c r="K410" t="s">
        <v>119</v>
      </c>
      <c r="L410" t="s">
        <v>113</v>
      </c>
      <c r="M410">
        <v>2140</v>
      </c>
      <c r="N410" t="b">
        <v>1</v>
      </c>
      <c r="O410" t="b">
        <v>0</v>
      </c>
      <c r="P410">
        <v>22</v>
      </c>
      <c r="Q410">
        <v>0</v>
      </c>
      <c r="R410">
        <v>10</v>
      </c>
      <c r="S410" t="s">
        <v>307</v>
      </c>
      <c r="T410" t="s">
        <v>258</v>
      </c>
      <c r="V410" t="s">
        <v>8</v>
      </c>
      <c r="X410">
        <v>1</v>
      </c>
      <c r="AA410" t="s">
        <v>117</v>
      </c>
    </row>
    <row r="411" spans="1:29" x14ac:dyDescent="0.2">
      <c r="A411">
        <v>2019</v>
      </c>
      <c r="B411" t="s">
        <v>21</v>
      </c>
      <c r="C411" t="s">
        <v>22</v>
      </c>
      <c r="D411" t="s">
        <v>217</v>
      </c>
      <c r="E411" t="s">
        <v>122</v>
      </c>
      <c r="F411" s="4">
        <v>43757</v>
      </c>
      <c r="G411" s="5">
        <v>0.85107638888888892</v>
      </c>
      <c r="H411">
        <v>-76.722521666666694</v>
      </c>
      <c r="I411">
        <v>3.4774733333333301</v>
      </c>
      <c r="J411">
        <v>4</v>
      </c>
      <c r="K411" t="s">
        <v>119</v>
      </c>
      <c r="L411" t="s">
        <v>308</v>
      </c>
      <c r="M411">
        <v>2130</v>
      </c>
      <c r="N411" t="b">
        <v>1</v>
      </c>
      <c r="O411" t="b">
        <v>0</v>
      </c>
      <c r="P411">
        <v>22</v>
      </c>
      <c r="Q411">
        <v>0</v>
      </c>
      <c r="R411">
        <v>12</v>
      </c>
      <c r="S411" t="s">
        <v>251</v>
      </c>
      <c r="T411" t="s">
        <v>258</v>
      </c>
      <c r="V411" t="s">
        <v>2</v>
      </c>
      <c r="X411">
        <v>1</v>
      </c>
      <c r="AA411" t="s">
        <v>117</v>
      </c>
    </row>
    <row r="412" spans="1:29" x14ac:dyDescent="0.2">
      <c r="A412">
        <v>2019</v>
      </c>
      <c r="B412" t="s">
        <v>21</v>
      </c>
      <c r="C412" t="s">
        <v>22</v>
      </c>
      <c r="D412" t="s">
        <v>305</v>
      </c>
      <c r="E412" t="s">
        <v>111</v>
      </c>
      <c r="F412" s="4">
        <v>43757</v>
      </c>
      <c r="G412" s="5">
        <v>0.78302083333333339</v>
      </c>
      <c r="H412">
        <v>-76.722264999999993</v>
      </c>
      <c r="I412">
        <v>3.4767683333333301</v>
      </c>
      <c r="J412">
        <v>4</v>
      </c>
      <c r="K412" t="s">
        <v>119</v>
      </c>
      <c r="L412" t="s">
        <v>113</v>
      </c>
      <c r="M412">
        <v>2123</v>
      </c>
      <c r="N412" t="b">
        <v>1</v>
      </c>
      <c r="O412" t="b">
        <v>0</v>
      </c>
      <c r="P412">
        <v>22</v>
      </c>
      <c r="Q412">
        <v>0</v>
      </c>
      <c r="R412">
        <v>12</v>
      </c>
      <c r="S412" t="s">
        <v>259</v>
      </c>
      <c r="T412" t="s">
        <v>258</v>
      </c>
      <c r="V412" t="s">
        <v>2</v>
      </c>
      <c r="X412">
        <v>1</v>
      </c>
      <c r="AA412" t="s">
        <v>117</v>
      </c>
    </row>
    <row r="413" spans="1:29" x14ac:dyDescent="0.2">
      <c r="A413">
        <v>2019</v>
      </c>
      <c r="B413" t="s">
        <v>21</v>
      </c>
      <c r="C413" t="s">
        <v>22</v>
      </c>
      <c r="D413" t="s">
        <v>214</v>
      </c>
      <c r="E413" t="s">
        <v>127</v>
      </c>
      <c r="F413" s="4">
        <v>43757</v>
      </c>
      <c r="G413" s="5">
        <v>0.90598379629629633</v>
      </c>
      <c r="H413">
        <v>-76.722826666666705</v>
      </c>
      <c r="I413">
        <v>3.4788916666666698</v>
      </c>
      <c r="J413">
        <v>4</v>
      </c>
      <c r="K413" t="s">
        <v>112</v>
      </c>
      <c r="L413" t="s">
        <v>113</v>
      </c>
      <c r="M413">
        <v>2100</v>
      </c>
      <c r="N413" t="b">
        <v>1</v>
      </c>
      <c r="O413" t="b">
        <v>0</v>
      </c>
      <c r="P413">
        <v>20</v>
      </c>
      <c r="R413">
        <v>10</v>
      </c>
      <c r="S413" t="s">
        <v>251</v>
      </c>
      <c r="T413" t="s">
        <v>258</v>
      </c>
      <c r="V413" t="s">
        <v>2</v>
      </c>
      <c r="X413">
        <v>1</v>
      </c>
      <c r="AA413" t="s">
        <v>117</v>
      </c>
    </row>
    <row r="414" spans="1:29" x14ac:dyDescent="0.2">
      <c r="A414">
        <v>2019</v>
      </c>
      <c r="B414" t="s">
        <v>21</v>
      </c>
      <c r="C414" t="s">
        <v>22</v>
      </c>
      <c r="D414" t="s">
        <v>217</v>
      </c>
      <c r="E414" t="s">
        <v>122</v>
      </c>
      <c r="F414" s="4">
        <v>43757</v>
      </c>
      <c r="G414" s="5">
        <v>0.86746527777777782</v>
      </c>
      <c r="H414">
        <v>-76.722729999999999</v>
      </c>
      <c r="I414">
        <v>3.4777999999999998</v>
      </c>
      <c r="J414">
        <v>4</v>
      </c>
      <c r="K414" t="s">
        <v>112</v>
      </c>
      <c r="L414" t="s">
        <v>227</v>
      </c>
      <c r="M414">
        <v>1989</v>
      </c>
      <c r="N414" t="b">
        <v>1</v>
      </c>
      <c r="O414" t="b">
        <v>0</v>
      </c>
      <c r="P414">
        <v>22</v>
      </c>
      <c r="R414">
        <v>15</v>
      </c>
      <c r="S414" t="s">
        <v>251</v>
      </c>
      <c r="T414" t="s">
        <v>258</v>
      </c>
      <c r="V414" t="s">
        <v>41</v>
      </c>
      <c r="X414">
        <v>1</v>
      </c>
      <c r="AA414" t="s">
        <v>117</v>
      </c>
    </row>
    <row r="415" spans="1:29" x14ac:dyDescent="0.2">
      <c r="A415">
        <v>2019</v>
      </c>
      <c r="B415" t="s">
        <v>21</v>
      </c>
      <c r="C415" t="s">
        <v>22</v>
      </c>
      <c r="D415" t="s">
        <v>217</v>
      </c>
      <c r="E415" t="s">
        <v>122</v>
      </c>
      <c r="F415" s="4">
        <v>43757</v>
      </c>
      <c r="G415" s="5">
        <v>0.86746527777777782</v>
      </c>
      <c r="H415">
        <v>-76.722729999999999</v>
      </c>
      <c r="I415">
        <v>3.4777999999999998</v>
      </c>
      <c r="J415">
        <v>4</v>
      </c>
      <c r="K415" t="s">
        <v>112</v>
      </c>
      <c r="L415" t="s">
        <v>227</v>
      </c>
      <c r="M415">
        <v>1989</v>
      </c>
      <c r="N415" t="b">
        <v>1</v>
      </c>
      <c r="O415" t="b">
        <v>0</v>
      </c>
      <c r="P415">
        <v>22</v>
      </c>
      <c r="R415">
        <v>15</v>
      </c>
      <c r="S415" t="s">
        <v>251</v>
      </c>
      <c r="T415" t="s">
        <v>258</v>
      </c>
      <c r="V415" t="s">
        <v>64</v>
      </c>
      <c r="X415">
        <v>1</v>
      </c>
      <c r="AA415" t="s">
        <v>117</v>
      </c>
    </row>
    <row r="416" spans="1:29" x14ac:dyDescent="0.2">
      <c r="A416">
        <v>2019</v>
      </c>
      <c r="B416" t="s">
        <v>21</v>
      </c>
      <c r="C416" t="s">
        <v>22</v>
      </c>
      <c r="D416" t="s">
        <v>217</v>
      </c>
      <c r="E416" t="s">
        <v>122</v>
      </c>
      <c r="F416" s="4">
        <v>43757</v>
      </c>
      <c r="G416" s="5">
        <v>0.86746527777777782</v>
      </c>
      <c r="H416">
        <v>-76.722729999999999</v>
      </c>
      <c r="I416">
        <v>3.4777999999999998</v>
      </c>
      <c r="J416">
        <v>4</v>
      </c>
      <c r="K416" t="s">
        <v>112</v>
      </c>
      <c r="L416" t="s">
        <v>227</v>
      </c>
      <c r="M416">
        <v>1989</v>
      </c>
      <c r="N416" t="b">
        <v>1</v>
      </c>
      <c r="O416" t="b">
        <v>0</v>
      </c>
      <c r="P416">
        <v>20</v>
      </c>
      <c r="R416">
        <v>15</v>
      </c>
      <c r="S416" t="s">
        <v>251</v>
      </c>
      <c r="T416" t="s">
        <v>258</v>
      </c>
      <c r="V416" t="s">
        <v>8</v>
      </c>
      <c r="X416">
        <v>2</v>
      </c>
      <c r="AA416" t="s">
        <v>117</v>
      </c>
    </row>
    <row r="417" spans="1:27" x14ac:dyDescent="0.2">
      <c r="A417">
        <v>2019</v>
      </c>
      <c r="B417" t="s">
        <v>21</v>
      </c>
      <c r="C417" t="s">
        <v>22</v>
      </c>
      <c r="D417" t="s">
        <v>211</v>
      </c>
      <c r="E417" t="s">
        <v>135</v>
      </c>
      <c r="F417" s="4">
        <v>43757</v>
      </c>
      <c r="G417" s="5">
        <v>0.92415509259259254</v>
      </c>
      <c r="H417">
        <v>-76.723058333333299</v>
      </c>
      <c r="I417">
        <v>3.4794366666666701</v>
      </c>
      <c r="J417">
        <v>4</v>
      </c>
      <c r="K417" t="s">
        <v>119</v>
      </c>
      <c r="L417" t="s">
        <v>227</v>
      </c>
      <c r="M417">
        <v>2100</v>
      </c>
      <c r="N417" t="b">
        <v>1</v>
      </c>
      <c r="O417" t="b">
        <v>0</v>
      </c>
      <c r="P417">
        <v>25</v>
      </c>
      <c r="Q417">
        <v>0</v>
      </c>
      <c r="R417">
        <v>10</v>
      </c>
      <c r="S417" t="s">
        <v>304</v>
      </c>
      <c r="T417" t="s">
        <v>258</v>
      </c>
      <c r="V417" t="s">
        <v>8</v>
      </c>
      <c r="X417">
        <v>1</v>
      </c>
      <c r="AA417" t="s">
        <v>117</v>
      </c>
    </row>
    <row r="418" spans="1:27" x14ac:dyDescent="0.2">
      <c r="A418">
        <v>2019</v>
      </c>
      <c r="B418" t="s">
        <v>21</v>
      </c>
      <c r="C418" t="s">
        <v>22</v>
      </c>
      <c r="D418" t="s">
        <v>305</v>
      </c>
      <c r="E418" t="s">
        <v>111</v>
      </c>
      <c r="F418" s="4">
        <v>43757</v>
      </c>
      <c r="G418" s="5">
        <v>0.79515046296296299</v>
      </c>
      <c r="H418">
        <v>-76.722438333333301</v>
      </c>
      <c r="I418">
        <v>3.4769899999999998</v>
      </c>
      <c r="J418">
        <v>4</v>
      </c>
      <c r="K418" t="s">
        <v>119</v>
      </c>
      <c r="L418" t="s">
        <v>308</v>
      </c>
      <c r="M418">
        <v>2137</v>
      </c>
      <c r="N418" t="b">
        <v>1</v>
      </c>
      <c r="O418" t="b">
        <v>0</v>
      </c>
      <c r="P418">
        <v>20</v>
      </c>
      <c r="Q418">
        <v>0</v>
      </c>
      <c r="R418">
        <v>8</v>
      </c>
      <c r="S418" t="s">
        <v>307</v>
      </c>
      <c r="T418" t="s">
        <v>258</v>
      </c>
      <c r="V418" t="s">
        <v>2</v>
      </c>
      <c r="X418">
        <v>1</v>
      </c>
      <c r="AA418" t="s">
        <v>117</v>
      </c>
    </row>
    <row r="419" spans="1:27" x14ac:dyDescent="0.2">
      <c r="A419">
        <v>2019</v>
      </c>
      <c r="B419" t="s">
        <v>21</v>
      </c>
      <c r="C419" t="s">
        <v>22</v>
      </c>
      <c r="D419" t="s">
        <v>211</v>
      </c>
      <c r="E419" t="s">
        <v>135</v>
      </c>
      <c r="F419" s="4">
        <v>43757</v>
      </c>
      <c r="G419" s="5">
        <v>0.92914351851851851</v>
      </c>
      <c r="H419">
        <v>-76.723025000000007</v>
      </c>
      <c r="I419">
        <v>3.4795516666666702</v>
      </c>
      <c r="J419">
        <v>4</v>
      </c>
      <c r="K419" t="s">
        <v>112</v>
      </c>
      <c r="L419" t="s">
        <v>253</v>
      </c>
      <c r="M419">
        <v>2100</v>
      </c>
      <c r="N419" t="b">
        <v>1</v>
      </c>
      <c r="O419" t="b">
        <v>0</v>
      </c>
      <c r="P419">
        <v>22</v>
      </c>
      <c r="R419">
        <v>10</v>
      </c>
      <c r="S419" t="s">
        <v>309</v>
      </c>
      <c r="T419" t="s">
        <v>258</v>
      </c>
      <c r="V419" t="s">
        <v>41</v>
      </c>
      <c r="X419">
        <v>1</v>
      </c>
      <c r="AA419" t="s">
        <v>117</v>
      </c>
    </row>
    <row r="420" spans="1:27" x14ac:dyDescent="0.2">
      <c r="A420">
        <v>2019</v>
      </c>
      <c r="B420" t="s">
        <v>21</v>
      </c>
      <c r="C420" t="s">
        <v>22</v>
      </c>
      <c r="D420" t="s">
        <v>214</v>
      </c>
      <c r="E420" t="s">
        <v>127</v>
      </c>
      <c r="F420" s="4">
        <v>43757</v>
      </c>
      <c r="G420" s="5">
        <v>0.87820601851851854</v>
      </c>
      <c r="H420">
        <v>-76.722781666666705</v>
      </c>
      <c r="I420">
        <v>3.4779900000000001</v>
      </c>
      <c r="J420">
        <v>4</v>
      </c>
      <c r="K420" t="s">
        <v>119</v>
      </c>
      <c r="L420" t="s">
        <v>113</v>
      </c>
      <c r="M420">
        <v>2120</v>
      </c>
      <c r="N420" t="b">
        <v>1</v>
      </c>
      <c r="O420" t="b">
        <v>0</v>
      </c>
      <c r="P420">
        <v>25</v>
      </c>
      <c r="R420">
        <v>17</v>
      </c>
      <c r="S420" t="s">
        <v>251</v>
      </c>
      <c r="T420" t="s">
        <v>258</v>
      </c>
      <c r="V420" t="s">
        <v>8</v>
      </c>
      <c r="X420">
        <v>1</v>
      </c>
      <c r="AA420" t="s">
        <v>117</v>
      </c>
    </row>
    <row r="421" spans="1:27" x14ac:dyDescent="0.2">
      <c r="A421">
        <v>2019</v>
      </c>
      <c r="B421" t="s">
        <v>21</v>
      </c>
      <c r="C421" t="s">
        <v>22</v>
      </c>
      <c r="D421" t="s">
        <v>305</v>
      </c>
      <c r="E421" t="s">
        <v>111</v>
      </c>
      <c r="F421" s="4">
        <v>43757</v>
      </c>
      <c r="G421" s="5">
        <v>0.78539351851851846</v>
      </c>
      <c r="H421">
        <v>-76.722313333333403</v>
      </c>
      <c r="I421">
        <v>3.4768583333333298</v>
      </c>
      <c r="J421">
        <v>4</v>
      </c>
      <c r="K421" t="s">
        <v>112</v>
      </c>
      <c r="L421" t="s">
        <v>253</v>
      </c>
      <c r="M421">
        <v>2123</v>
      </c>
      <c r="N421" t="b">
        <v>1</v>
      </c>
      <c r="O421" t="b">
        <v>0</v>
      </c>
      <c r="P421">
        <v>23</v>
      </c>
      <c r="Q421">
        <v>0</v>
      </c>
      <c r="R421">
        <v>15</v>
      </c>
      <c r="S421" t="s">
        <v>259</v>
      </c>
      <c r="T421" t="s">
        <v>258</v>
      </c>
      <c r="V421" t="s">
        <v>8</v>
      </c>
      <c r="X421">
        <v>1</v>
      </c>
      <c r="AA421" t="s">
        <v>117</v>
      </c>
    </row>
    <row r="422" spans="1:27" x14ac:dyDescent="0.2">
      <c r="A422">
        <v>2019</v>
      </c>
      <c r="B422" t="s">
        <v>21</v>
      </c>
      <c r="C422" t="s">
        <v>22</v>
      </c>
      <c r="D422" t="s">
        <v>217</v>
      </c>
      <c r="E422" t="s">
        <v>122</v>
      </c>
      <c r="F422" s="4">
        <v>43757</v>
      </c>
      <c r="G422" s="5">
        <v>0.83648148148148149</v>
      </c>
      <c r="H422">
        <v>-76.722461666666703</v>
      </c>
      <c r="I422">
        <v>3.4773049999999999</v>
      </c>
      <c r="J422">
        <v>4</v>
      </c>
      <c r="K422" t="s">
        <v>119</v>
      </c>
      <c r="L422" t="s">
        <v>253</v>
      </c>
      <c r="M422">
        <v>2140</v>
      </c>
      <c r="N422" t="b">
        <v>1</v>
      </c>
      <c r="O422" t="b">
        <v>0</v>
      </c>
      <c r="P422">
        <v>25</v>
      </c>
      <c r="Q422">
        <v>0</v>
      </c>
      <c r="R422">
        <v>12</v>
      </c>
      <c r="S422" t="s">
        <v>259</v>
      </c>
      <c r="T422" t="s">
        <v>258</v>
      </c>
      <c r="V422" t="s">
        <v>41</v>
      </c>
      <c r="X422">
        <v>1</v>
      </c>
      <c r="AA422" t="s">
        <v>117</v>
      </c>
    </row>
    <row r="423" spans="1:27" x14ac:dyDescent="0.2">
      <c r="A423">
        <v>2019</v>
      </c>
      <c r="B423" t="s">
        <v>21</v>
      </c>
      <c r="C423" t="s">
        <v>22</v>
      </c>
      <c r="D423" t="s">
        <v>217</v>
      </c>
      <c r="E423" t="s">
        <v>122</v>
      </c>
      <c r="F423" s="4">
        <v>43757</v>
      </c>
      <c r="G423" s="5">
        <v>0.83648148148148149</v>
      </c>
      <c r="H423">
        <v>-76.722461666666703</v>
      </c>
      <c r="I423">
        <v>3.4773049999999999</v>
      </c>
      <c r="J423">
        <v>4</v>
      </c>
      <c r="K423" t="s">
        <v>119</v>
      </c>
      <c r="L423" t="s">
        <v>253</v>
      </c>
      <c r="M423">
        <v>2140</v>
      </c>
      <c r="N423" t="b">
        <v>1</v>
      </c>
      <c r="O423" t="b">
        <v>0</v>
      </c>
      <c r="P423">
        <v>25</v>
      </c>
      <c r="Q423">
        <v>0</v>
      </c>
      <c r="R423">
        <v>12</v>
      </c>
      <c r="S423" t="s">
        <v>259</v>
      </c>
      <c r="T423" t="s">
        <v>258</v>
      </c>
      <c r="V423" t="s">
        <v>2</v>
      </c>
      <c r="X423">
        <v>1</v>
      </c>
      <c r="AA423" t="s">
        <v>117</v>
      </c>
    </row>
    <row r="424" spans="1:27" x14ac:dyDescent="0.2">
      <c r="A424">
        <v>2019</v>
      </c>
      <c r="B424" t="s">
        <v>21</v>
      </c>
      <c r="C424" t="s">
        <v>22</v>
      </c>
      <c r="D424" t="s">
        <v>217</v>
      </c>
      <c r="E424" t="s">
        <v>122</v>
      </c>
      <c r="F424" s="4">
        <v>43757</v>
      </c>
      <c r="G424" s="5">
        <v>0.87049768518518522</v>
      </c>
      <c r="H424">
        <v>-76.722743333333298</v>
      </c>
      <c r="I424">
        <v>3.4778099999999998</v>
      </c>
      <c r="J424">
        <v>4</v>
      </c>
      <c r="K424" t="s">
        <v>112</v>
      </c>
      <c r="L424" t="s">
        <v>253</v>
      </c>
      <c r="M424">
        <v>1980</v>
      </c>
      <c r="N424" t="b">
        <v>1</v>
      </c>
      <c r="O424" t="b">
        <v>0</v>
      </c>
      <c r="P424">
        <v>25</v>
      </c>
      <c r="Q424">
        <v>0</v>
      </c>
      <c r="R424">
        <v>12</v>
      </c>
      <c r="S424" t="s">
        <v>251</v>
      </c>
      <c r="T424" t="s">
        <v>258</v>
      </c>
      <c r="V424" t="s">
        <v>64</v>
      </c>
      <c r="X424">
        <v>1</v>
      </c>
      <c r="AA424" t="s">
        <v>117</v>
      </c>
    </row>
    <row r="425" spans="1:27" x14ac:dyDescent="0.2">
      <c r="A425">
        <v>2019</v>
      </c>
      <c r="B425" t="s">
        <v>21</v>
      </c>
      <c r="C425" t="s">
        <v>22</v>
      </c>
      <c r="D425" t="s">
        <v>214</v>
      </c>
      <c r="E425" t="s">
        <v>127</v>
      </c>
      <c r="F425" s="4">
        <v>43757</v>
      </c>
      <c r="G425" s="5">
        <v>0.89236111111111116</v>
      </c>
      <c r="H425">
        <v>-76.722858333333306</v>
      </c>
      <c r="I425">
        <v>3.4784449999999998</v>
      </c>
      <c r="J425">
        <v>4</v>
      </c>
      <c r="K425" t="s">
        <v>112</v>
      </c>
      <c r="L425" t="s">
        <v>310</v>
      </c>
      <c r="M425">
        <v>2100</v>
      </c>
      <c r="N425" t="b">
        <v>1</v>
      </c>
      <c r="O425" t="b">
        <v>0</v>
      </c>
      <c r="P425">
        <v>25</v>
      </c>
      <c r="R425">
        <v>16</v>
      </c>
      <c r="S425" t="s">
        <v>251</v>
      </c>
      <c r="T425" t="s">
        <v>258</v>
      </c>
      <c r="V425" t="s">
        <v>2</v>
      </c>
      <c r="X425">
        <v>1</v>
      </c>
      <c r="AA425" t="s">
        <v>117</v>
      </c>
    </row>
    <row r="426" spans="1:27" x14ac:dyDescent="0.2">
      <c r="A426">
        <v>2019</v>
      </c>
      <c r="B426" t="s">
        <v>21</v>
      </c>
      <c r="C426" t="s">
        <v>22</v>
      </c>
      <c r="D426" t="s">
        <v>217</v>
      </c>
      <c r="E426" t="s">
        <v>122</v>
      </c>
      <c r="F426" s="4">
        <v>43757</v>
      </c>
      <c r="G426" s="5">
        <v>0.86186342592592591</v>
      </c>
      <c r="H426">
        <v>-76.722650000000002</v>
      </c>
      <c r="I426">
        <v>3.47770166666667</v>
      </c>
      <c r="J426">
        <v>4</v>
      </c>
      <c r="K426" t="s">
        <v>119</v>
      </c>
      <c r="L426" t="s">
        <v>113</v>
      </c>
      <c r="M426">
        <v>1999</v>
      </c>
      <c r="N426" t="b">
        <v>1</v>
      </c>
      <c r="O426" t="b">
        <v>0</v>
      </c>
      <c r="P426">
        <v>22</v>
      </c>
      <c r="R426">
        <v>15</v>
      </c>
      <c r="S426" t="s">
        <v>251</v>
      </c>
      <c r="T426" t="s">
        <v>258</v>
      </c>
      <c r="V426" t="s">
        <v>8</v>
      </c>
      <c r="X426">
        <v>1</v>
      </c>
      <c r="AA426" t="s">
        <v>117</v>
      </c>
    </row>
    <row r="427" spans="1:27" x14ac:dyDescent="0.2">
      <c r="A427">
        <v>2019</v>
      </c>
      <c r="B427" t="s">
        <v>21</v>
      </c>
      <c r="C427" t="s">
        <v>22</v>
      </c>
      <c r="D427" t="s">
        <v>217</v>
      </c>
      <c r="E427" t="s">
        <v>122</v>
      </c>
      <c r="F427" s="4">
        <v>43757</v>
      </c>
      <c r="G427" s="5">
        <v>0.87156250000000002</v>
      </c>
      <c r="H427">
        <v>-76.722753333333301</v>
      </c>
      <c r="I427">
        <v>3.4778483333333301</v>
      </c>
      <c r="J427">
        <v>4</v>
      </c>
      <c r="K427" t="s">
        <v>112</v>
      </c>
      <c r="L427" t="s">
        <v>253</v>
      </c>
      <c r="M427">
        <v>1980</v>
      </c>
      <c r="N427" t="b">
        <v>1</v>
      </c>
      <c r="O427" t="b">
        <v>0</v>
      </c>
      <c r="P427">
        <v>22</v>
      </c>
      <c r="R427">
        <v>12</v>
      </c>
      <c r="S427" t="s">
        <v>251</v>
      </c>
      <c r="T427" t="s">
        <v>258</v>
      </c>
      <c r="V427" t="s">
        <v>62</v>
      </c>
      <c r="X427">
        <v>1</v>
      </c>
      <c r="AA427" t="s">
        <v>117</v>
      </c>
    </row>
    <row r="428" spans="1:27" x14ac:dyDescent="0.2">
      <c r="A428">
        <v>2019</v>
      </c>
      <c r="B428" t="s">
        <v>21</v>
      </c>
      <c r="C428" t="s">
        <v>22</v>
      </c>
      <c r="D428" t="s">
        <v>214</v>
      </c>
      <c r="E428" t="s">
        <v>127</v>
      </c>
      <c r="F428" s="4">
        <v>43757</v>
      </c>
      <c r="G428" s="5">
        <v>0.89445601851851853</v>
      </c>
      <c r="H428">
        <v>-76.722774999999999</v>
      </c>
      <c r="I428">
        <v>3.4785300000000001</v>
      </c>
      <c r="J428">
        <v>4</v>
      </c>
      <c r="K428" t="s">
        <v>112</v>
      </c>
      <c r="L428" t="s">
        <v>253</v>
      </c>
      <c r="M428">
        <v>2100</v>
      </c>
      <c r="N428" t="b">
        <v>1</v>
      </c>
      <c r="O428" t="b">
        <v>0</v>
      </c>
      <c r="P428">
        <v>25</v>
      </c>
      <c r="R428">
        <v>15</v>
      </c>
      <c r="S428" t="s">
        <v>251</v>
      </c>
      <c r="T428" t="s">
        <v>258</v>
      </c>
      <c r="V428" t="s">
        <v>73</v>
      </c>
      <c r="X428">
        <v>1</v>
      </c>
      <c r="AA428" t="s">
        <v>117</v>
      </c>
    </row>
    <row r="429" spans="1:27" x14ac:dyDescent="0.2">
      <c r="A429">
        <v>2019</v>
      </c>
      <c r="B429" t="s">
        <v>21</v>
      </c>
      <c r="C429" t="s">
        <v>22</v>
      </c>
      <c r="D429" t="s">
        <v>214</v>
      </c>
      <c r="E429" t="s">
        <v>127</v>
      </c>
      <c r="F429" s="4">
        <v>43757</v>
      </c>
      <c r="G429" s="5">
        <v>0.88741898148148146</v>
      </c>
      <c r="H429">
        <v>-76.722776666666704</v>
      </c>
      <c r="I429">
        <v>3.4783033333333302</v>
      </c>
      <c r="J429">
        <v>4</v>
      </c>
      <c r="K429" t="s">
        <v>119</v>
      </c>
      <c r="L429" t="s">
        <v>113</v>
      </c>
      <c r="M429">
        <v>2100</v>
      </c>
      <c r="N429" t="b">
        <v>1</v>
      </c>
      <c r="O429" t="b">
        <v>0</v>
      </c>
      <c r="P429">
        <v>22</v>
      </c>
      <c r="R429">
        <v>15</v>
      </c>
      <c r="S429" t="s">
        <v>280</v>
      </c>
      <c r="T429" t="s">
        <v>258</v>
      </c>
      <c r="V429" t="s">
        <v>8</v>
      </c>
      <c r="X429">
        <v>1</v>
      </c>
      <c r="AA429" t="s">
        <v>117</v>
      </c>
    </row>
    <row r="430" spans="1:27" x14ac:dyDescent="0.2">
      <c r="A430">
        <v>2019</v>
      </c>
      <c r="B430" t="s">
        <v>21</v>
      </c>
      <c r="C430" t="s">
        <v>22</v>
      </c>
      <c r="D430" t="s">
        <v>217</v>
      </c>
      <c r="E430" t="s">
        <v>122</v>
      </c>
      <c r="F430" s="4">
        <v>43757</v>
      </c>
      <c r="G430" s="5">
        <v>0.86311342592592588</v>
      </c>
      <c r="H430">
        <v>-76.722716666666699</v>
      </c>
      <c r="I430">
        <v>3.4777233333333299</v>
      </c>
      <c r="J430">
        <v>4</v>
      </c>
      <c r="K430" t="s">
        <v>119</v>
      </c>
      <c r="L430" t="s">
        <v>306</v>
      </c>
      <c r="M430">
        <v>1997</v>
      </c>
      <c r="N430" t="b">
        <v>1</v>
      </c>
      <c r="O430" t="b">
        <v>0</v>
      </c>
      <c r="P430">
        <v>20</v>
      </c>
      <c r="R430">
        <v>15</v>
      </c>
      <c r="S430" t="s">
        <v>251</v>
      </c>
      <c r="T430" t="s">
        <v>258</v>
      </c>
      <c r="V430" t="s">
        <v>64</v>
      </c>
      <c r="X430">
        <v>1</v>
      </c>
      <c r="AA430" t="s">
        <v>117</v>
      </c>
    </row>
    <row r="431" spans="1:27" x14ac:dyDescent="0.2">
      <c r="A431">
        <v>2019</v>
      </c>
      <c r="B431" t="s">
        <v>21</v>
      </c>
      <c r="C431" t="s">
        <v>22</v>
      </c>
      <c r="D431" t="s">
        <v>214</v>
      </c>
      <c r="E431" t="s">
        <v>127</v>
      </c>
      <c r="F431" s="4">
        <v>43757</v>
      </c>
      <c r="G431" s="5">
        <v>0.90437500000000004</v>
      </c>
      <c r="H431">
        <v>-76.722846666666598</v>
      </c>
      <c r="I431">
        <v>3.4788666666666699</v>
      </c>
      <c r="J431">
        <v>4</v>
      </c>
      <c r="K431" t="s">
        <v>112</v>
      </c>
      <c r="L431" t="s">
        <v>253</v>
      </c>
      <c r="M431">
        <v>2100</v>
      </c>
      <c r="N431" t="b">
        <v>1</v>
      </c>
      <c r="O431" t="b">
        <v>0</v>
      </c>
      <c r="P431">
        <v>22</v>
      </c>
      <c r="R431">
        <v>12</v>
      </c>
      <c r="S431" t="s">
        <v>251</v>
      </c>
      <c r="T431" t="s">
        <v>258</v>
      </c>
      <c r="V431" t="s">
        <v>8</v>
      </c>
      <c r="X431">
        <v>2</v>
      </c>
      <c r="AA431" t="s">
        <v>117</v>
      </c>
    </row>
    <row r="432" spans="1:27" x14ac:dyDescent="0.2">
      <c r="A432">
        <v>2019</v>
      </c>
      <c r="B432" t="s">
        <v>21</v>
      </c>
      <c r="C432" t="s">
        <v>22</v>
      </c>
      <c r="D432" t="s">
        <v>211</v>
      </c>
      <c r="E432" t="s">
        <v>135</v>
      </c>
      <c r="F432" s="4">
        <v>43757</v>
      </c>
      <c r="G432" s="5">
        <v>0.9264930555555555</v>
      </c>
      <c r="H432">
        <v>-76.7230633333333</v>
      </c>
      <c r="I432">
        <v>3.4795766666666701</v>
      </c>
      <c r="J432">
        <v>4</v>
      </c>
      <c r="K432" t="s">
        <v>112</v>
      </c>
      <c r="L432" t="s">
        <v>195</v>
      </c>
      <c r="M432">
        <v>2100</v>
      </c>
      <c r="N432" t="b">
        <v>1</v>
      </c>
      <c r="O432" t="b">
        <v>0</v>
      </c>
      <c r="P432">
        <v>20</v>
      </c>
      <c r="R432">
        <v>10</v>
      </c>
      <c r="S432" t="s">
        <v>251</v>
      </c>
      <c r="T432" t="s">
        <v>258</v>
      </c>
      <c r="V432" t="s">
        <v>64</v>
      </c>
      <c r="X432">
        <v>1</v>
      </c>
      <c r="AA432" t="s">
        <v>117</v>
      </c>
    </row>
    <row r="433" spans="1:27" x14ac:dyDescent="0.2">
      <c r="A433">
        <v>2019</v>
      </c>
      <c r="B433" t="s">
        <v>21</v>
      </c>
      <c r="C433" t="s">
        <v>22</v>
      </c>
      <c r="D433" t="s">
        <v>211</v>
      </c>
      <c r="E433" t="s">
        <v>135</v>
      </c>
      <c r="F433" s="4">
        <v>43757</v>
      </c>
      <c r="G433" s="5">
        <v>0.9264930555555555</v>
      </c>
      <c r="H433">
        <v>-76.7230633333333</v>
      </c>
      <c r="I433">
        <v>3.4795766666666701</v>
      </c>
      <c r="J433">
        <v>4</v>
      </c>
      <c r="K433" t="s">
        <v>119</v>
      </c>
      <c r="L433" t="s">
        <v>113</v>
      </c>
      <c r="M433">
        <v>2100</v>
      </c>
      <c r="N433" t="b">
        <v>1</v>
      </c>
      <c r="O433" t="b">
        <v>0</v>
      </c>
      <c r="P433">
        <v>20</v>
      </c>
      <c r="R433">
        <v>10</v>
      </c>
      <c r="S433" t="s">
        <v>251</v>
      </c>
      <c r="T433" t="s">
        <v>258</v>
      </c>
      <c r="V433" t="s">
        <v>41</v>
      </c>
      <c r="X433">
        <v>1</v>
      </c>
      <c r="AA433" t="s">
        <v>117</v>
      </c>
    </row>
    <row r="434" spans="1:27" x14ac:dyDescent="0.2">
      <c r="A434">
        <v>2019</v>
      </c>
      <c r="B434" t="s">
        <v>21</v>
      </c>
      <c r="C434" t="s">
        <v>22</v>
      </c>
      <c r="D434" t="s">
        <v>217</v>
      </c>
      <c r="E434" t="s">
        <v>122</v>
      </c>
      <c r="F434" s="4">
        <v>43757</v>
      </c>
      <c r="G434" s="5">
        <v>0.86576388888888889</v>
      </c>
      <c r="H434">
        <v>-76.722668333333303</v>
      </c>
      <c r="I434">
        <v>3.4777749999999998</v>
      </c>
      <c r="J434">
        <v>4</v>
      </c>
      <c r="K434" t="s">
        <v>119</v>
      </c>
      <c r="L434" t="s">
        <v>306</v>
      </c>
      <c r="M434">
        <v>1989</v>
      </c>
      <c r="N434" t="b">
        <v>1</v>
      </c>
      <c r="O434" t="b">
        <v>0</v>
      </c>
      <c r="P434">
        <v>25</v>
      </c>
      <c r="R434">
        <v>15</v>
      </c>
      <c r="S434" t="s">
        <v>309</v>
      </c>
      <c r="T434" t="s">
        <v>258</v>
      </c>
      <c r="V434" t="s">
        <v>65</v>
      </c>
      <c r="X434">
        <v>1</v>
      </c>
      <c r="AA434" t="s">
        <v>117</v>
      </c>
    </row>
    <row r="435" spans="1:27" x14ac:dyDescent="0.2">
      <c r="A435">
        <v>2019</v>
      </c>
      <c r="B435" t="s">
        <v>21</v>
      </c>
      <c r="C435" t="s">
        <v>22</v>
      </c>
      <c r="D435" t="s">
        <v>214</v>
      </c>
      <c r="E435" t="s">
        <v>127</v>
      </c>
      <c r="F435" s="4">
        <v>43757</v>
      </c>
      <c r="G435" s="5">
        <v>0.90001157407407406</v>
      </c>
      <c r="H435">
        <v>-76.722880000000004</v>
      </c>
      <c r="I435">
        <v>3.47874666666667</v>
      </c>
      <c r="J435">
        <v>4</v>
      </c>
      <c r="K435" t="s">
        <v>119</v>
      </c>
      <c r="L435" t="s">
        <v>113</v>
      </c>
      <c r="M435">
        <v>2100</v>
      </c>
      <c r="N435" t="b">
        <v>1</v>
      </c>
      <c r="O435" t="b">
        <v>0</v>
      </c>
      <c r="P435">
        <v>25</v>
      </c>
      <c r="R435">
        <v>12</v>
      </c>
      <c r="S435" t="s">
        <v>309</v>
      </c>
      <c r="T435" t="s">
        <v>258</v>
      </c>
      <c r="V435" t="s">
        <v>64</v>
      </c>
      <c r="X435">
        <v>1</v>
      </c>
      <c r="AA435" t="s">
        <v>117</v>
      </c>
    </row>
    <row r="436" spans="1:27" x14ac:dyDescent="0.2">
      <c r="A436">
        <v>2019</v>
      </c>
      <c r="B436" t="s">
        <v>21</v>
      </c>
      <c r="C436" t="s">
        <v>22</v>
      </c>
      <c r="D436" t="s">
        <v>214</v>
      </c>
      <c r="E436" t="s">
        <v>127</v>
      </c>
      <c r="F436" s="4">
        <v>43757</v>
      </c>
      <c r="G436" s="5">
        <v>0.90001157407407406</v>
      </c>
      <c r="H436">
        <v>-76.722880000000004</v>
      </c>
      <c r="I436">
        <v>3.47874666666667</v>
      </c>
      <c r="J436">
        <v>4</v>
      </c>
      <c r="K436" t="s">
        <v>119</v>
      </c>
      <c r="L436" t="s">
        <v>113</v>
      </c>
      <c r="M436">
        <v>2100</v>
      </c>
      <c r="N436" t="b">
        <v>1</v>
      </c>
      <c r="O436" t="b">
        <v>0</v>
      </c>
      <c r="P436">
        <v>22</v>
      </c>
      <c r="R436">
        <v>12</v>
      </c>
      <c r="S436" t="s">
        <v>311</v>
      </c>
      <c r="T436" t="s">
        <v>258</v>
      </c>
      <c r="V436" t="s">
        <v>8</v>
      </c>
      <c r="X436">
        <v>1</v>
      </c>
      <c r="AA436" t="s">
        <v>117</v>
      </c>
    </row>
    <row r="437" spans="1:27" x14ac:dyDescent="0.2">
      <c r="A437">
        <v>2019</v>
      </c>
      <c r="B437" t="s">
        <v>21</v>
      </c>
      <c r="C437" t="s">
        <v>22</v>
      </c>
      <c r="D437" t="s">
        <v>214</v>
      </c>
      <c r="E437" t="s">
        <v>127</v>
      </c>
      <c r="F437" s="4">
        <v>43757</v>
      </c>
      <c r="G437" s="5">
        <v>0.88254629629629633</v>
      </c>
      <c r="H437">
        <v>-76.722750000000005</v>
      </c>
      <c r="I437">
        <v>3.4780783333333298</v>
      </c>
      <c r="J437">
        <v>4</v>
      </c>
      <c r="K437" t="s">
        <v>112</v>
      </c>
      <c r="L437" t="s">
        <v>195</v>
      </c>
      <c r="M437">
        <v>2100</v>
      </c>
      <c r="N437" t="b">
        <v>1</v>
      </c>
      <c r="O437" t="b">
        <v>0</v>
      </c>
      <c r="P437">
        <v>25</v>
      </c>
      <c r="R437">
        <v>15</v>
      </c>
      <c r="S437" t="s">
        <v>312</v>
      </c>
      <c r="T437" t="s">
        <v>258</v>
      </c>
      <c r="V437" t="s">
        <v>73</v>
      </c>
      <c r="X437">
        <v>1</v>
      </c>
      <c r="AA437" t="s">
        <v>117</v>
      </c>
    </row>
    <row r="438" spans="1:27" x14ac:dyDescent="0.2">
      <c r="A438">
        <v>2019</v>
      </c>
      <c r="B438" t="s">
        <v>21</v>
      </c>
      <c r="C438" t="s">
        <v>22</v>
      </c>
      <c r="D438" t="s">
        <v>217</v>
      </c>
      <c r="E438" t="s">
        <v>122</v>
      </c>
      <c r="F438" s="4">
        <v>43757</v>
      </c>
      <c r="G438" s="5">
        <v>0.86020833333333335</v>
      </c>
      <c r="H438">
        <v>-76.722691666666705</v>
      </c>
      <c r="I438">
        <v>3.4777316666666702</v>
      </c>
      <c r="J438">
        <v>4</v>
      </c>
      <c r="K438" t="s">
        <v>112</v>
      </c>
      <c r="L438" t="s">
        <v>253</v>
      </c>
      <c r="M438">
        <v>2005</v>
      </c>
      <c r="N438" t="b">
        <v>1</v>
      </c>
      <c r="O438" t="b">
        <v>0</v>
      </c>
      <c r="P438">
        <v>20</v>
      </c>
      <c r="R438">
        <v>12</v>
      </c>
      <c r="S438" t="s">
        <v>251</v>
      </c>
      <c r="T438" t="s">
        <v>258</v>
      </c>
      <c r="V438" t="s">
        <v>64</v>
      </c>
      <c r="X438">
        <v>1</v>
      </c>
      <c r="AA438" t="s">
        <v>117</v>
      </c>
    </row>
    <row r="439" spans="1:27" x14ac:dyDescent="0.2">
      <c r="A439">
        <v>2019</v>
      </c>
      <c r="B439" t="s">
        <v>21</v>
      </c>
      <c r="C439" t="s">
        <v>22</v>
      </c>
      <c r="D439" t="s">
        <v>214</v>
      </c>
      <c r="E439" t="s">
        <v>127</v>
      </c>
      <c r="F439" s="4">
        <v>43757</v>
      </c>
      <c r="G439" s="5">
        <v>0.90959490740740745</v>
      </c>
      <c r="H439">
        <v>-76.722971666666695</v>
      </c>
      <c r="I439">
        <v>3.4790000000000001</v>
      </c>
      <c r="J439">
        <v>4</v>
      </c>
      <c r="K439" t="s">
        <v>112</v>
      </c>
      <c r="L439" t="s">
        <v>253</v>
      </c>
      <c r="M439">
        <v>2100</v>
      </c>
      <c r="N439" t="b">
        <v>1</v>
      </c>
      <c r="O439" t="b">
        <v>0</v>
      </c>
      <c r="P439">
        <v>22</v>
      </c>
      <c r="R439">
        <v>12</v>
      </c>
      <c r="S439" t="s">
        <v>313</v>
      </c>
      <c r="T439" t="s">
        <v>258</v>
      </c>
      <c r="V439" t="s">
        <v>41</v>
      </c>
      <c r="X439">
        <v>1</v>
      </c>
      <c r="AA439" t="s">
        <v>117</v>
      </c>
    </row>
    <row r="440" spans="1:27" x14ac:dyDescent="0.2">
      <c r="A440">
        <v>2019</v>
      </c>
      <c r="B440" t="s">
        <v>21</v>
      </c>
      <c r="C440" t="s">
        <v>22</v>
      </c>
      <c r="D440" t="s">
        <v>214</v>
      </c>
      <c r="E440" t="s">
        <v>127</v>
      </c>
      <c r="F440" s="4">
        <v>43757</v>
      </c>
      <c r="G440" s="5">
        <v>0.88997685185185182</v>
      </c>
      <c r="H440">
        <v>-76.722858333333306</v>
      </c>
      <c r="I440">
        <v>3.47841666666667</v>
      </c>
      <c r="J440">
        <v>4</v>
      </c>
      <c r="K440" t="s">
        <v>119</v>
      </c>
      <c r="L440" t="s">
        <v>253</v>
      </c>
      <c r="M440">
        <v>2100</v>
      </c>
      <c r="N440" t="b">
        <v>1</v>
      </c>
      <c r="O440" t="b">
        <v>0</v>
      </c>
      <c r="P440">
        <v>25</v>
      </c>
      <c r="R440">
        <v>15</v>
      </c>
      <c r="S440" t="s">
        <v>251</v>
      </c>
      <c r="T440" t="s">
        <v>258</v>
      </c>
      <c r="V440" t="s">
        <v>8</v>
      </c>
      <c r="X440">
        <v>1</v>
      </c>
      <c r="AA440" t="s">
        <v>117</v>
      </c>
    </row>
    <row r="441" spans="1:27" x14ac:dyDescent="0.2">
      <c r="A441">
        <v>2019</v>
      </c>
      <c r="B441" t="s">
        <v>21</v>
      </c>
      <c r="C441" t="s">
        <v>22</v>
      </c>
      <c r="D441" t="s">
        <v>214</v>
      </c>
      <c r="E441" t="s">
        <v>127</v>
      </c>
      <c r="F441" s="4">
        <v>43757</v>
      </c>
      <c r="G441" s="5">
        <v>0.89607638888888885</v>
      </c>
      <c r="H441">
        <v>-76.722768333333306</v>
      </c>
      <c r="I441">
        <v>3.4785849999999998</v>
      </c>
      <c r="J441">
        <v>4</v>
      </c>
      <c r="K441" t="s">
        <v>112</v>
      </c>
      <c r="L441" t="s">
        <v>253</v>
      </c>
      <c r="M441">
        <v>2127</v>
      </c>
      <c r="N441" t="b">
        <v>1</v>
      </c>
      <c r="O441" t="b">
        <v>0</v>
      </c>
      <c r="P441">
        <v>25</v>
      </c>
      <c r="R441">
        <v>12</v>
      </c>
      <c r="S441" t="s">
        <v>304</v>
      </c>
      <c r="T441" t="s">
        <v>258</v>
      </c>
      <c r="V441" t="s">
        <v>8</v>
      </c>
      <c r="X441">
        <v>1</v>
      </c>
      <c r="AA441" t="s">
        <v>117</v>
      </c>
    </row>
    <row r="442" spans="1:27" x14ac:dyDescent="0.2">
      <c r="A442">
        <v>2019</v>
      </c>
      <c r="B442" t="s">
        <v>21</v>
      </c>
      <c r="C442" t="s">
        <v>22</v>
      </c>
      <c r="D442" t="s">
        <v>214</v>
      </c>
      <c r="E442" t="s">
        <v>127</v>
      </c>
      <c r="F442" s="4">
        <v>43757</v>
      </c>
      <c r="G442" s="5">
        <v>0.89607638888888885</v>
      </c>
      <c r="H442">
        <v>-76.722768333333306</v>
      </c>
      <c r="I442">
        <v>3.4785849999999998</v>
      </c>
      <c r="J442">
        <v>4</v>
      </c>
      <c r="K442" t="s">
        <v>119</v>
      </c>
      <c r="L442" t="s">
        <v>253</v>
      </c>
      <c r="M442">
        <v>2100</v>
      </c>
      <c r="N442" t="b">
        <v>1</v>
      </c>
      <c r="O442" t="b">
        <v>0</v>
      </c>
      <c r="P442">
        <v>25</v>
      </c>
      <c r="R442">
        <v>12</v>
      </c>
      <c r="S442" t="s">
        <v>281</v>
      </c>
      <c r="T442" t="s">
        <v>258</v>
      </c>
      <c r="V442" t="s">
        <v>4</v>
      </c>
      <c r="X442">
        <v>1</v>
      </c>
      <c r="AA442" t="s">
        <v>117</v>
      </c>
    </row>
    <row r="443" spans="1:27" x14ac:dyDescent="0.2">
      <c r="A443">
        <v>2019</v>
      </c>
      <c r="B443" t="s">
        <v>21</v>
      </c>
      <c r="C443" t="s">
        <v>22</v>
      </c>
      <c r="D443" t="s">
        <v>217</v>
      </c>
      <c r="E443" t="s">
        <v>122</v>
      </c>
      <c r="F443" s="4">
        <v>43757</v>
      </c>
      <c r="G443" s="5">
        <v>0.84450231481481486</v>
      </c>
      <c r="H443">
        <v>-76.722465</v>
      </c>
      <c r="I443">
        <v>3.4774616666666698</v>
      </c>
      <c r="J443">
        <v>4</v>
      </c>
      <c r="K443" t="s">
        <v>112</v>
      </c>
      <c r="L443" t="s">
        <v>253</v>
      </c>
      <c r="M443">
        <v>2140</v>
      </c>
      <c r="N443" t="b">
        <v>1</v>
      </c>
      <c r="O443" t="b">
        <v>0</v>
      </c>
      <c r="P443">
        <v>20</v>
      </c>
      <c r="Q443">
        <v>0</v>
      </c>
      <c r="R443">
        <v>12</v>
      </c>
      <c r="S443" t="s">
        <v>281</v>
      </c>
      <c r="T443" t="s">
        <v>258</v>
      </c>
      <c r="V443" t="s">
        <v>8</v>
      </c>
      <c r="X443">
        <v>1</v>
      </c>
      <c r="AA443" t="s">
        <v>117</v>
      </c>
    </row>
    <row r="444" spans="1:27" x14ac:dyDescent="0.2">
      <c r="A444">
        <v>2019</v>
      </c>
      <c r="B444" t="s">
        <v>21</v>
      </c>
      <c r="C444" t="s">
        <v>22</v>
      </c>
      <c r="D444" t="s">
        <v>217</v>
      </c>
      <c r="E444" t="s">
        <v>122</v>
      </c>
      <c r="F444" s="4">
        <v>43757</v>
      </c>
      <c r="G444" s="5">
        <v>0.84450231481481486</v>
      </c>
      <c r="H444">
        <v>-76.722465</v>
      </c>
      <c r="I444">
        <v>3.4774616666666698</v>
      </c>
      <c r="J444">
        <v>4</v>
      </c>
      <c r="K444" t="s">
        <v>112</v>
      </c>
      <c r="L444" t="s">
        <v>253</v>
      </c>
      <c r="M444">
        <v>2140</v>
      </c>
      <c r="N444" t="b">
        <v>1</v>
      </c>
      <c r="O444" t="b">
        <v>0</v>
      </c>
      <c r="Q444">
        <v>0</v>
      </c>
      <c r="R444">
        <v>12</v>
      </c>
      <c r="S444" t="s">
        <v>269</v>
      </c>
      <c r="T444" t="s">
        <v>258</v>
      </c>
      <c r="V444" t="s">
        <v>2</v>
      </c>
      <c r="X444">
        <v>1</v>
      </c>
      <c r="AA444" t="s">
        <v>117</v>
      </c>
    </row>
    <row r="445" spans="1:27" x14ac:dyDescent="0.2">
      <c r="A445">
        <v>2019</v>
      </c>
      <c r="B445" t="s">
        <v>21</v>
      </c>
      <c r="C445" t="s">
        <v>22</v>
      </c>
      <c r="D445" t="s">
        <v>217</v>
      </c>
      <c r="E445" t="s">
        <v>122</v>
      </c>
      <c r="F445" s="4">
        <v>43757</v>
      </c>
      <c r="G445" s="5">
        <v>0.84450231481481486</v>
      </c>
      <c r="H445">
        <v>-76.722465</v>
      </c>
      <c r="I445">
        <v>3.4774616666666698</v>
      </c>
      <c r="J445">
        <v>4</v>
      </c>
      <c r="K445" t="s">
        <v>112</v>
      </c>
      <c r="L445" t="s">
        <v>253</v>
      </c>
      <c r="M445">
        <v>2140</v>
      </c>
      <c r="N445" t="b">
        <v>1</v>
      </c>
      <c r="O445" t="b">
        <v>0</v>
      </c>
      <c r="P445">
        <v>22</v>
      </c>
      <c r="Q445">
        <v>0</v>
      </c>
      <c r="R445">
        <v>10</v>
      </c>
      <c r="S445" t="s">
        <v>314</v>
      </c>
      <c r="T445" t="s">
        <v>258</v>
      </c>
      <c r="V445" t="s">
        <v>4</v>
      </c>
      <c r="X445">
        <v>1</v>
      </c>
      <c r="AA445" t="s">
        <v>117</v>
      </c>
    </row>
    <row r="446" spans="1:27" x14ac:dyDescent="0.2">
      <c r="A446">
        <v>2019</v>
      </c>
      <c r="B446" t="s">
        <v>21</v>
      </c>
      <c r="C446" t="s">
        <v>22</v>
      </c>
      <c r="D446" t="s">
        <v>217</v>
      </c>
      <c r="E446" t="s">
        <v>122</v>
      </c>
      <c r="F446" s="4">
        <v>43757</v>
      </c>
      <c r="G446" s="5">
        <v>0.84450231481481486</v>
      </c>
      <c r="H446">
        <v>-76.722465</v>
      </c>
      <c r="I446">
        <v>3.4774616666666698</v>
      </c>
      <c r="J446">
        <v>4</v>
      </c>
      <c r="K446" t="s">
        <v>119</v>
      </c>
      <c r="L446" t="s">
        <v>253</v>
      </c>
      <c r="M446">
        <v>2140</v>
      </c>
      <c r="N446" t="b">
        <v>1</v>
      </c>
      <c r="O446" t="b">
        <v>0</v>
      </c>
      <c r="P446">
        <v>22</v>
      </c>
      <c r="Q446">
        <v>0</v>
      </c>
      <c r="R446">
        <v>12</v>
      </c>
      <c r="S446" t="s">
        <v>314</v>
      </c>
      <c r="T446" t="s">
        <v>258</v>
      </c>
      <c r="V446" t="s">
        <v>64</v>
      </c>
      <c r="X446">
        <v>1</v>
      </c>
      <c r="AA446" t="s">
        <v>117</v>
      </c>
    </row>
    <row r="447" spans="1:27" x14ac:dyDescent="0.2">
      <c r="A447">
        <v>2019</v>
      </c>
      <c r="B447" t="s">
        <v>21</v>
      </c>
      <c r="C447" t="s">
        <v>22</v>
      </c>
      <c r="D447" t="s">
        <v>217</v>
      </c>
      <c r="E447" t="s">
        <v>122</v>
      </c>
      <c r="F447" s="4">
        <v>43757</v>
      </c>
      <c r="G447" s="5">
        <v>0.84303240740740737</v>
      </c>
      <c r="H447">
        <v>-76.722454999999997</v>
      </c>
      <c r="I447">
        <v>3.4773433333333301</v>
      </c>
      <c r="J447">
        <v>4</v>
      </c>
      <c r="K447" t="s">
        <v>112</v>
      </c>
      <c r="L447" t="s">
        <v>276</v>
      </c>
      <c r="M447">
        <v>2140</v>
      </c>
      <c r="N447" t="b">
        <v>1</v>
      </c>
      <c r="O447" t="b">
        <v>0</v>
      </c>
      <c r="P447">
        <v>22</v>
      </c>
      <c r="Q447">
        <v>0</v>
      </c>
      <c r="R447">
        <v>12</v>
      </c>
      <c r="S447" t="s">
        <v>269</v>
      </c>
      <c r="T447" t="s">
        <v>258</v>
      </c>
      <c r="U447" t="s">
        <v>315</v>
      </c>
      <c r="V447" t="s">
        <v>8</v>
      </c>
      <c r="X447">
        <v>1</v>
      </c>
      <c r="AA447" t="s">
        <v>117</v>
      </c>
    </row>
    <row r="448" spans="1:27" x14ac:dyDescent="0.2">
      <c r="A448">
        <v>2019</v>
      </c>
      <c r="B448" t="s">
        <v>21</v>
      </c>
      <c r="C448" t="s">
        <v>22</v>
      </c>
      <c r="D448" t="s">
        <v>211</v>
      </c>
      <c r="E448" t="s">
        <v>135</v>
      </c>
      <c r="F448" s="4">
        <v>43757</v>
      </c>
      <c r="G448" s="5">
        <v>0.93222222222222217</v>
      </c>
      <c r="H448">
        <v>-76.723134999999999</v>
      </c>
      <c r="I448">
        <v>3.47973</v>
      </c>
      <c r="J448">
        <v>4</v>
      </c>
      <c r="K448" t="s">
        <v>119</v>
      </c>
      <c r="L448" t="s">
        <v>113</v>
      </c>
      <c r="M448">
        <v>2100</v>
      </c>
      <c r="N448" t="b">
        <v>1</v>
      </c>
      <c r="O448" t="b">
        <v>0</v>
      </c>
      <c r="P448">
        <v>20</v>
      </c>
      <c r="R448">
        <v>10</v>
      </c>
      <c r="S448" t="s">
        <v>304</v>
      </c>
      <c r="T448" t="s">
        <v>258</v>
      </c>
      <c r="V448" t="s">
        <v>64</v>
      </c>
      <c r="X448">
        <v>1</v>
      </c>
      <c r="AA448" t="s">
        <v>117</v>
      </c>
    </row>
    <row r="449" spans="1:27" x14ac:dyDescent="0.2">
      <c r="A449">
        <v>2019</v>
      </c>
      <c r="B449" t="s">
        <v>21</v>
      </c>
      <c r="C449" t="s">
        <v>22</v>
      </c>
      <c r="D449" t="s">
        <v>217</v>
      </c>
      <c r="E449" t="s">
        <v>122</v>
      </c>
      <c r="F449" s="4">
        <v>43757</v>
      </c>
      <c r="G449" s="5">
        <v>0.85478009259259258</v>
      </c>
      <c r="H449">
        <v>-76.722528333333301</v>
      </c>
      <c r="I449">
        <v>3.4776099999999999</v>
      </c>
      <c r="J449">
        <v>4</v>
      </c>
      <c r="K449" t="s">
        <v>112</v>
      </c>
      <c r="L449" t="s">
        <v>253</v>
      </c>
      <c r="M449">
        <v>2100</v>
      </c>
      <c r="N449" t="b">
        <v>1</v>
      </c>
      <c r="O449" t="b">
        <v>0</v>
      </c>
      <c r="P449">
        <v>22</v>
      </c>
      <c r="Q449">
        <v>0</v>
      </c>
      <c r="R449">
        <v>17</v>
      </c>
      <c r="S449" t="s">
        <v>281</v>
      </c>
      <c r="T449" t="s">
        <v>258</v>
      </c>
      <c r="V449" t="s">
        <v>8</v>
      </c>
      <c r="X449">
        <v>1</v>
      </c>
      <c r="AA449" t="s">
        <v>117</v>
      </c>
    </row>
    <row r="450" spans="1:27" x14ac:dyDescent="0.2">
      <c r="A450">
        <v>2019</v>
      </c>
      <c r="B450" t="s">
        <v>21</v>
      </c>
      <c r="C450" t="s">
        <v>22</v>
      </c>
      <c r="D450" t="s">
        <v>217</v>
      </c>
      <c r="E450" t="s">
        <v>122</v>
      </c>
      <c r="F450" s="4">
        <v>43757</v>
      </c>
      <c r="G450" s="5">
        <v>0.80877314814814816</v>
      </c>
      <c r="H450">
        <v>-76.722388333333299</v>
      </c>
      <c r="I450">
        <v>3.4772650000000001</v>
      </c>
      <c r="J450">
        <v>4</v>
      </c>
      <c r="K450" t="s">
        <v>112</v>
      </c>
      <c r="L450" t="s">
        <v>276</v>
      </c>
      <c r="M450">
        <v>2140</v>
      </c>
      <c r="N450" t="b">
        <v>1</v>
      </c>
      <c r="O450" t="b">
        <v>0</v>
      </c>
      <c r="Q450">
        <v>0</v>
      </c>
      <c r="R450">
        <v>15</v>
      </c>
      <c r="S450" t="s">
        <v>316</v>
      </c>
      <c r="T450" t="s">
        <v>258</v>
      </c>
      <c r="U450" t="s">
        <v>317</v>
      </c>
      <c r="V450" t="s">
        <v>8</v>
      </c>
      <c r="X450">
        <v>2</v>
      </c>
      <c r="AA450" t="s">
        <v>117</v>
      </c>
    </row>
    <row r="451" spans="1:27" x14ac:dyDescent="0.2">
      <c r="A451">
        <v>2019</v>
      </c>
      <c r="B451" t="s">
        <v>21</v>
      </c>
      <c r="C451" t="s">
        <v>22</v>
      </c>
      <c r="D451" t="s">
        <v>217</v>
      </c>
      <c r="E451" t="s">
        <v>122</v>
      </c>
      <c r="F451" s="4">
        <v>43757</v>
      </c>
      <c r="G451" s="5">
        <v>0.80877314814814816</v>
      </c>
      <c r="H451">
        <v>-76.722388333333299</v>
      </c>
      <c r="I451">
        <v>3.4772650000000001</v>
      </c>
      <c r="J451">
        <v>4</v>
      </c>
      <c r="K451" t="s">
        <v>112</v>
      </c>
      <c r="L451" t="s">
        <v>253</v>
      </c>
      <c r="M451">
        <v>2140</v>
      </c>
      <c r="N451" t="b">
        <v>1</v>
      </c>
      <c r="O451" t="b">
        <v>0</v>
      </c>
      <c r="P451">
        <v>25</v>
      </c>
      <c r="Q451">
        <v>0</v>
      </c>
      <c r="R451">
        <v>15</v>
      </c>
      <c r="S451" t="s">
        <v>149</v>
      </c>
      <c r="T451" t="s">
        <v>258</v>
      </c>
      <c r="V451" t="s">
        <v>61</v>
      </c>
      <c r="X451">
        <v>1</v>
      </c>
      <c r="AA451" t="s">
        <v>117</v>
      </c>
    </row>
    <row r="452" spans="1:27" x14ac:dyDescent="0.2">
      <c r="A452">
        <v>2019</v>
      </c>
      <c r="B452" t="s">
        <v>21</v>
      </c>
      <c r="C452" t="s">
        <v>22</v>
      </c>
      <c r="D452" t="s">
        <v>217</v>
      </c>
      <c r="E452" t="s">
        <v>122</v>
      </c>
      <c r="F452" s="4">
        <v>43757</v>
      </c>
      <c r="G452" s="5">
        <v>0.80877314814814816</v>
      </c>
      <c r="H452">
        <v>-76.722388333333299</v>
      </c>
      <c r="I452">
        <v>3.4772650000000001</v>
      </c>
      <c r="J452">
        <v>4</v>
      </c>
      <c r="K452" t="s">
        <v>112</v>
      </c>
      <c r="L452" t="s">
        <v>306</v>
      </c>
      <c r="M452">
        <v>2140</v>
      </c>
      <c r="N452" t="b">
        <v>1</v>
      </c>
      <c r="O452" t="b">
        <v>0</v>
      </c>
      <c r="P452">
        <v>25</v>
      </c>
      <c r="Q452">
        <v>0</v>
      </c>
      <c r="R452">
        <v>15</v>
      </c>
      <c r="S452" t="s">
        <v>318</v>
      </c>
      <c r="T452" t="s">
        <v>258</v>
      </c>
      <c r="V452" t="s">
        <v>4</v>
      </c>
      <c r="X452">
        <v>1</v>
      </c>
      <c r="AA452" t="s">
        <v>117</v>
      </c>
    </row>
    <row r="453" spans="1:27" x14ac:dyDescent="0.2">
      <c r="A453">
        <v>2019</v>
      </c>
      <c r="B453" t="s">
        <v>21</v>
      </c>
      <c r="C453" t="s">
        <v>22</v>
      </c>
      <c r="D453" t="s">
        <v>217</v>
      </c>
      <c r="E453" t="s">
        <v>122</v>
      </c>
      <c r="F453" s="4">
        <v>43757</v>
      </c>
      <c r="G453" s="5">
        <v>0.81297453703703704</v>
      </c>
      <c r="H453">
        <v>-76.722485000000006</v>
      </c>
      <c r="I453">
        <v>3.4772966666666698</v>
      </c>
      <c r="J453">
        <v>4</v>
      </c>
      <c r="K453" t="s">
        <v>112</v>
      </c>
      <c r="L453" t="s">
        <v>253</v>
      </c>
      <c r="M453">
        <v>2140</v>
      </c>
      <c r="N453" t="b">
        <v>1</v>
      </c>
      <c r="O453" t="b">
        <v>0</v>
      </c>
      <c r="P453">
        <v>28</v>
      </c>
      <c r="Q453">
        <v>0</v>
      </c>
      <c r="R453">
        <v>15</v>
      </c>
      <c r="S453" t="s">
        <v>259</v>
      </c>
      <c r="T453" t="s">
        <v>258</v>
      </c>
      <c r="V453" t="s">
        <v>64</v>
      </c>
      <c r="X453">
        <v>1</v>
      </c>
      <c r="AA453" t="s">
        <v>117</v>
      </c>
    </row>
    <row r="454" spans="1:27" x14ac:dyDescent="0.2">
      <c r="A454">
        <v>2019</v>
      </c>
      <c r="B454" t="s">
        <v>21</v>
      </c>
      <c r="C454" t="s">
        <v>22</v>
      </c>
      <c r="D454" t="s">
        <v>217</v>
      </c>
      <c r="E454" t="s">
        <v>122</v>
      </c>
      <c r="F454" s="4">
        <v>43757</v>
      </c>
      <c r="G454" s="5">
        <v>0.81297453703703704</v>
      </c>
      <c r="H454">
        <v>-76.722485000000006</v>
      </c>
      <c r="I454">
        <v>3.4772966666666698</v>
      </c>
      <c r="J454">
        <v>4</v>
      </c>
      <c r="K454" t="s">
        <v>112</v>
      </c>
      <c r="L454" t="s">
        <v>253</v>
      </c>
      <c r="M454">
        <v>2140</v>
      </c>
      <c r="N454" t="b">
        <v>1</v>
      </c>
      <c r="O454" t="b">
        <v>0</v>
      </c>
      <c r="P454">
        <v>25</v>
      </c>
      <c r="Q454">
        <v>0</v>
      </c>
      <c r="R454">
        <v>15</v>
      </c>
      <c r="S454" t="s">
        <v>319</v>
      </c>
      <c r="T454" t="s">
        <v>258</v>
      </c>
      <c r="V454" t="s">
        <v>2</v>
      </c>
      <c r="X454">
        <v>1</v>
      </c>
      <c r="AA454" t="s">
        <v>117</v>
      </c>
    </row>
    <row r="455" spans="1:27" x14ac:dyDescent="0.2">
      <c r="A455">
        <v>2019</v>
      </c>
      <c r="B455" t="s">
        <v>21</v>
      </c>
      <c r="C455" t="s">
        <v>22</v>
      </c>
      <c r="D455" t="s">
        <v>217</v>
      </c>
      <c r="E455" t="s">
        <v>122</v>
      </c>
      <c r="F455" s="4">
        <v>43757</v>
      </c>
      <c r="G455" s="5">
        <v>0.81297453703703704</v>
      </c>
      <c r="H455">
        <v>-76.722485000000006</v>
      </c>
      <c r="I455">
        <v>3.4772966666666698</v>
      </c>
      <c r="J455">
        <v>4</v>
      </c>
      <c r="M455">
        <v>2140</v>
      </c>
      <c r="N455" t="b">
        <v>1</v>
      </c>
      <c r="O455" t="b">
        <v>0</v>
      </c>
      <c r="P455">
        <v>25</v>
      </c>
      <c r="Q455">
        <v>0</v>
      </c>
      <c r="R455">
        <v>15</v>
      </c>
      <c r="T455" t="s">
        <v>258</v>
      </c>
      <c r="U455" t="s">
        <v>320</v>
      </c>
      <c r="V455" t="s">
        <v>47</v>
      </c>
      <c r="X455">
        <v>0</v>
      </c>
      <c r="AA455" t="s">
        <v>117</v>
      </c>
    </row>
    <row r="456" spans="1:27" x14ac:dyDescent="0.2">
      <c r="A456">
        <v>2019</v>
      </c>
      <c r="B456" t="s">
        <v>21</v>
      </c>
      <c r="C456" t="s">
        <v>22</v>
      </c>
      <c r="D456" t="s">
        <v>217</v>
      </c>
      <c r="E456" t="s">
        <v>122</v>
      </c>
      <c r="F456" s="4">
        <v>43757</v>
      </c>
      <c r="G456" s="5">
        <v>0.81297453703703704</v>
      </c>
      <c r="H456">
        <v>-76.722485000000006</v>
      </c>
      <c r="I456">
        <v>3.4772966666666698</v>
      </c>
      <c r="J456">
        <v>4</v>
      </c>
      <c r="K456" t="s">
        <v>112</v>
      </c>
      <c r="L456" t="s">
        <v>253</v>
      </c>
      <c r="M456">
        <v>2140</v>
      </c>
      <c r="N456" t="b">
        <v>1</v>
      </c>
      <c r="O456" t="b">
        <v>0</v>
      </c>
      <c r="P456">
        <v>28</v>
      </c>
      <c r="Q456">
        <v>0</v>
      </c>
      <c r="R456">
        <v>15</v>
      </c>
      <c r="S456" t="s">
        <v>321</v>
      </c>
      <c r="T456" t="s">
        <v>258</v>
      </c>
      <c r="V456" t="s">
        <v>8</v>
      </c>
      <c r="X456">
        <v>1</v>
      </c>
      <c r="AA456" t="s">
        <v>117</v>
      </c>
    </row>
    <row r="457" spans="1:27" x14ac:dyDescent="0.2">
      <c r="A457">
        <v>2019</v>
      </c>
      <c r="B457" t="s">
        <v>21</v>
      </c>
      <c r="C457" t="s">
        <v>22</v>
      </c>
      <c r="D457" t="s">
        <v>217</v>
      </c>
      <c r="E457" t="s">
        <v>122</v>
      </c>
      <c r="F457" s="4">
        <v>43757</v>
      </c>
      <c r="G457" s="5">
        <v>0.81297453703703704</v>
      </c>
      <c r="H457">
        <v>-76.722485000000006</v>
      </c>
      <c r="I457">
        <v>3.4772966666666698</v>
      </c>
      <c r="J457">
        <v>4</v>
      </c>
      <c r="K457" t="s">
        <v>112</v>
      </c>
      <c r="L457" t="s">
        <v>253</v>
      </c>
      <c r="M457">
        <v>2140</v>
      </c>
      <c r="N457" t="b">
        <v>1</v>
      </c>
      <c r="O457" t="b">
        <v>0</v>
      </c>
      <c r="P457">
        <v>28</v>
      </c>
      <c r="Q457">
        <v>0</v>
      </c>
      <c r="R457">
        <v>15</v>
      </c>
      <c r="S457" t="s">
        <v>149</v>
      </c>
      <c r="T457" t="s">
        <v>258</v>
      </c>
      <c r="V457" t="s">
        <v>8</v>
      </c>
      <c r="X457">
        <v>1</v>
      </c>
      <c r="AA457" t="s">
        <v>117</v>
      </c>
    </row>
    <row r="458" spans="1:27" x14ac:dyDescent="0.2">
      <c r="A458">
        <v>2019</v>
      </c>
      <c r="B458" t="s">
        <v>21</v>
      </c>
      <c r="C458" t="s">
        <v>22</v>
      </c>
      <c r="D458" t="s">
        <v>217</v>
      </c>
      <c r="E458" t="s">
        <v>122</v>
      </c>
      <c r="F458" s="4">
        <v>43757</v>
      </c>
      <c r="G458" s="5">
        <v>0.87542824074074077</v>
      </c>
      <c r="H458">
        <v>-76.722741666666707</v>
      </c>
      <c r="I458">
        <v>3.4779450000000001</v>
      </c>
      <c r="J458">
        <v>4</v>
      </c>
      <c r="K458" t="s">
        <v>112</v>
      </c>
      <c r="L458" t="s">
        <v>253</v>
      </c>
      <c r="M458">
        <v>1980</v>
      </c>
      <c r="N458" t="b">
        <v>1</v>
      </c>
      <c r="O458" t="b">
        <v>0</v>
      </c>
      <c r="P458">
        <v>20</v>
      </c>
      <c r="R458">
        <v>12</v>
      </c>
      <c r="S458" t="s">
        <v>281</v>
      </c>
      <c r="T458" t="s">
        <v>258</v>
      </c>
      <c r="V458" t="s">
        <v>41</v>
      </c>
      <c r="X458">
        <v>1</v>
      </c>
      <c r="AA458" t="s">
        <v>117</v>
      </c>
    </row>
    <row r="459" spans="1:27" x14ac:dyDescent="0.2">
      <c r="A459">
        <v>2019</v>
      </c>
      <c r="B459" t="s">
        <v>21</v>
      </c>
      <c r="C459" t="s">
        <v>22</v>
      </c>
      <c r="D459" t="s">
        <v>217</v>
      </c>
      <c r="E459" t="s">
        <v>122</v>
      </c>
      <c r="F459" s="4">
        <v>43757</v>
      </c>
      <c r="G459" s="5">
        <v>0.87542824074074077</v>
      </c>
      <c r="H459">
        <v>-76.722741666666707</v>
      </c>
      <c r="I459">
        <v>3.4779450000000001</v>
      </c>
      <c r="J459">
        <v>4</v>
      </c>
      <c r="K459" t="s">
        <v>112</v>
      </c>
      <c r="L459" t="s">
        <v>253</v>
      </c>
      <c r="M459">
        <v>1980</v>
      </c>
      <c r="N459" t="b">
        <v>1</v>
      </c>
      <c r="O459" t="b">
        <v>0</v>
      </c>
      <c r="P459">
        <v>22</v>
      </c>
      <c r="R459">
        <v>15</v>
      </c>
      <c r="S459" t="s">
        <v>281</v>
      </c>
      <c r="T459" t="s">
        <v>258</v>
      </c>
      <c r="V459" t="s">
        <v>8</v>
      </c>
      <c r="X459">
        <v>1</v>
      </c>
      <c r="AA459" t="s">
        <v>117</v>
      </c>
    </row>
    <row r="460" spans="1:27" x14ac:dyDescent="0.2">
      <c r="A460">
        <v>2019</v>
      </c>
      <c r="B460" t="s">
        <v>10</v>
      </c>
      <c r="C460" t="s">
        <v>14</v>
      </c>
      <c r="D460" t="s">
        <v>226</v>
      </c>
      <c r="E460" t="s">
        <v>111</v>
      </c>
      <c r="F460" s="4">
        <v>43778</v>
      </c>
      <c r="G460" s="5">
        <v>0.87112268518518521</v>
      </c>
      <c r="H460">
        <v>-76.647082668206195</v>
      </c>
      <c r="I460">
        <v>3.3488794708523599</v>
      </c>
      <c r="J460">
        <v>4</v>
      </c>
      <c r="K460" t="s">
        <v>119</v>
      </c>
      <c r="M460">
        <v>2422</v>
      </c>
      <c r="N460" t="b">
        <v>1</v>
      </c>
      <c r="O460" t="b">
        <v>1</v>
      </c>
      <c r="P460">
        <v>12</v>
      </c>
      <c r="Q460">
        <v>0.5</v>
      </c>
      <c r="R460">
        <v>5</v>
      </c>
      <c r="T460" t="s">
        <v>145</v>
      </c>
      <c r="U460" t="s">
        <v>291</v>
      </c>
      <c r="V460" t="s">
        <v>47</v>
      </c>
      <c r="X460">
        <v>0</v>
      </c>
      <c r="AA460" t="s">
        <v>117</v>
      </c>
    </row>
    <row r="461" spans="1:27" x14ac:dyDescent="0.2">
      <c r="A461">
        <v>2019</v>
      </c>
      <c r="B461" t="s">
        <v>10</v>
      </c>
      <c r="C461" t="s">
        <v>14</v>
      </c>
      <c r="D461" t="s">
        <v>226</v>
      </c>
      <c r="E461" t="s">
        <v>111</v>
      </c>
      <c r="F461" s="4">
        <v>43778</v>
      </c>
      <c r="G461" s="5">
        <v>0.8957060185185185</v>
      </c>
      <c r="H461">
        <v>-76.647207729910406</v>
      </c>
      <c r="I461">
        <v>3.3484251608551601</v>
      </c>
      <c r="J461">
        <v>4</v>
      </c>
      <c r="K461" t="s">
        <v>119</v>
      </c>
      <c r="M461">
        <v>2396</v>
      </c>
      <c r="N461" t="b">
        <v>1</v>
      </c>
      <c r="O461" t="b">
        <v>1</v>
      </c>
      <c r="P461">
        <v>8</v>
      </c>
      <c r="Q461">
        <v>1</v>
      </c>
      <c r="R461">
        <v>9</v>
      </c>
      <c r="T461" t="s">
        <v>145</v>
      </c>
      <c r="U461" t="s">
        <v>266</v>
      </c>
      <c r="V461" t="s">
        <v>47</v>
      </c>
      <c r="X461">
        <v>0</v>
      </c>
      <c r="AA461" t="s">
        <v>117</v>
      </c>
    </row>
    <row r="462" spans="1:27" x14ac:dyDescent="0.2">
      <c r="A462">
        <v>2019</v>
      </c>
      <c r="B462" t="s">
        <v>10</v>
      </c>
      <c r="C462" t="s">
        <v>14</v>
      </c>
      <c r="D462" t="s">
        <v>226</v>
      </c>
      <c r="E462" t="s">
        <v>111</v>
      </c>
      <c r="F462" s="4">
        <v>43778</v>
      </c>
      <c r="G462" s="5">
        <v>0.86665509259259255</v>
      </c>
      <c r="H462">
        <v>-76.647080475924895</v>
      </c>
      <c r="I462">
        <v>3.3489414414455898</v>
      </c>
      <c r="J462">
        <v>4</v>
      </c>
      <c r="K462" t="s">
        <v>112</v>
      </c>
      <c r="M462">
        <v>2400</v>
      </c>
      <c r="N462" t="b">
        <v>1</v>
      </c>
      <c r="O462" t="b">
        <v>1</v>
      </c>
      <c r="P462">
        <v>15</v>
      </c>
      <c r="Q462">
        <v>0.5</v>
      </c>
      <c r="R462">
        <v>8</v>
      </c>
      <c r="T462" t="s">
        <v>145</v>
      </c>
      <c r="U462" t="s">
        <v>266</v>
      </c>
      <c r="V462" t="s">
        <v>47</v>
      </c>
      <c r="X462">
        <v>0</v>
      </c>
      <c r="AA462" t="s">
        <v>117</v>
      </c>
    </row>
    <row r="463" spans="1:27" x14ac:dyDescent="0.2">
      <c r="A463">
        <v>2019</v>
      </c>
      <c r="B463" t="s">
        <v>10</v>
      </c>
      <c r="C463" t="s">
        <v>14</v>
      </c>
      <c r="D463" t="s">
        <v>180</v>
      </c>
      <c r="E463" t="s">
        <v>122</v>
      </c>
      <c r="F463" s="4">
        <v>43778</v>
      </c>
      <c r="G463" s="5">
        <v>0.83924768518518522</v>
      </c>
      <c r="H463">
        <v>-76.647081889128401</v>
      </c>
      <c r="I463">
        <v>3.34964571847713</v>
      </c>
      <c r="J463">
        <v>4</v>
      </c>
      <c r="K463" t="s">
        <v>119</v>
      </c>
      <c r="M463">
        <v>2425</v>
      </c>
      <c r="N463" t="b">
        <v>1</v>
      </c>
      <c r="O463" t="b">
        <v>0</v>
      </c>
      <c r="P463">
        <v>10</v>
      </c>
      <c r="Q463">
        <v>0</v>
      </c>
      <c r="R463">
        <v>10</v>
      </c>
      <c r="T463" t="s">
        <v>145</v>
      </c>
      <c r="U463" t="s">
        <v>322</v>
      </c>
      <c r="V463" t="s">
        <v>47</v>
      </c>
      <c r="X463">
        <v>0</v>
      </c>
      <c r="AA463" t="s">
        <v>117</v>
      </c>
    </row>
    <row r="464" spans="1:27" x14ac:dyDescent="0.2">
      <c r="A464">
        <v>2019</v>
      </c>
      <c r="B464" t="s">
        <v>10</v>
      </c>
      <c r="C464" t="s">
        <v>14</v>
      </c>
      <c r="D464" t="s">
        <v>225</v>
      </c>
      <c r="E464" t="s">
        <v>135</v>
      </c>
      <c r="F464" s="4">
        <v>43779</v>
      </c>
      <c r="G464" s="5">
        <v>0.87605324074074076</v>
      </c>
      <c r="H464">
        <v>-76.645267013155703</v>
      </c>
      <c r="I464">
        <v>3.3496489541684098</v>
      </c>
      <c r="J464">
        <v>4</v>
      </c>
      <c r="K464" t="s">
        <v>119</v>
      </c>
      <c r="M464">
        <v>2441</v>
      </c>
      <c r="N464" t="b">
        <v>1</v>
      </c>
      <c r="O464" t="b">
        <v>0</v>
      </c>
      <c r="P464">
        <v>5</v>
      </c>
      <c r="Q464">
        <v>0</v>
      </c>
      <c r="R464">
        <v>5</v>
      </c>
      <c r="T464" t="s">
        <v>145</v>
      </c>
      <c r="U464" t="s">
        <v>323</v>
      </c>
      <c r="V464" t="s">
        <v>47</v>
      </c>
      <c r="X464">
        <v>0</v>
      </c>
      <c r="AA464" t="s">
        <v>117</v>
      </c>
    </row>
    <row r="465" spans="1:29" x14ac:dyDescent="0.2">
      <c r="A465">
        <v>2019</v>
      </c>
      <c r="B465" t="s">
        <v>10</v>
      </c>
      <c r="C465" t="s">
        <v>14</v>
      </c>
      <c r="D465" t="s">
        <v>324</v>
      </c>
      <c r="E465" t="s">
        <v>127</v>
      </c>
      <c r="F465" s="4">
        <v>43779</v>
      </c>
      <c r="G465" s="5">
        <v>0.83906250000000004</v>
      </c>
      <c r="H465">
        <v>-76.646587419012505</v>
      </c>
      <c r="I465">
        <v>3.3497931231255098</v>
      </c>
      <c r="J465">
        <v>4</v>
      </c>
      <c r="K465" t="s">
        <v>112</v>
      </c>
      <c r="L465" t="s">
        <v>264</v>
      </c>
      <c r="M465">
        <v>2450</v>
      </c>
      <c r="N465" t="b">
        <v>1</v>
      </c>
      <c r="O465" t="b">
        <v>0</v>
      </c>
      <c r="P465">
        <v>8</v>
      </c>
      <c r="R465">
        <v>12</v>
      </c>
      <c r="S465" t="s">
        <v>325</v>
      </c>
      <c r="T465" t="s">
        <v>145</v>
      </c>
      <c r="V465" t="s">
        <v>40</v>
      </c>
      <c r="X465">
        <v>1</v>
      </c>
      <c r="AA465" t="s">
        <v>117</v>
      </c>
    </row>
    <row r="466" spans="1:29" x14ac:dyDescent="0.2">
      <c r="A466">
        <v>2019</v>
      </c>
      <c r="B466" t="s">
        <v>10</v>
      </c>
      <c r="C466" t="s">
        <v>13</v>
      </c>
      <c r="D466" t="s">
        <v>177</v>
      </c>
      <c r="E466" t="s">
        <v>111</v>
      </c>
      <c r="F466" s="4">
        <v>43779</v>
      </c>
      <c r="G466" s="5">
        <v>0.91612268518518514</v>
      </c>
      <c r="H466">
        <v>-76.644214675993894</v>
      </c>
      <c r="I466">
        <v>3.34957670533313</v>
      </c>
      <c r="J466">
        <v>4</v>
      </c>
      <c r="K466" t="s">
        <v>119</v>
      </c>
      <c r="L466" t="s">
        <v>326</v>
      </c>
      <c r="M466">
        <v>2500</v>
      </c>
      <c r="N466" t="b">
        <v>1</v>
      </c>
      <c r="O466" t="b">
        <v>0</v>
      </c>
      <c r="P466">
        <v>20</v>
      </c>
      <c r="Q466">
        <v>0</v>
      </c>
      <c r="R466">
        <v>5</v>
      </c>
      <c r="S466" t="s">
        <v>263</v>
      </c>
      <c r="T466" t="s">
        <v>145</v>
      </c>
      <c r="V466" t="s">
        <v>36</v>
      </c>
      <c r="X466">
        <v>1</v>
      </c>
      <c r="AA466" t="s">
        <v>117</v>
      </c>
    </row>
    <row r="467" spans="1:29" x14ac:dyDescent="0.2">
      <c r="A467">
        <v>2019</v>
      </c>
      <c r="B467" t="s">
        <v>10</v>
      </c>
      <c r="C467" t="s">
        <v>14</v>
      </c>
      <c r="D467" t="s">
        <v>324</v>
      </c>
      <c r="E467" t="s">
        <v>127</v>
      </c>
      <c r="F467" s="4">
        <v>43779</v>
      </c>
      <c r="G467" s="5">
        <v>0.82797453703703705</v>
      </c>
      <c r="H467">
        <v>-76.646859231749403</v>
      </c>
      <c r="I467">
        <v>3.3498731844679499</v>
      </c>
      <c r="J467">
        <v>4</v>
      </c>
      <c r="K467" t="s">
        <v>112</v>
      </c>
      <c r="L467" t="s">
        <v>327</v>
      </c>
      <c r="M467">
        <v>2439</v>
      </c>
      <c r="N467" t="b">
        <v>1</v>
      </c>
      <c r="O467" t="b">
        <v>0</v>
      </c>
      <c r="P467">
        <v>6</v>
      </c>
      <c r="R467">
        <v>8</v>
      </c>
      <c r="S467" t="s">
        <v>325</v>
      </c>
      <c r="T467" t="s">
        <v>145</v>
      </c>
      <c r="U467" t="s">
        <v>328</v>
      </c>
      <c r="V467" t="s">
        <v>40</v>
      </c>
      <c r="X467">
        <v>1</v>
      </c>
      <c r="AA467" t="s">
        <v>117</v>
      </c>
    </row>
    <row r="468" spans="1:29" x14ac:dyDescent="0.2">
      <c r="A468">
        <v>2019</v>
      </c>
      <c r="B468" t="s">
        <v>10</v>
      </c>
      <c r="C468" t="s">
        <v>13</v>
      </c>
      <c r="D468" t="s">
        <v>177</v>
      </c>
      <c r="E468" t="s">
        <v>111</v>
      </c>
      <c r="F468" s="4">
        <v>43779</v>
      </c>
      <c r="G468" s="5">
        <v>0.93511574074074078</v>
      </c>
      <c r="H468">
        <v>-76.643782609294007</v>
      </c>
      <c r="I468">
        <v>3.3495761703825102</v>
      </c>
      <c r="J468">
        <v>4</v>
      </c>
      <c r="K468" t="s">
        <v>119</v>
      </c>
      <c r="L468" t="s">
        <v>326</v>
      </c>
      <c r="M468">
        <v>2430</v>
      </c>
      <c r="N468" t="b">
        <v>1</v>
      </c>
      <c r="O468" t="b">
        <v>0</v>
      </c>
      <c r="P468">
        <v>18</v>
      </c>
      <c r="Q468">
        <v>0</v>
      </c>
      <c r="R468">
        <v>10</v>
      </c>
      <c r="S468" t="s">
        <v>304</v>
      </c>
      <c r="T468" t="s">
        <v>145</v>
      </c>
      <c r="V468" t="s">
        <v>38</v>
      </c>
      <c r="X468">
        <v>2</v>
      </c>
      <c r="AA468" t="s">
        <v>117</v>
      </c>
    </row>
    <row r="469" spans="1:29" x14ac:dyDescent="0.2">
      <c r="A469">
        <v>2019</v>
      </c>
      <c r="B469" t="s">
        <v>10</v>
      </c>
      <c r="C469" t="s">
        <v>13</v>
      </c>
      <c r="D469" t="s">
        <v>177</v>
      </c>
      <c r="E469" t="s">
        <v>111</v>
      </c>
      <c r="F469" s="4">
        <v>43779</v>
      </c>
      <c r="G469" s="5">
        <v>0.93511574074074078</v>
      </c>
      <c r="H469">
        <v>-76.643782609294007</v>
      </c>
      <c r="I469">
        <v>3.3495761703825102</v>
      </c>
      <c r="J469">
        <v>4</v>
      </c>
      <c r="K469" t="s">
        <v>119</v>
      </c>
      <c r="M469">
        <v>2443</v>
      </c>
      <c r="N469" t="b">
        <v>1</v>
      </c>
      <c r="O469" t="b">
        <v>0</v>
      </c>
      <c r="P469">
        <v>18</v>
      </c>
      <c r="Q469">
        <v>0</v>
      </c>
      <c r="R469">
        <v>10</v>
      </c>
      <c r="T469" t="s">
        <v>145</v>
      </c>
      <c r="U469" t="s">
        <v>266</v>
      </c>
      <c r="V469" t="s">
        <v>47</v>
      </c>
      <c r="X469">
        <v>0</v>
      </c>
      <c r="AA469" t="s">
        <v>117</v>
      </c>
    </row>
    <row r="470" spans="1:29" x14ac:dyDescent="0.2">
      <c r="A470">
        <v>2019</v>
      </c>
      <c r="B470" t="s">
        <v>10</v>
      </c>
      <c r="C470" t="s">
        <v>14</v>
      </c>
      <c r="D470" t="s">
        <v>324</v>
      </c>
      <c r="E470" t="s">
        <v>127</v>
      </c>
      <c r="F470" s="4">
        <v>43779</v>
      </c>
      <c r="G470" s="5">
        <v>0.84677083333333336</v>
      </c>
      <c r="H470">
        <v>-76.646461576758995</v>
      </c>
      <c r="I470">
        <v>3.3498395216685699</v>
      </c>
      <c r="J470">
        <v>4</v>
      </c>
      <c r="K470" t="s">
        <v>119</v>
      </c>
      <c r="L470" t="s">
        <v>329</v>
      </c>
      <c r="M470">
        <v>2500</v>
      </c>
      <c r="N470" t="b">
        <v>1</v>
      </c>
      <c r="O470" t="b">
        <v>0</v>
      </c>
      <c r="P470">
        <v>3</v>
      </c>
      <c r="R470">
        <v>15</v>
      </c>
      <c r="S470" t="s">
        <v>325</v>
      </c>
      <c r="T470" t="s">
        <v>145</v>
      </c>
      <c r="U470" t="s">
        <v>260</v>
      </c>
      <c r="V470" t="s">
        <v>40</v>
      </c>
      <c r="X470">
        <v>1</v>
      </c>
      <c r="AA470" t="s">
        <v>117</v>
      </c>
    </row>
    <row r="471" spans="1:29" x14ac:dyDescent="0.2">
      <c r="A471">
        <v>2019</v>
      </c>
      <c r="B471" t="s">
        <v>10</v>
      </c>
      <c r="C471" t="s">
        <v>13</v>
      </c>
      <c r="D471" t="s">
        <v>177</v>
      </c>
      <c r="E471" t="s">
        <v>111</v>
      </c>
      <c r="F471" s="4">
        <v>43779</v>
      </c>
      <c r="G471" s="5">
        <v>0.90416666666666667</v>
      </c>
      <c r="H471">
        <v>-76.644415806695406</v>
      </c>
      <c r="I471">
        <v>3.3495784893787399</v>
      </c>
      <c r="J471">
        <v>4</v>
      </c>
      <c r="K471" t="s">
        <v>119</v>
      </c>
      <c r="M471">
        <v>2449</v>
      </c>
      <c r="N471" t="b">
        <v>1</v>
      </c>
      <c r="O471" t="b">
        <v>0</v>
      </c>
      <c r="P471">
        <v>12</v>
      </c>
      <c r="Q471">
        <v>0</v>
      </c>
      <c r="R471">
        <v>5</v>
      </c>
      <c r="T471" t="s">
        <v>145</v>
      </c>
      <c r="U471" t="s">
        <v>330</v>
      </c>
      <c r="V471" t="s">
        <v>47</v>
      </c>
      <c r="X471">
        <v>0</v>
      </c>
      <c r="AA471" t="s">
        <v>117</v>
      </c>
    </row>
    <row r="472" spans="1:29" x14ac:dyDescent="0.2">
      <c r="A472">
        <v>2019</v>
      </c>
      <c r="B472" t="s">
        <v>10</v>
      </c>
      <c r="C472" t="s">
        <v>13</v>
      </c>
      <c r="D472" t="s">
        <v>179</v>
      </c>
      <c r="E472" t="s">
        <v>122</v>
      </c>
      <c r="F472" s="4">
        <v>43779</v>
      </c>
      <c r="G472" s="5">
        <v>0.9677662037037037</v>
      </c>
      <c r="H472">
        <v>-76.643242808036604</v>
      </c>
      <c r="I472">
        <v>3.3494583423089801</v>
      </c>
      <c r="J472">
        <v>4</v>
      </c>
      <c r="K472" t="s">
        <v>119</v>
      </c>
      <c r="M472">
        <v>2440</v>
      </c>
      <c r="N472" t="b">
        <v>1</v>
      </c>
      <c r="O472" t="b">
        <v>0</v>
      </c>
      <c r="P472">
        <v>15</v>
      </c>
      <c r="Q472">
        <v>0</v>
      </c>
      <c r="R472">
        <v>7</v>
      </c>
      <c r="T472" t="s">
        <v>145</v>
      </c>
      <c r="U472" t="s">
        <v>266</v>
      </c>
      <c r="V472" t="s">
        <v>47</v>
      </c>
      <c r="X472">
        <v>0</v>
      </c>
      <c r="AA472" t="s">
        <v>117</v>
      </c>
    </row>
    <row r="473" spans="1:29" x14ac:dyDescent="0.2">
      <c r="A473">
        <v>2019</v>
      </c>
      <c r="B473" t="s">
        <v>10</v>
      </c>
      <c r="C473" t="s">
        <v>13</v>
      </c>
      <c r="D473" t="s">
        <v>177</v>
      </c>
      <c r="E473" t="s">
        <v>111</v>
      </c>
      <c r="F473" s="4">
        <v>43779</v>
      </c>
      <c r="G473" s="5">
        <v>0.90782407407407406</v>
      </c>
      <c r="H473">
        <v>-76.644358196567097</v>
      </c>
      <c r="I473">
        <v>3.34954598037252</v>
      </c>
      <c r="J473">
        <v>4</v>
      </c>
      <c r="K473" t="s">
        <v>112</v>
      </c>
      <c r="L473" t="s">
        <v>331</v>
      </c>
      <c r="M473">
        <v>2449</v>
      </c>
      <c r="N473" t="b">
        <v>1</v>
      </c>
      <c r="O473" t="b">
        <v>0</v>
      </c>
      <c r="P473">
        <v>20</v>
      </c>
      <c r="Q473">
        <v>0</v>
      </c>
      <c r="R473">
        <v>5</v>
      </c>
      <c r="S473" t="s">
        <v>332</v>
      </c>
      <c r="T473" t="s">
        <v>145</v>
      </c>
      <c r="V473" t="s">
        <v>38</v>
      </c>
      <c r="X473">
        <v>1</v>
      </c>
      <c r="AA473" t="s">
        <v>117</v>
      </c>
      <c r="AC473" t="s">
        <v>333</v>
      </c>
    </row>
    <row r="474" spans="1:29" x14ac:dyDescent="0.2">
      <c r="A474">
        <v>2019</v>
      </c>
      <c r="B474" t="s">
        <v>10</v>
      </c>
      <c r="C474" t="s">
        <v>14</v>
      </c>
      <c r="D474" t="s">
        <v>225</v>
      </c>
      <c r="E474" t="s">
        <v>135</v>
      </c>
      <c r="F474" s="4">
        <v>43779</v>
      </c>
      <c r="G474" s="5">
        <v>0.89371527777777782</v>
      </c>
      <c r="H474">
        <v>-76.644634952030103</v>
      </c>
      <c r="I474">
        <v>3.3496236358240399</v>
      </c>
      <c r="J474">
        <v>4</v>
      </c>
      <c r="K474" t="s">
        <v>112</v>
      </c>
      <c r="L474" t="s">
        <v>331</v>
      </c>
      <c r="M474">
        <v>2450</v>
      </c>
      <c r="N474" t="b">
        <v>1</v>
      </c>
      <c r="O474" t="b">
        <v>0</v>
      </c>
      <c r="P474">
        <v>6</v>
      </c>
      <c r="Q474">
        <v>0</v>
      </c>
      <c r="R474">
        <v>5</v>
      </c>
      <c r="S474" t="s">
        <v>259</v>
      </c>
      <c r="T474" t="s">
        <v>145</v>
      </c>
      <c r="U474" t="s">
        <v>266</v>
      </c>
      <c r="V474" t="s">
        <v>36</v>
      </c>
      <c r="X474">
        <v>1</v>
      </c>
      <c r="AA474" t="s">
        <v>117</v>
      </c>
    </row>
    <row r="475" spans="1:29" x14ac:dyDescent="0.2">
      <c r="A475">
        <v>2019</v>
      </c>
      <c r="B475" t="s">
        <v>10</v>
      </c>
      <c r="C475" t="s">
        <v>13</v>
      </c>
      <c r="D475" t="s">
        <v>177</v>
      </c>
      <c r="E475" t="s">
        <v>111</v>
      </c>
      <c r="F475" s="4">
        <v>43779</v>
      </c>
      <c r="G475" s="5">
        <v>0.90318287037037037</v>
      </c>
      <c r="H475">
        <v>-76.644377603282607</v>
      </c>
      <c r="I475">
        <v>3.3495202009760701</v>
      </c>
      <c r="J475">
        <v>4</v>
      </c>
      <c r="K475" t="s">
        <v>119</v>
      </c>
      <c r="M475">
        <v>2449</v>
      </c>
      <c r="N475" t="b">
        <v>1</v>
      </c>
      <c r="O475" t="b">
        <v>0</v>
      </c>
      <c r="P475">
        <v>12</v>
      </c>
      <c r="Q475">
        <v>0</v>
      </c>
      <c r="R475">
        <v>5</v>
      </c>
      <c r="T475" t="s">
        <v>145</v>
      </c>
      <c r="U475" t="s">
        <v>291</v>
      </c>
      <c r="V475" t="s">
        <v>47</v>
      </c>
      <c r="X475">
        <v>0</v>
      </c>
      <c r="AA475" t="s">
        <v>117</v>
      </c>
    </row>
    <row r="476" spans="1:29" x14ac:dyDescent="0.2">
      <c r="A476">
        <v>2019</v>
      </c>
      <c r="B476" t="s">
        <v>10</v>
      </c>
      <c r="C476" t="s">
        <v>13</v>
      </c>
      <c r="D476" t="s">
        <v>177</v>
      </c>
      <c r="E476" t="s">
        <v>111</v>
      </c>
      <c r="F476" s="4">
        <v>43779</v>
      </c>
      <c r="G476" s="5">
        <v>0.94593749999999999</v>
      </c>
      <c r="H476">
        <v>-76.643754051666207</v>
      </c>
      <c r="I476">
        <v>3.34941648004517</v>
      </c>
      <c r="J476">
        <v>4</v>
      </c>
      <c r="K476" t="s">
        <v>119</v>
      </c>
      <c r="M476">
        <v>2449</v>
      </c>
      <c r="N476" t="b">
        <v>1</v>
      </c>
      <c r="O476" t="b">
        <v>0</v>
      </c>
      <c r="P476">
        <v>15</v>
      </c>
      <c r="Q476">
        <v>0</v>
      </c>
      <c r="R476">
        <v>15</v>
      </c>
      <c r="T476" t="s">
        <v>145</v>
      </c>
      <c r="U476" t="s">
        <v>334</v>
      </c>
      <c r="V476" t="s">
        <v>47</v>
      </c>
      <c r="X476">
        <v>0</v>
      </c>
      <c r="AA476" t="s">
        <v>117</v>
      </c>
    </row>
    <row r="477" spans="1:29" x14ac:dyDescent="0.2">
      <c r="A477">
        <v>2019</v>
      </c>
      <c r="B477" t="s">
        <v>10</v>
      </c>
      <c r="C477" t="s">
        <v>14</v>
      </c>
      <c r="D477" t="s">
        <v>324</v>
      </c>
      <c r="E477" t="s">
        <v>127</v>
      </c>
      <c r="F477" s="4">
        <v>43779</v>
      </c>
      <c r="G477" s="5">
        <v>0.85836805555555551</v>
      </c>
      <c r="H477">
        <v>-76.6463014310566</v>
      </c>
      <c r="I477">
        <v>3.3497471836928101</v>
      </c>
      <c r="J477">
        <v>4</v>
      </c>
      <c r="K477" t="s">
        <v>119</v>
      </c>
      <c r="M477">
        <v>2480</v>
      </c>
      <c r="N477" t="b">
        <v>1</v>
      </c>
      <c r="O477" t="b">
        <v>0</v>
      </c>
      <c r="P477">
        <v>4</v>
      </c>
      <c r="R477">
        <v>15</v>
      </c>
      <c r="T477" t="s">
        <v>145</v>
      </c>
      <c r="U477" t="s">
        <v>335</v>
      </c>
      <c r="V477" t="s">
        <v>47</v>
      </c>
      <c r="X477">
        <v>0</v>
      </c>
      <c r="AA477" t="s">
        <v>117</v>
      </c>
    </row>
    <row r="478" spans="1:29" x14ac:dyDescent="0.2">
      <c r="A478">
        <v>2019</v>
      </c>
      <c r="B478" t="s">
        <v>10</v>
      </c>
      <c r="C478" t="s">
        <v>11</v>
      </c>
      <c r="D478" t="s">
        <v>186</v>
      </c>
      <c r="E478" t="s">
        <v>122</v>
      </c>
      <c r="F478" s="4">
        <v>43780</v>
      </c>
      <c r="G478" s="5">
        <v>0.80899305555555556</v>
      </c>
      <c r="H478">
        <v>-76.656500202685606</v>
      </c>
      <c r="I478">
        <v>3.3550414326182101</v>
      </c>
      <c r="J478">
        <v>4</v>
      </c>
      <c r="K478" t="s">
        <v>119</v>
      </c>
      <c r="M478">
        <v>2586</v>
      </c>
      <c r="N478" t="b">
        <v>1</v>
      </c>
      <c r="O478" t="b">
        <v>0</v>
      </c>
      <c r="P478">
        <v>18</v>
      </c>
      <c r="Q478">
        <v>0</v>
      </c>
      <c r="R478">
        <v>5</v>
      </c>
      <c r="T478" t="s">
        <v>145</v>
      </c>
      <c r="U478" t="s">
        <v>336</v>
      </c>
      <c r="V478" t="s">
        <v>47</v>
      </c>
      <c r="X478">
        <v>0</v>
      </c>
      <c r="AA478" t="s">
        <v>117</v>
      </c>
    </row>
    <row r="479" spans="1:29" x14ac:dyDescent="0.2">
      <c r="A479">
        <v>2019</v>
      </c>
      <c r="B479" t="s">
        <v>10</v>
      </c>
      <c r="C479" t="s">
        <v>11</v>
      </c>
      <c r="D479" t="s">
        <v>186</v>
      </c>
      <c r="E479" t="s">
        <v>122</v>
      </c>
      <c r="F479" s="4">
        <v>43780</v>
      </c>
      <c r="G479" s="5">
        <v>0.84668981481481487</v>
      </c>
      <c r="H479">
        <v>-76.655825037952198</v>
      </c>
      <c r="I479">
        <v>3.3546662133532301</v>
      </c>
      <c r="J479">
        <v>4</v>
      </c>
      <c r="K479" t="s">
        <v>119</v>
      </c>
      <c r="M479">
        <v>2600</v>
      </c>
      <c r="N479" t="b">
        <v>1</v>
      </c>
      <c r="O479" t="b">
        <v>0</v>
      </c>
      <c r="P479">
        <v>13</v>
      </c>
      <c r="Q479">
        <v>0</v>
      </c>
      <c r="R479">
        <v>10</v>
      </c>
      <c r="T479" t="s">
        <v>145</v>
      </c>
      <c r="U479" t="s">
        <v>337</v>
      </c>
      <c r="V479" t="s">
        <v>47</v>
      </c>
      <c r="X479">
        <v>0</v>
      </c>
      <c r="AA479" t="s">
        <v>117</v>
      </c>
    </row>
    <row r="480" spans="1:29" x14ac:dyDescent="0.2">
      <c r="A480">
        <v>2019</v>
      </c>
      <c r="B480" t="s">
        <v>10</v>
      </c>
      <c r="C480" t="s">
        <v>11</v>
      </c>
      <c r="D480" t="s">
        <v>186</v>
      </c>
      <c r="E480" t="s">
        <v>122</v>
      </c>
      <c r="F480" s="4">
        <v>43780</v>
      </c>
      <c r="G480" s="5">
        <v>0.84668981481481487</v>
      </c>
      <c r="H480">
        <v>-76.655825037952198</v>
      </c>
      <c r="I480">
        <v>3.3546662133532301</v>
      </c>
      <c r="J480">
        <v>4</v>
      </c>
      <c r="K480" t="s">
        <v>119</v>
      </c>
      <c r="L480" t="s">
        <v>329</v>
      </c>
      <c r="M480">
        <v>2600</v>
      </c>
      <c r="N480" t="b">
        <v>1</v>
      </c>
      <c r="O480" t="b">
        <v>0</v>
      </c>
      <c r="P480">
        <v>13</v>
      </c>
      <c r="Q480">
        <v>0</v>
      </c>
      <c r="R480">
        <v>10</v>
      </c>
      <c r="S480" t="s">
        <v>338</v>
      </c>
      <c r="T480" t="s">
        <v>145</v>
      </c>
      <c r="U480" t="s">
        <v>337</v>
      </c>
      <c r="V480" t="s">
        <v>59</v>
      </c>
      <c r="X480">
        <v>1</v>
      </c>
      <c r="AA480" t="s">
        <v>117</v>
      </c>
    </row>
    <row r="481" spans="1:27" x14ac:dyDescent="0.2">
      <c r="A481">
        <v>2019</v>
      </c>
      <c r="B481" t="s">
        <v>10</v>
      </c>
      <c r="C481" t="s">
        <v>11</v>
      </c>
      <c r="D481" t="s">
        <v>186</v>
      </c>
      <c r="E481" t="s">
        <v>122</v>
      </c>
      <c r="F481" s="4">
        <v>43780</v>
      </c>
      <c r="G481" s="5">
        <v>0.84668981481481487</v>
      </c>
      <c r="H481">
        <v>-76.655825037952198</v>
      </c>
      <c r="I481">
        <v>3.3546662133532301</v>
      </c>
      <c r="J481">
        <v>4</v>
      </c>
      <c r="K481" t="s">
        <v>112</v>
      </c>
      <c r="L481" t="s">
        <v>331</v>
      </c>
      <c r="M481">
        <v>2600</v>
      </c>
      <c r="N481" t="b">
        <v>1</v>
      </c>
      <c r="O481" t="b">
        <v>0</v>
      </c>
      <c r="P481">
        <v>13</v>
      </c>
      <c r="Q481">
        <v>0</v>
      </c>
      <c r="R481">
        <v>10</v>
      </c>
      <c r="S481" t="s">
        <v>259</v>
      </c>
      <c r="T481" t="s">
        <v>145</v>
      </c>
      <c r="V481" t="s">
        <v>59</v>
      </c>
      <c r="X481">
        <v>1</v>
      </c>
      <c r="AA481" t="s">
        <v>117</v>
      </c>
    </row>
    <row r="482" spans="1:27" x14ac:dyDescent="0.2">
      <c r="A482">
        <v>2019</v>
      </c>
      <c r="B482" t="s">
        <v>10</v>
      </c>
      <c r="C482" t="s">
        <v>11</v>
      </c>
      <c r="D482" t="s">
        <v>186</v>
      </c>
      <c r="E482" t="s">
        <v>122</v>
      </c>
      <c r="F482" s="4">
        <v>43780</v>
      </c>
      <c r="G482" s="5">
        <v>0.84668981481481487</v>
      </c>
      <c r="H482">
        <v>-76.655825037952198</v>
      </c>
      <c r="I482">
        <v>3.3546662133532301</v>
      </c>
      <c r="J482">
        <v>4</v>
      </c>
      <c r="K482" t="s">
        <v>112</v>
      </c>
      <c r="L482" t="s">
        <v>339</v>
      </c>
      <c r="M482">
        <v>2480</v>
      </c>
      <c r="N482" t="b">
        <v>1</v>
      </c>
      <c r="O482" t="b">
        <v>0</v>
      </c>
      <c r="P482">
        <v>15</v>
      </c>
      <c r="Q482">
        <v>0</v>
      </c>
      <c r="R482">
        <v>10</v>
      </c>
      <c r="S482" t="s">
        <v>259</v>
      </c>
      <c r="T482" t="s">
        <v>145</v>
      </c>
      <c r="V482" t="s">
        <v>7</v>
      </c>
      <c r="X482">
        <v>1</v>
      </c>
      <c r="AA482" t="s">
        <v>117</v>
      </c>
    </row>
    <row r="483" spans="1:27" x14ac:dyDescent="0.2">
      <c r="A483">
        <v>2019</v>
      </c>
      <c r="B483" t="s">
        <v>10</v>
      </c>
      <c r="C483" t="s">
        <v>12</v>
      </c>
      <c r="D483" t="s">
        <v>189</v>
      </c>
      <c r="E483" t="s">
        <v>157</v>
      </c>
      <c r="F483" s="4">
        <v>43780</v>
      </c>
      <c r="G483" s="5">
        <v>0.92521990740740745</v>
      </c>
      <c r="H483">
        <v>-76.653324354943095</v>
      </c>
      <c r="I483">
        <v>3.35336458608987</v>
      </c>
      <c r="J483">
        <v>4</v>
      </c>
      <c r="K483" t="s">
        <v>119</v>
      </c>
      <c r="M483">
        <v>2503</v>
      </c>
      <c r="N483" t="b">
        <v>1</v>
      </c>
      <c r="O483" t="b">
        <v>0</v>
      </c>
      <c r="P483">
        <v>12</v>
      </c>
      <c r="Q483">
        <v>0</v>
      </c>
      <c r="R483">
        <v>15</v>
      </c>
      <c r="T483" t="s">
        <v>145</v>
      </c>
      <c r="U483" t="s">
        <v>340</v>
      </c>
      <c r="V483" t="s">
        <v>47</v>
      </c>
      <c r="X483">
        <v>0</v>
      </c>
      <c r="AA483" t="s">
        <v>117</v>
      </c>
    </row>
    <row r="484" spans="1:27" x14ac:dyDescent="0.2">
      <c r="A484">
        <v>2019</v>
      </c>
      <c r="B484" t="s">
        <v>10</v>
      </c>
      <c r="C484" t="s">
        <v>11</v>
      </c>
      <c r="D484" t="s">
        <v>228</v>
      </c>
      <c r="E484" t="s">
        <v>111</v>
      </c>
      <c r="F484" s="4">
        <v>43780</v>
      </c>
      <c r="G484" s="5">
        <v>0.89053240740740736</v>
      </c>
      <c r="H484">
        <v>-76.6551908547236</v>
      </c>
      <c r="I484">
        <v>3.3539790168830899</v>
      </c>
      <c r="J484">
        <v>4</v>
      </c>
      <c r="K484" t="s">
        <v>112</v>
      </c>
      <c r="L484" t="s">
        <v>331</v>
      </c>
      <c r="M484">
        <v>2590</v>
      </c>
      <c r="N484" t="b">
        <v>1</v>
      </c>
      <c r="O484" t="b">
        <v>0</v>
      </c>
      <c r="P484">
        <v>10</v>
      </c>
      <c r="Q484">
        <v>0</v>
      </c>
      <c r="R484">
        <v>15</v>
      </c>
      <c r="S484" t="s">
        <v>259</v>
      </c>
      <c r="T484" t="s">
        <v>145</v>
      </c>
      <c r="U484" t="s">
        <v>260</v>
      </c>
      <c r="V484" t="s">
        <v>59</v>
      </c>
      <c r="X484">
        <v>1</v>
      </c>
      <c r="AA484" t="s">
        <v>117</v>
      </c>
    </row>
    <row r="485" spans="1:27" x14ac:dyDescent="0.2">
      <c r="A485">
        <v>2019</v>
      </c>
      <c r="B485" t="s">
        <v>10</v>
      </c>
      <c r="C485" t="s">
        <v>11</v>
      </c>
      <c r="D485" t="s">
        <v>228</v>
      </c>
      <c r="E485" t="s">
        <v>111</v>
      </c>
      <c r="F485" s="4">
        <v>43780</v>
      </c>
      <c r="G485" s="5">
        <v>0.88464120370370369</v>
      </c>
      <c r="H485">
        <v>-76.655448981404405</v>
      </c>
      <c r="I485">
        <v>3.3541432947293801</v>
      </c>
      <c r="J485">
        <v>4</v>
      </c>
      <c r="K485" t="s">
        <v>112</v>
      </c>
      <c r="L485" t="s">
        <v>331</v>
      </c>
      <c r="M485">
        <v>2600</v>
      </c>
      <c r="N485" t="b">
        <v>1</v>
      </c>
      <c r="O485" t="b">
        <v>0</v>
      </c>
      <c r="P485">
        <v>9</v>
      </c>
      <c r="Q485">
        <v>0</v>
      </c>
      <c r="R485">
        <v>5</v>
      </c>
      <c r="S485" t="s">
        <v>259</v>
      </c>
      <c r="T485" t="s">
        <v>145</v>
      </c>
      <c r="V485" t="s">
        <v>59</v>
      </c>
      <c r="X485">
        <v>1</v>
      </c>
      <c r="AA485" t="s">
        <v>117</v>
      </c>
    </row>
    <row r="486" spans="1:27" x14ac:dyDescent="0.2">
      <c r="A486">
        <v>2019</v>
      </c>
      <c r="B486" t="s">
        <v>10</v>
      </c>
      <c r="C486" t="s">
        <v>11</v>
      </c>
      <c r="D486" t="s">
        <v>228</v>
      </c>
      <c r="E486" t="s">
        <v>111</v>
      </c>
      <c r="F486" s="4">
        <v>43780</v>
      </c>
      <c r="G486" s="5">
        <v>0.85650462962962959</v>
      </c>
      <c r="H486">
        <v>-76.655694487928898</v>
      </c>
      <c r="I486">
        <v>3.3544691135718399</v>
      </c>
      <c r="J486">
        <v>4</v>
      </c>
      <c r="K486" t="s">
        <v>119</v>
      </c>
      <c r="M486">
        <v>2500</v>
      </c>
      <c r="N486" t="b">
        <v>1</v>
      </c>
      <c r="O486" t="b">
        <v>0</v>
      </c>
      <c r="P486">
        <v>5</v>
      </c>
      <c r="Q486">
        <v>0</v>
      </c>
      <c r="R486">
        <v>8</v>
      </c>
      <c r="T486" t="s">
        <v>145</v>
      </c>
      <c r="U486" t="s">
        <v>341</v>
      </c>
      <c r="V486" t="s">
        <v>47</v>
      </c>
      <c r="X486">
        <v>0</v>
      </c>
      <c r="AA486" t="s">
        <v>117</v>
      </c>
    </row>
    <row r="487" spans="1:27" x14ac:dyDescent="0.2">
      <c r="A487">
        <v>2019</v>
      </c>
      <c r="B487" t="s">
        <v>10</v>
      </c>
      <c r="C487" t="s">
        <v>12</v>
      </c>
      <c r="D487" t="s">
        <v>192</v>
      </c>
      <c r="E487" t="s">
        <v>135</v>
      </c>
      <c r="F487" s="4">
        <v>43780</v>
      </c>
      <c r="G487" s="5">
        <v>0.95431712962962967</v>
      </c>
      <c r="H487">
        <v>-76.651871505806895</v>
      </c>
      <c r="I487">
        <v>3.3532417483226902</v>
      </c>
      <c r="J487">
        <v>4</v>
      </c>
      <c r="K487" t="s">
        <v>119</v>
      </c>
      <c r="M487">
        <v>2526</v>
      </c>
      <c r="N487" t="b">
        <v>1</v>
      </c>
      <c r="O487" t="b">
        <v>0</v>
      </c>
      <c r="P487">
        <v>18</v>
      </c>
      <c r="Q487">
        <v>0</v>
      </c>
      <c r="R487">
        <v>18</v>
      </c>
      <c r="T487" t="s">
        <v>145</v>
      </c>
      <c r="U487" t="s">
        <v>342</v>
      </c>
      <c r="V487" t="s">
        <v>47</v>
      </c>
      <c r="X487">
        <v>0</v>
      </c>
      <c r="AA487" t="s">
        <v>117</v>
      </c>
    </row>
    <row r="488" spans="1:27" x14ac:dyDescent="0.2">
      <c r="A488">
        <v>2019</v>
      </c>
      <c r="B488" t="s">
        <v>10</v>
      </c>
      <c r="C488" t="s">
        <v>11</v>
      </c>
      <c r="D488" t="s">
        <v>228</v>
      </c>
      <c r="E488" t="s">
        <v>111</v>
      </c>
      <c r="F488" s="4">
        <v>43780</v>
      </c>
      <c r="G488" s="5">
        <v>0.87910879629629635</v>
      </c>
      <c r="H488">
        <v>-76.655468560588005</v>
      </c>
      <c r="I488">
        <v>3.3542101363388199</v>
      </c>
      <c r="J488">
        <v>4</v>
      </c>
      <c r="K488" t="s">
        <v>112</v>
      </c>
      <c r="L488" t="s">
        <v>331</v>
      </c>
      <c r="M488">
        <v>2560</v>
      </c>
      <c r="N488" t="b">
        <v>1</v>
      </c>
      <c r="O488" t="b">
        <v>0</v>
      </c>
      <c r="P488">
        <v>7</v>
      </c>
      <c r="Q488">
        <v>0</v>
      </c>
      <c r="R488">
        <v>15</v>
      </c>
      <c r="S488" t="s">
        <v>304</v>
      </c>
      <c r="T488" t="s">
        <v>145</v>
      </c>
      <c r="V488" t="s">
        <v>59</v>
      </c>
      <c r="X488">
        <v>1</v>
      </c>
      <c r="AA488" t="s">
        <v>117</v>
      </c>
    </row>
    <row r="489" spans="1:27" x14ac:dyDescent="0.2">
      <c r="A489">
        <v>2019</v>
      </c>
      <c r="B489" t="s">
        <v>10</v>
      </c>
      <c r="C489" t="s">
        <v>11</v>
      </c>
      <c r="D489" t="s">
        <v>228</v>
      </c>
      <c r="E489" t="s">
        <v>111</v>
      </c>
      <c r="F489" s="4">
        <v>43780</v>
      </c>
      <c r="G489" s="5">
        <v>0.87274305555555554</v>
      </c>
      <c r="H489">
        <v>-76.655670752264001</v>
      </c>
      <c r="I489">
        <v>3.3542365177371001</v>
      </c>
      <c r="J489">
        <v>4</v>
      </c>
      <c r="K489" t="s">
        <v>119</v>
      </c>
      <c r="L489" t="s">
        <v>326</v>
      </c>
      <c r="M489">
        <v>2580</v>
      </c>
      <c r="N489" t="b">
        <v>1</v>
      </c>
      <c r="O489" t="b">
        <v>0</v>
      </c>
      <c r="P489">
        <v>15</v>
      </c>
      <c r="Q489">
        <v>0</v>
      </c>
      <c r="R489">
        <v>5</v>
      </c>
      <c r="S489" t="s">
        <v>304</v>
      </c>
      <c r="T489" t="s">
        <v>145</v>
      </c>
      <c r="V489" t="s">
        <v>59</v>
      </c>
      <c r="X489">
        <v>1</v>
      </c>
      <c r="AA489" t="s">
        <v>117</v>
      </c>
    </row>
    <row r="490" spans="1:27" x14ac:dyDescent="0.2">
      <c r="A490">
        <v>2019</v>
      </c>
      <c r="B490" t="s">
        <v>10</v>
      </c>
      <c r="C490" t="s">
        <v>11</v>
      </c>
      <c r="D490" t="s">
        <v>228</v>
      </c>
      <c r="E490" t="s">
        <v>111</v>
      </c>
      <c r="F490" s="4">
        <v>43780</v>
      </c>
      <c r="G490" s="5">
        <v>0.90258101851851846</v>
      </c>
      <c r="H490">
        <v>-76.654579684636005</v>
      </c>
      <c r="I490">
        <v>3.3537161475125901</v>
      </c>
      <c r="J490">
        <v>4</v>
      </c>
      <c r="K490" t="s">
        <v>119</v>
      </c>
      <c r="M490">
        <v>2565</v>
      </c>
      <c r="N490" t="b">
        <v>1</v>
      </c>
      <c r="O490" t="b">
        <v>0</v>
      </c>
      <c r="P490">
        <v>5</v>
      </c>
      <c r="Q490">
        <v>0</v>
      </c>
      <c r="R490">
        <v>5</v>
      </c>
      <c r="T490" t="s">
        <v>145</v>
      </c>
      <c r="U490" t="s">
        <v>343</v>
      </c>
      <c r="V490" t="s">
        <v>47</v>
      </c>
      <c r="X490">
        <v>0</v>
      </c>
      <c r="AA490" t="s">
        <v>117</v>
      </c>
    </row>
    <row r="491" spans="1:27" x14ac:dyDescent="0.2">
      <c r="A491">
        <v>2019</v>
      </c>
      <c r="B491" t="s">
        <v>10</v>
      </c>
      <c r="C491" t="s">
        <v>12</v>
      </c>
      <c r="D491" t="s">
        <v>192</v>
      </c>
      <c r="E491" t="s">
        <v>135</v>
      </c>
      <c r="F491" s="4">
        <v>43780</v>
      </c>
      <c r="G491" s="5">
        <v>0.93760416666666668</v>
      </c>
      <c r="H491">
        <v>-76.6527996344455</v>
      </c>
      <c r="I491">
        <v>3.35359693598999</v>
      </c>
      <c r="J491">
        <v>4</v>
      </c>
      <c r="K491" t="s">
        <v>119</v>
      </c>
      <c r="L491" t="s">
        <v>344</v>
      </c>
      <c r="M491">
        <v>2530</v>
      </c>
      <c r="N491" t="b">
        <v>1</v>
      </c>
      <c r="O491" t="b">
        <v>0</v>
      </c>
      <c r="P491">
        <v>12</v>
      </c>
      <c r="Q491">
        <v>0</v>
      </c>
      <c r="R491">
        <v>5</v>
      </c>
      <c r="S491" t="s">
        <v>259</v>
      </c>
      <c r="T491" t="s">
        <v>145</v>
      </c>
      <c r="U491" t="s">
        <v>345</v>
      </c>
      <c r="V491" t="s">
        <v>59</v>
      </c>
      <c r="X491">
        <v>1</v>
      </c>
      <c r="AA491" t="s">
        <v>117</v>
      </c>
    </row>
    <row r="492" spans="1:27" x14ac:dyDescent="0.2">
      <c r="A492">
        <v>2019</v>
      </c>
      <c r="B492" t="s">
        <v>10</v>
      </c>
      <c r="C492" t="s">
        <v>11</v>
      </c>
      <c r="D492" t="s">
        <v>228</v>
      </c>
      <c r="E492" t="s">
        <v>111</v>
      </c>
      <c r="F492" s="4">
        <v>43780</v>
      </c>
      <c r="G492" s="5">
        <v>0.89679398148148148</v>
      </c>
      <c r="H492">
        <v>-76.655121635713002</v>
      </c>
      <c r="I492">
        <v>3.3538548736179101</v>
      </c>
      <c r="J492">
        <v>4</v>
      </c>
      <c r="K492" t="s">
        <v>119</v>
      </c>
      <c r="M492">
        <v>2580</v>
      </c>
      <c r="N492" t="b">
        <v>1</v>
      </c>
      <c r="O492" t="b">
        <v>0</v>
      </c>
      <c r="P492">
        <v>15</v>
      </c>
      <c r="Q492">
        <v>0</v>
      </c>
      <c r="R492">
        <v>18</v>
      </c>
      <c r="T492" t="s">
        <v>145</v>
      </c>
      <c r="U492" t="s">
        <v>346</v>
      </c>
      <c r="V492" t="s">
        <v>47</v>
      </c>
      <c r="X492">
        <v>0</v>
      </c>
      <c r="AA492" t="s">
        <v>117</v>
      </c>
    </row>
    <row r="493" spans="1:27" x14ac:dyDescent="0.2">
      <c r="A493">
        <v>2019</v>
      </c>
      <c r="B493" t="s">
        <v>10</v>
      </c>
      <c r="C493" t="s">
        <v>12</v>
      </c>
      <c r="D493" t="s">
        <v>347</v>
      </c>
      <c r="E493" t="s">
        <v>127</v>
      </c>
      <c r="F493" s="4">
        <v>43780</v>
      </c>
      <c r="G493" s="5">
        <v>0.97949074074074072</v>
      </c>
      <c r="H493">
        <v>-76.649814883239699</v>
      </c>
      <c r="I493">
        <v>3.3527553062339899</v>
      </c>
      <c r="J493">
        <v>4</v>
      </c>
      <c r="K493" t="s">
        <v>112</v>
      </c>
      <c r="L493" t="s">
        <v>348</v>
      </c>
      <c r="M493">
        <v>2498</v>
      </c>
      <c r="N493" t="b">
        <v>1</v>
      </c>
      <c r="O493" t="b">
        <v>0</v>
      </c>
      <c r="P493">
        <v>15</v>
      </c>
      <c r="Q493">
        <v>0</v>
      </c>
      <c r="R493">
        <v>5</v>
      </c>
      <c r="S493" t="s">
        <v>304</v>
      </c>
      <c r="T493" t="s">
        <v>145</v>
      </c>
      <c r="U493" t="s">
        <v>349</v>
      </c>
      <c r="V493" t="s">
        <v>59</v>
      </c>
      <c r="X493">
        <v>1</v>
      </c>
      <c r="AA493" t="s">
        <v>117</v>
      </c>
    </row>
    <row r="494" spans="1:27" x14ac:dyDescent="0.2">
      <c r="A494">
        <v>2019</v>
      </c>
      <c r="B494" t="s">
        <v>10</v>
      </c>
      <c r="C494" t="s">
        <v>11</v>
      </c>
      <c r="D494" t="s">
        <v>186</v>
      </c>
      <c r="E494" t="s">
        <v>122</v>
      </c>
      <c r="F494" s="4">
        <v>43780</v>
      </c>
      <c r="G494" s="5">
        <v>0.83663194444444444</v>
      </c>
      <c r="H494">
        <v>-76.655855731629501</v>
      </c>
      <c r="I494">
        <v>3.3547163411789298</v>
      </c>
      <c r="J494">
        <v>4</v>
      </c>
      <c r="K494" t="s">
        <v>112</v>
      </c>
      <c r="L494" t="s">
        <v>350</v>
      </c>
      <c r="M494">
        <v>2500</v>
      </c>
      <c r="N494" t="b">
        <v>1</v>
      </c>
      <c r="O494" t="b">
        <v>0</v>
      </c>
      <c r="P494">
        <v>13</v>
      </c>
      <c r="Q494">
        <v>0</v>
      </c>
      <c r="R494">
        <v>6</v>
      </c>
      <c r="S494" t="s">
        <v>144</v>
      </c>
      <c r="T494" t="s">
        <v>145</v>
      </c>
      <c r="U494" t="s">
        <v>351</v>
      </c>
      <c r="V494" t="s">
        <v>7</v>
      </c>
      <c r="X494">
        <v>1</v>
      </c>
      <c r="AA494" t="s">
        <v>117</v>
      </c>
    </row>
    <row r="495" spans="1:27" x14ac:dyDescent="0.2">
      <c r="A495">
        <v>2019</v>
      </c>
      <c r="B495" t="s">
        <v>10</v>
      </c>
      <c r="C495" t="s">
        <v>12</v>
      </c>
      <c r="D495" t="s">
        <v>189</v>
      </c>
      <c r="E495" t="s">
        <v>157</v>
      </c>
      <c r="F495" s="4">
        <v>43780</v>
      </c>
      <c r="G495" s="5">
        <v>0.9309722222222222</v>
      </c>
      <c r="H495">
        <v>-76.652945197237599</v>
      </c>
      <c r="I495">
        <v>3.3533195088020098</v>
      </c>
      <c r="J495">
        <v>4</v>
      </c>
      <c r="K495" t="s">
        <v>119</v>
      </c>
      <c r="M495">
        <v>2540</v>
      </c>
      <c r="N495" t="b">
        <v>1</v>
      </c>
      <c r="O495" t="b">
        <v>0</v>
      </c>
      <c r="P495">
        <v>10</v>
      </c>
      <c r="Q495">
        <v>0</v>
      </c>
      <c r="R495">
        <v>15</v>
      </c>
      <c r="T495" t="s">
        <v>145</v>
      </c>
      <c r="U495" t="s">
        <v>352</v>
      </c>
      <c r="V495" t="s">
        <v>47</v>
      </c>
      <c r="X495">
        <v>0</v>
      </c>
      <c r="AA495" t="s">
        <v>117</v>
      </c>
    </row>
    <row r="496" spans="1:27" x14ac:dyDescent="0.2">
      <c r="A496">
        <v>2019</v>
      </c>
      <c r="B496" t="s">
        <v>10</v>
      </c>
      <c r="C496" t="s">
        <v>12</v>
      </c>
      <c r="D496" t="s">
        <v>192</v>
      </c>
      <c r="E496" t="s">
        <v>135</v>
      </c>
      <c r="F496" s="4">
        <v>43780</v>
      </c>
      <c r="G496" s="5">
        <v>0.96001157407407411</v>
      </c>
      <c r="H496">
        <v>-76.651447817168304</v>
      </c>
      <c r="I496">
        <v>3.3532232857936801</v>
      </c>
      <c r="J496">
        <v>4</v>
      </c>
      <c r="K496" t="s">
        <v>119</v>
      </c>
      <c r="M496">
        <v>2517</v>
      </c>
      <c r="N496" t="b">
        <v>1</v>
      </c>
      <c r="O496" t="b">
        <v>0</v>
      </c>
      <c r="P496">
        <v>18</v>
      </c>
      <c r="Q496">
        <v>0</v>
      </c>
      <c r="R496">
        <v>5</v>
      </c>
      <c r="T496" t="s">
        <v>145</v>
      </c>
      <c r="U496" t="s">
        <v>353</v>
      </c>
      <c r="V496" t="s">
        <v>47</v>
      </c>
      <c r="X496">
        <v>0</v>
      </c>
      <c r="AA496" t="s">
        <v>117</v>
      </c>
    </row>
    <row r="497" spans="1:29" x14ac:dyDescent="0.2">
      <c r="A497">
        <v>2019</v>
      </c>
      <c r="B497" t="s">
        <v>10</v>
      </c>
      <c r="C497" t="s">
        <v>11</v>
      </c>
      <c r="D497" t="s">
        <v>228</v>
      </c>
      <c r="E497" t="s">
        <v>111</v>
      </c>
      <c r="F497" s="4">
        <v>43780</v>
      </c>
      <c r="G497" s="5">
        <v>0.8646759259259259</v>
      </c>
      <c r="H497">
        <v>-76.655749567570794</v>
      </c>
      <c r="I497">
        <v>3.35434526837021</v>
      </c>
      <c r="J497">
        <v>4</v>
      </c>
      <c r="K497" t="s">
        <v>119</v>
      </c>
      <c r="L497" t="s">
        <v>344</v>
      </c>
      <c r="M497">
        <v>2600</v>
      </c>
      <c r="N497" t="b">
        <v>1</v>
      </c>
      <c r="O497" t="b">
        <v>0</v>
      </c>
      <c r="Q497">
        <v>0</v>
      </c>
      <c r="R497">
        <v>10</v>
      </c>
      <c r="S497" t="s">
        <v>354</v>
      </c>
      <c r="T497" t="s">
        <v>145</v>
      </c>
      <c r="V497" t="s">
        <v>59</v>
      </c>
      <c r="X497">
        <v>2</v>
      </c>
      <c r="AA497" t="s">
        <v>117</v>
      </c>
    </row>
    <row r="498" spans="1:29" x14ac:dyDescent="0.2">
      <c r="A498">
        <v>2019</v>
      </c>
      <c r="B498" t="s">
        <v>49</v>
      </c>
      <c r="C498" t="s">
        <v>54</v>
      </c>
      <c r="D498" t="s">
        <v>248</v>
      </c>
      <c r="E498" t="s">
        <v>122</v>
      </c>
      <c r="F498" s="4">
        <v>43785</v>
      </c>
      <c r="G498" s="5">
        <v>0.88121527777777775</v>
      </c>
      <c r="H498">
        <v>-76.892519626766003</v>
      </c>
      <c r="I498">
        <v>3.5954920990309698</v>
      </c>
      <c r="J498">
        <v>4</v>
      </c>
      <c r="K498" t="s">
        <v>119</v>
      </c>
      <c r="L498" t="s">
        <v>355</v>
      </c>
      <c r="M498">
        <v>599</v>
      </c>
      <c r="N498" t="b">
        <v>1</v>
      </c>
      <c r="O498" t="b">
        <v>0</v>
      </c>
      <c r="P498">
        <v>18</v>
      </c>
      <c r="R498">
        <v>16</v>
      </c>
      <c r="S498" t="s">
        <v>356</v>
      </c>
      <c r="T498" t="s">
        <v>258</v>
      </c>
      <c r="U498" t="s">
        <v>357</v>
      </c>
      <c r="V498" t="s">
        <v>60</v>
      </c>
      <c r="X498">
        <v>2</v>
      </c>
      <c r="AA498" t="s">
        <v>117</v>
      </c>
    </row>
    <row r="499" spans="1:29" x14ac:dyDescent="0.2">
      <c r="A499">
        <v>2019</v>
      </c>
      <c r="B499" t="s">
        <v>49</v>
      </c>
      <c r="C499" t="s">
        <v>54</v>
      </c>
      <c r="D499" t="s">
        <v>248</v>
      </c>
      <c r="E499" t="s">
        <v>122</v>
      </c>
      <c r="F499" s="4">
        <v>43785</v>
      </c>
      <c r="G499" s="5">
        <v>0.85599537037037032</v>
      </c>
      <c r="H499">
        <v>-76.892283252003807</v>
      </c>
      <c r="I499">
        <v>3.59565897419562</v>
      </c>
      <c r="J499">
        <v>4</v>
      </c>
      <c r="M499">
        <v>598</v>
      </c>
      <c r="N499" t="b">
        <v>1</v>
      </c>
      <c r="O499" t="b">
        <v>0</v>
      </c>
      <c r="P499">
        <v>15</v>
      </c>
      <c r="R499">
        <v>20</v>
      </c>
      <c r="T499" t="s">
        <v>145</v>
      </c>
      <c r="U499" t="s">
        <v>358</v>
      </c>
      <c r="V499" t="s">
        <v>47</v>
      </c>
      <c r="X499">
        <v>0</v>
      </c>
      <c r="AA499" t="s">
        <v>117</v>
      </c>
    </row>
    <row r="500" spans="1:29" x14ac:dyDescent="0.2">
      <c r="A500">
        <v>2019</v>
      </c>
      <c r="B500" t="s">
        <v>49</v>
      </c>
      <c r="C500" t="s">
        <v>54</v>
      </c>
      <c r="D500" t="s">
        <v>248</v>
      </c>
      <c r="E500" t="s">
        <v>122</v>
      </c>
      <c r="F500" s="4">
        <v>43785</v>
      </c>
      <c r="G500" s="5">
        <v>0.88643518518518516</v>
      </c>
      <c r="H500">
        <v>-76.892568732481394</v>
      </c>
      <c r="I500">
        <v>3.5955185240818799</v>
      </c>
      <c r="J500">
        <v>4</v>
      </c>
      <c r="K500" t="s">
        <v>119</v>
      </c>
      <c r="L500" t="s">
        <v>120</v>
      </c>
      <c r="M500">
        <v>600</v>
      </c>
      <c r="N500" t="b">
        <v>1</v>
      </c>
      <c r="O500" t="b">
        <v>0</v>
      </c>
      <c r="P500">
        <v>25</v>
      </c>
      <c r="R500">
        <v>10</v>
      </c>
      <c r="S500" t="s">
        <v>359</v>
      </c>
      <c r="T500" t="s">
        <v>258</v>
      </c>
      <c r="V500" t="s">
        <v>30</v>
      </c>
      <c r="X500">
        <v>1</v>
      </c>
      <c r="AA500" t="s">
        <v>117</v>
      </c>
    </row>
    <row r="501" spans="1:29" x14ac:dyDescent="0.2">
      <c r="A501">
        <v>2019</v>
      </c>
      <c r="B501" t="s">
        <v>49</v>
      </c>
      <c r="C501" t="s">
        <v>54</v>
      </c>
      <c r="D501" t="s">
        <v>248</v>
      </c>
      <c r="E501" t="s">
        <v>122</v>
      </c>
      <c r="F501" s="4">
        <v>43785</v>
      </c>
      <c r="G501" s="5">
        <v>0.88643518518518516</v>
      </c>
      <c r="H501">
        <v>-76.892568732481394</v>
      </c>
      <c r="I501">
        <v>3.5955185240818799</v>
      </c>
      <c r="J501">
        <v>4</v>
      </c>
      <c r="K501" t="s">
        <v>119</v>
      </c>
      <c r="L501" t="s">
        <v>355</v>
      </c>
      <c r="M501">
        <v>600</v>
      </c>
      <c r="N501" t="b">
        <v>1</v>
      </c>
      <c r="O501" t="b">
        <v>0</v>
      </c>
      <c r="P501">
        <v>25</v>
      </c>
      <c r="R501">
        <v>10</v>
      </c>
      <c r="S501" t="s">
        <v>360</v>
      </c>
      <c r="T501" t="s">
        <v>258</v>
      </c>
      <c r="V501" t="s">
        <v>30</v>
      </c>
      <c r="X501">
        <v>1</v>
      </c>
      <c r="AA501" t="s">
        <v>117</v>
      </c>
    </row>
    <row r="502" spans="1:29" x14ac:dyDescent="0.2">
      <c r="A502">
        <v>2019</v>
      </c>
      <c r="B502" t="s">
        <v>49</v>
      </c>
      <c r="C502" t="s">
        <v>54</v>
      </c>
      <c r="D502" t="s">
        <v>248</v>
      </c>
      <c r="E502" t="s">
        <v>122</v>
      </c>
      <c r="F502" s="4">
        <v>43785</v>
      </c>
      <c r="G502" s="5">
        <v>0.86988425925925927</v>
      </c>
      <c r="H502">
        <v>-76.892493382465702</v>
      </c>
      <c r="I502">
        <v>3.59552470491096</v>
      </c>
      <c r="J502">
        <v>4</v>
      </c>
      <c r="K502" t="s">
        <v>112</v>
      </c>
      <c r="L502" t="s">
        <v>113</v>
      </c>
      <c r="M502">
        <v>572</v>
      </c>
      <c r="N502" t="b">
        <v>1</v>
      </c>
      <c r="O502" t="b">
        <v>0</v>
      </c>
      <c r="P502">
        <v>20</v>
      </c>
      <c r="S502" t="s">
        <v>314</v>
      </c>
      <c r="T502" t="s">
        <v>145</v>
      </c>
      <c r="V502" t="s">
        <v>30</v>
      </c>
      <c r="X502">
        <v>1</v>
      </c>
      <c r="AA502" t="s">
        <v>117</v>
      </c>
    </row>
    <row r="503" spans="1:29" x14ac:dyDescent="0.2">
      <c r="A503">
        <v>2019</v>
      </c>
      <c r="B503" t="s">
        <v>49</v>
      </c>
      <c r="C503" t="s">
        <v>54</v>
      </c>
      <c r="D503" t="s">
        <v>247</v>
      </c>
      <c r="E503" t="s">
        <v>111</v>
      </c>
      <c r="F503" s="4">
        <v>43785</v>
      </c>
      <c r="G503" s="5">
        <v>0.83437499999999998</v>
      </c>
      <c r="H503">
        <v>-76.892138089579603</v>
      </c>
      <c r="I503">
        <v>3.5950463339044001</v>
      </c>
      <c r="J503">
        <v>4</v>
      </c>
      <c r="K503" t="s">
        <v>119</v>
      </c>
      <c r="L503" t="s">
        <v>227</v>
      </c>
      <c r="M503">
        <v>597</v>
      </c>
      <c r="N503" t="b">
        <v>1</v>
      </c>
      <c r="O503" t="b">
        <v>0</v>
      </c>
      <c r="P503">
        <v>25</v>
      </c>
      <c r="R503">
        <v>15</v>
      </c>
      <c r="S503" t="s">
        <v>361</v>
      </c>
      <c r="T503" t="s">
        <v>145</v>
      </c>
      <c r="V503" t="s">
        <v>30</v>
      </c>
      <c r="X503">
        <v>1</v>
      </c>
      <c r="AA503" t="s">
        <v>117</v>
      </c>
    </row>
    <row r="504" spans="1:29" x14ac:dyDescent="0.2">
      <c r="A504">
        <v>2019</v>
      </c>
      <c r="B504" t="s">
        <v>49</v>
      </c>
      <c r="C504" t="s">
        <v>54</v>
      </c>
      <c r="D504" t="s">
        <v>247</v>
      </c>
      <c r="E504" t="s">
        <v>111</v>
      </c>
      <c r="F504" s="4">
        <v>43785</v>
      </c>
      <c r="G504" s="5">
        <v>0.83437499999999998</v>
      </c>
      <c r="H504">
        <v>-76.892138089579603</v>
      </c>
      <c r="I504">
        <v>3.5950463339044001</v>
      </c>
      <c r="J504">
        <v>4</v>
      </c>
      <c r="K504" t="s">
        <v>112</v>
      </c>
      <c r="L504" t="s">
        <v>113</v>
      </c>
      <c r="M504">
        <v>596</v>
      </c>
      <c r="N504" t="b">
        <v>1</v>
      </c>
      <c r="O504" t="b">
        <v>0</v>
      </c>
      <c r="P504">
        <v>20</v>
      </c>
      <c r="R504">
        <v>15</v>
      </c>
      <c r="S504" t="s">
        <v>361</v>
      </c>
      <c r="T504" t="s">
        <v>145</v>
      </c>
      <c r="V504" t="s">
        <v>30</v>
      </c>
      <c r="X504">
        <v>1</v>
      </c>
      <c r="AA504" t="s">
        <v>117</v>
      </c>
    </row>
    <row r="505" spans="1:29" x14ac:dyDescent="0.2">
      <c r="A505">
        <v>2019</v>
      </c>
      <c r="B505" t="s">
        <v>49</v>
      </c>
      <c r="C505" t="s">
        <v>54</v>
      </c>
      <c r="D505" t="s">
        <v>247</v>
      </c>
      <c r="E505" t="s">
        <v>111</v>
      </c>
      <c r="F505" s="4">
        <v>43785</v>
      </c>
      <c r="G505" s="5">
        <v>0.83437499999999998</v>
      </c>
      <c r="H505">
        <v>-76.892138089579603</v>
      </c>
      <c r="I505">
        <v>3.5950463339044001</v>
      </c>
      <c r="J505">
        <v>4</v>
      </c>
      <c r="K505" t="s">
        <v>112</v>
      </c>
      <c r="L505" t="s">
        <v>308</v>
      </c>
      <c r="M505">
        <v>594</v>
      </c>
      <c r="N505" t="b">
        <v>1</v>
      </c>
      <c r="O505" t="b">
        <v>0</v>
      </c>
      <c r="P505">
        <v>25</v>
      </c>
      <c r="R505">
        <v>15</v>
      </c>
      <c r="S505" t="s">
        <v>259</v>
      </c>
      <c r="T505" t="s">
        <v>145</v>
      </c>
      <c r="V505" t="s">
        <v>30</v>
      </c>
      <c r="X505">
        <v>1</v>
      </c>
      <c r="AA505" t="s">
        <v>117</v>
      </c>
    </row>
    <row r="506" spans="1:29" x14ac:dyDescent="0.2">
      <c r="A506">
        <v>2019</v>
      </c>
      <c r="B506" t="s">
        <v>49</v>
      </c>
      <c r="C506" t="s">
        <v>54</v>
      </c>
      <c r="D506" t="s">
        <v>362</v>
      </c>
      <c r="E506" t="s">
        <v>135</v>
      </c>
      <c r="F506" s="4">
        <v>43785</v>
      </c>
      <c r="G506" s="5">
        <v>0.94163194444444442</v>
      </c>
      <c r="H506">
        <v>-76.888735343661807</v>
      </c>
      <c r="I506">
        <v>3.5971203910936098</v>
      </c>
      <c r="J506">
        <v>4</v>
      </c>
      <c r="K506" t="s">
        <v>119</v>
      </c>
      <c r="L506" t="s">
        <v>113</v>
      </c>
      <c r="M506">
        <v>590</v>
      </c>
      <c r="N506" t="b">
        <v>1</v>
      </c>
      <c r="O506" t="b">
        <v>0</v>
      </c>
      <c r="P506">
        <v>30</v>
      </c>
      <c r="R506">
        <v>11</v>
      </c>
      <c r="S506" t="s">
        <v>363</v>
      </c>
      <c r="T506" t="s">
        <v>145</v>
      </c>
      <c r="U506" t="s">
        <v>364</v>
      </c>
      <c r="V506" t="s">
        <v>30</v>
      </c>
      <c r="X506">
        <v>1</v>
      </c>
      <c r="AA506" t="s">
        <v>365</v>
      </c>
    </row>
    <row r="507" spans="1:29" x14ac:dyDescent="0.2">
      <c r="A507">
        <v>2019</v>
      </c>
      <c r="B507" t="s">
        <v>49</v>
      </c>
      <c r="C507" t="s">
        <v>54</v>
      </c>
      <c r="D507" t="s">
        <v>362</v>
      </c>
      <c r="E507" t="s">
        <v>135</v>
      </c>
      <c r="F507" s="4">
        <v>43785</v>
      </c>
      <c r="G507" s="5">
        <v>0.96875</v>
      </c>
      <c r="H507">
        <v>-76.888382369596002</v>
      </c>
      <c r="I507">
        <v>3.59808251073534</v>
      </c>
      <c r="J507">
        <v>4</v>
      </c>
      <c r="M507">
        <v>533</v>
      </c>
      <c r="N507" t="b">
        <v>1</v>
      </c>
      <c r="O507" t="b">
        <v>0</v>
      </c>
      <c r="P507">
        <v>25</v>
      </c>
      <c r="R507">
        <v>15</v>
      </c>
      <c r="T507" t="s">
        <v>145</v>
      </c>
      <c r="U507" t="s">
        <v>366</v>
      </c>
      <c r="V507" t="s">
        <v>47</v>
      </c>
      <c r="X507">
        <v>0</v>
      </c>
      <c r="AA507" t="s">
        <v>365</v>
      </c>
    </row>
    <row r="508" spans="1:29" x14ac:dyDescent="0.2">
      <c r="A508">
        <v>2019</v>
      </c>
      <c r="B508" t="s">
        <v>49</v>
      </c>
      <c r="C508" t="s">
        <v>54</v>
      </c>
      <c r="D508" t="s">
        <v>362</v>
      </c>
      <c r="E508" t="s">
        <v>135</v>
      </c>
      <c r="F508" s="4">
        <v>43785</v>
      </c>
      <c r="G508" s="5">
        <v>0.95663194444444444</v>
      </c>
      <c r="H508">
        <v>-76.8885821203924</v>
      </c>
      <c r="I508">
        <v>3.5977703592358101</v>
      </c>
      <c r="J508">
        <v>4</v>
      </c>
      <c r="K508" t="s">
        <v>112</v>
      </c>
      <c r="L508" t="s">
        <v>113</v>
      </c>
      <c r="M508">
        <v>590</v>
      </c>
      <c r="N508" t="b">
        <v>1</v>
      </c>
      <c r="O508" t="b">
        <v>0</v>
      </c>
      <c r="P508">
        <v>15</v>
      </c>
      <c r="R508">
        <v>20</v>
      </c>
      <c r="S508" t="s">
        <v>314</v>
      </c>
      <c r="T508" t="s">
        <v>145</v>
      </c>
      <c r="V508" t="s">
        <v>30</v>
      </c>
      <c r="X508">
        <v>1</v>
      </c>
      <c r="AA508" t="s">
        <v>365</v>
      </c>
    </row>
    <row r="509" spans="1:29" x14ac:dyDescent="0.2">
      <c r="A509">
        <v>2019</v>
      </c>
      <c r="B509" t="s">
        <v>49</v>
      </c>
      <c r="C509" t="s">
        <v>54</v>
      </c>
      <c r="D509" t="s">
        <v>362</v>
      </c>
      <c r="E509" t="s">
        <v>135</v>
      </c>
      <c r="F509" s="4">
        <v>43785</v>
      </c>
      <c r="G509" s="5">
        <v>0.95663194444444444</v>
      </c>
      <c r="H509">
        <v>-76.8885821203924</v>
      </c>
      <c r="I509">
        <v>3.5977703592358101</v>
      </c>
      <c r="J509">
        <v>4</v>
      </c>
      <c r="K509" t="s">
        <v>119</v>
      </c>
      <c r="L509" t="s">
        <v>227</v>
      </c>
      <c r="M509">
        <v>590</v>
      </c>
      <c r="N509" t="b">
        <v>1</v>
      </c>
      <c r="O509" t="b">
        <v>0</v>
      </c>
      <c r="P509">
        <v>30</v>
      </c>
      <c r="R509">
        <v>10</v>
      </c>
      <c r="S509" t="s">
        <v>360</v>
      </c>
      <c r="T509" t="s">
        <v>145</v>
      </c>
      <c r="V509" t="s">
        <v>30</v>
      </c>
      <c r="X509">
        <v>1</v>
      </c>
      <c r="AA509" t="s">
        <v>365</v>
      </c>
    </row>
    <row r="510" spans="1:29" x14ac:dyDescent="0.2">
      <c r="A510">
        <v>2019</v>
      </c>
      <c r="B510" t="s">
        <v>49</v>
      </c>
      <c r="C510" t="s">
        <v>54</v>
      </c>
      <c r="D510" t="s">
        <v>196</v>
      </c>
      <c r="E510" t="s">
        <v>127</v>
      </c>
      <c r="F510" s="4">
        <v>43785</v>
      </c>
      <c r="G510" s="5">
        <v>0.90833333333333333</v>
      </c>
      <c r="H510">
        <v>-76.893038965661205</v>
      </c>
      <c r="I510">
        <v>3.5962833075515199</v>
      </c>
      <c r="J510">
        <v>4</v>
      </c>
      <c r="K510" t="s">
        <v>119</v>
      </c>
      <c r="M510">
        <v>588</v>
      </c>
      <c r="N510" t="b">
        <v>1</v>
      </c>
      <c r="O510" t="b">
        <v>0</v>
      </c>
      <c r="P510">
        <v>18</v>
      </c>
      <c r="Q510">
        <v>0</v>
      </c>
      <c r="R510">
        <v>20</v>
      </c>
      <c r="T510" t="s">
        <v>145</v>
      </c>
      <c r="U510" t="s">
        <v>367</v>
      </c>
      <c r="V510" t="s">
        <v>47</v>
      </c>
      <c r="X510">
        <v>0</v>
      </c>
      <c r="AA510" t="s">
        <v>117</v>
      </c>
    </row>
    <row r="511" spans="1:29" x14ac:dyDescent="0.2">
      <c r="A511">
        <v>2019</v>
      </c>
      <c r="B511" t="s">
        <v>49</v>
      </c>
      <c r="C511" t="s">
        <v>54</v>
      </c>
      <c r="D511" t="s">
        <v>248</v>
      </c>
      <c r="E511" t="s">
        <v>122</v>
      </c>
      <c r="F511" s="4">
        <v>43785</v>
      </c>
      <c r="G511" s="5">
        <v>0.84752314814814811</v>
      </c>
      <c r="H511">
        <v>-76.892203717650304</v>
      </c>
      <c r="I511">
        <v>3.59550555396482</v>
      </c>
      <c r="J511">
        <v>4</v>
      </c>
      <c r="K511" t="s">
        <v>119</v>
      </c>
      <c r="L511" t="s">
        <v>227</v>
      </c>
      <c r="M511">
        <v>595</v>
      </c>
      <c r="N511" t="b">
        <v>1</v>
      </c>
      <c r="O511" t="b">
        <v>0</v>
      </c>
      <c r="P511">
        <v>20</v>
      </c>
      <c r="R511">
        <v>12</v>
      </c>
      <c r="S511" t="s">
        <v>314</v>
      </c>
      <c r="T511" t="s">
        <v>145</v>
      </c>
      <c r="V511" t="s">
        <v>30</v>
      </c>
      <c r="X511">
        <v>1</v>
      </c>
      <c r="AA511" t="s">
        <v>267</v>
      </c>
      <c r="AC511" t="s">
        <v>368</v>
      </c>
    </row>
    <row r="512" spans="1:29" x14ac:dyDescent="0.2">
      <c r="A512">
        <v>2019</v>
      </c>
      <c r="B512" t="s">
        <v>49</v>
      </c>
      <c r="C512" t="s">
        <v>54</v>
      </c>
      <c r="D512" t="s">
        <v>248</v>
      </c>
      <c r="E512" t="s">
        <v>122</v>
      </c>
      <c r="F512" s="4">
        <v>43785</v>
      </c>
      <c r="G512" s="5">
        <v>0.84752314814814811</v>
      </c>
      <c r="H512">
        <v>-76.892203717650304</v>
      </c>
      <c r="I512">
        <v>3.59550555396482</v>
      </c>
      <c r="J512">
        <v>4</v>
      </c>
      <c r="K512" t="s">
        <v>119</v>
      </c>
      <c r="L512" t="s">
        <v>120</v>
      </c>
      <c r="M512">
        <v>595</v>
      </c>
      <c r="N512" t="b">
        <v>1</v>
      </c>
      <c r="O512" t="b">
        <v>0</v>
      </c>
      <c r="P512">
        <v>25</v>
      </c>
      <c r="R512">
        <v>12</v>
      </c>
      <c r="S512" t="s">
        <v>314</v>
      </c>
      <c r="T512" t="s">
        <v>145</v>
      </c>
      <c r="V512" t="s">
        <v>30</v>
      </c>
      <c r="X512">
        <v>1</v>
      </c>
      <c r="AA512" t="s">
        <v>267</v>
      </c>
      <c r="AC512" t="s">
        <v>369</v>
      </c>
    </row>
    <row r="513" spans="1:29" x14ac:dyDescent="0.2">
      <c r="A513">
        <v>2019</v>
      </c>
      <c r="B513" t="s">
        <v>49</v>
      </c>
      <c r="C513" t="s">
        <v>54</v>
      </c>
      <c r="D513" t="s">
        <v>247</v>
      </c>
      <c r="E513" t="s">
        <v>111</v>
      </c>
      <c r="F513" s="4">
        <v>43785</v>
      </c>
      <c r="G513" s="5">
        <v>0.81600694444444444</v>
      </c>
      <c r="H513">
        <v>-76.892006535818496</v>
      </c>
      <c r="I513">
        <v>3.5946518722407599</v>
      </c>
      <c r="J513">
        <v>4</v>
      </c>
      <c r="K513" t="s">
        <v>119</v>
      </c>
      <c r="L513" t="s">
        <v>276</v>
      </c>
      <c r="M513">
        <v>566</v>
      </c>
      <c r="N513" t="b">
        <v>1</v>
      </c>
      <c r="O513" t="b">
        <v>0</v>
      </c>
      <c r="P513">
        <v>20</v>
      </c>
      <c r="Q513">
        <v>0</v>
      </c>
      <c r="R513">
        <v>15</v>
      </c>
      <c r="S513" t="s">
        <v>370</v>
      </c>
      <c r="T513" t="s">
        <v>145</v>
      </c>
      <c r="V513" t="s">
        <v>30</v>
      </c>
      <c r="X513">
        <v>1</v>
      </c>
      <c r="AA513" t="s">
        <v>117</v>
      </c>
    </row>
    <row r="514" spans="1:29" x14ac:dyDescent="0.2">
      <c r="A514">
        <v>2019</v>
      </c>
      <c r="B514" t="s">
        <v>49</v>
      </c>
      <c r="C514" t="s">
        <v>54</v>
      </c>
      <c r="D514" t="s">
        <v>247</v>
      </c>
      <c r="E514" t="s">
        <v>111</v>
      </c>
      <c r="F514" s="4">
        <v>43785</v>
      </c>
      <c r="G514" s="5">
        <v>0.81600694444444444</v>
      </c>
      <c r="H514">
        <v>-76.892006535818496</v>
      </c>
      <c r="I514">
        <v>3.5946518722407599</v>
      </c>
      <c r="J514">
        <v>4</v>
      </c>
      <c r="K514" t="s">
        <v>119</v>
      </c>
      <c r="L514" t="s">
        <v>276</v>
      </c>
      <c r="M514">
        <v>688</v>
      </c>
      <c r="N514" t="b">
        <v>1</v>
      </c>
      <c r="O514" t="b">
        <v>0</v>
      </c>
      <c r="P514">
        <v>20</v>
      </c>
      <c r="R514">
        <v>15</v>
      </c>
      <c r="S514" t="s">
        <v>363</v>
      </c>
      <c r="T514" t="s">
        <v>145</v>
      </c>
      <c r="V514" t="s">
        <v>30</v>
      </c>
      <c r="X514">
        <v>1</v>
      </c>
      <c r="AA514" t="s">
        <v>267</v>
      </c>
      <c r="AC514" t="s">
        <v>371</v>
      </c>
    </row>
    <row r="515" spans="1:29" x14ac:dyDescent="0.2">
      <c r="A515">
        <v>2019</v>
      </c>
      <c r="B515" t="s">
        <v>49</v>
      </c>
      <c r="C515" t="s">
        <v>54</v>
      </c>
      <c r="D515" t="s">
        <v>247</v>
      </c>
      <c r="E515" t="s">
        <v>111</v>
      </c>
      <c r="F515" s="4">
        <v>43785</v>
      </c>
      <c r="G515" s="5">
        <v>0.81040509259259264</v>
      </c>
      <c r="H515">
        <v>-76.891661176818502</v>
      </c>
      <c r="I515">
        <v>3.5946991755356601</v>
      </c>
      <c r="J515">
        <v>4</v>
      </c>
      <c r="K515" t="s">
        <v>112</v>
      </c>
      <c r="L515" t="s">
        <v>113</v>
      </c>
      <c r="M515">
        <v>679</v>
      </c>
      <c r="N515" t="b">
        <v>1</v>
      </c>
      <c r="O515" t="b">
        <v>0</v>
      </c>
      <c r="P515">
        <v>30</v>
      </c>
      <c r="R515">
        <v>20</v>
      </c>
      <c r="T515" t="s">
        <v>145</v>
      </c>
      <c r="U515" t="s">
        <v>372</v>
      </c>
      <c r="V515" t="s">
        <v>47</v>
      </c>
      <c r="X515">
        <v>0</v>
      </c>
      <c r="AA515" t="s">
        <v>267</v>
      </c>
      <c r="AC515" t="s">
        <v>373</v>
      </c>
    </row>
    <row r="516" spans="1:29" x14ac:dyDescent="0.2">
      <c r="A516">
        <v>2019</v>
      </c>
      <c r="B516" t="s">
        <v>49</v>
      </c>
      <c r="C516" t="s">
        <v>54</v>
      </c>
      <c r="D516" t="s">
        <v>362</v>
      </c>
      <c r="E516" t="s">
        <v>135</v>
      </c>
      <c r="F516" s="4">
        <v>43785</v>
      </c>
      <c r="G516" s="5">
        <v>0.96459490740740739</v>
      </c>
      <c r="H516">
        <v>-76.888472022805402</v>
      </c>
      <c r="I516">
        <v>3.5978976312301798</v>
      </c>
      <c r="J516">
        <v>4</v>
      </c>
      <c r="K516" t="s">
        <v>112</v>
      </c>
      <c r="L516" t="s">
        <v>308</v>
      </c>
      <c r="M516">
        <v>533</v>
      </c>
      <c r="N516" t="b">
        <v>1</v>
      </c>
      <c r="O516" t="b">
        <v>0</v>
      </c>
      <c r="P516">
        <v>18</v>
      </c>
      <c r="R516">
        <v>20</v>
      </c>
      <c r="S516" t="s">
        <v>360</v>
      </c>
      <c r="T516" t="s">
        <v>145</v>
      </c>
      <c r="V516" t="s">
        <v>30</v>
      </c>
      <c r="X516">
        <v>1</v>
      </c>
      <c r="AA516" t="s">
        <v>365</v>
      </c>
    </row>
    <row r="517" spans="1:29" x14ac:dyDescent="0.2">
      <c r="A517">
        <v>2019</v>
      </c>
      <c r="B517" t="s">
        <v>49</v>
      </c>
      <c r="C517" t="s">
        <v>54</v>
      </c>
      <c r="D517" t="s">
        <v>248</v>
      </c>
      <c r="E517" t="s">
        <v>122</v>
      </c>
      <c r="F517" s="4">
        <v>43785</v>
      </c>
      <c r="G517" s="5">
        <v>0.86012731481481486</v>
      </c>
      <c r="H517">
        <v>-76.892348951025397</v>
      </c>
      <c r="I517">
        <v>3.59558408249623</v>
      </c>
      <c r="J517">
        <v>4</v>
      </c>
      <c r="M517">
        <v>572</v>
      </c>
      <c r="N517" t="b">
        <v>1</v>
      </c>
      <c r="O517" t="b">
        <v>0</v>
      </c>
      <c r="P517">
        <v>20</v>
      </c>
      <c r="R517">
        <v>25</v>
      </c>
      <c r="T517" t="s">
        <v>145</v>
      </c>
      <c r="U517" t="s">
        <v>374</v>
      </c>
      <c r="V517" t="s">
        <v>47</v>
      </c>
      <c r="X517">
        <v>0</v>
      </c>
      <c r="AA517" t="s">
        <v>117</v>
      </c>
    </row>
    <row r="518" spans="1:29" x14ac:dyDescent="0.2">
      <c r="A518">
        <v>2019</v>
      </c>
      <c r="B518" t="s">
        <v>49</v>
      </c>
      <c r="C518" t="s">
        <v>54</v>
      </c>
      <c r="D518" t="s">
        <v>248</v>
      </c>
      <c r="E518" t="s">
        <v>122</v>
      </c>
      <c r="F518" s="4">
        <v>43785</v>
      </c>
      <c r="G518" s="5">
        <v>0.89516203703703701</v>
      </c>
      <c r="H518">
        <v>-76.892689087803603</v>
      </c>
      <c r="I518">
        <v>3.59568679529667</v>
      </c>
      <c r="J518">
        <v>4</v>
      </c>
      <c r="K518" t="s">
        <v>112</v>
      </c>
      <c r="L518" t="s">
        <v>113</v>
      </c>
      <c r="M518">
        <v>600</v>
      </c>
      <c r="N518" t="b">
        <v>1</v>
      </c>
      <c r="O518" t="b">
        <v>0</v>
      </c>
      <c r="P518">
        <v>15</v>
      </c>
      <c r="R518">
        <v>10</v>
      </c>
      <c r="S518" t="s">
        <v>314</v>
      </c>
      <c r="T518" t="s">
        <v>258</v>
      </c>
      <c r="V518" t="s">
        <v>30</v>
      </c>
      <c r="X518">
        <v>1</v>
      </c>
      <c r="AA518" t="s">
        <v>117</v>
      </c>
    </row>
    <row r="519" spans="1:29" x14ac:dyDescent="0.2">
      <c r="A519">
        <v>2019</v>
      </c>
      <c r="B519" t="s">
        <v>49</v>
      </c>
      <c r="C519" t="s">
        <v>54</v>
      </c>
      <c r="D519" t="s">
        <v>248</v>
      </c>
      <c r="E519" t="s">
        <v>122</v>
      </c>
      <c r="F519" s="4">
        <v>43785</v>
      </c>
      <c r="G519" s="5">
        <v>0.89516203703703701</v>
      </c>
      <c r="H519">
        <v>-76.892689087803603</v>
      </c>
      <c r="I519">
        <v>3.59568679529667</v>
      </c>
      <c r="J519">
        <v>4</v>
      </c>
      <c r="M519">
        <v>600</v>
      </c>
      <c r="N519" t="b">
        <v>1</v>
      </c>
      <c r="O519" t="b">
        <v>0</v>
      </c>
      <c r="P519">
        <v>15</v>
      </c>
      <c r="R519">
        <v>15</v>
      </c>
      <c r="T519" t="s">
        <v>258</v>
      </c>
      <c r="U519" t="s">
        <v>375</v>
      </c>
      <c r="V519" t="s">
        <v>47</v>
      </c>
      <c r="X519">
        <v>0</v>
      </c>
      <c r="AA519" t="s">
        <v>117</v>
      </c>
    </row>
    <row r="520" spans="1:29" x14ac:dyDescent="0.2">
      <c r="A520">
        <v>2019</v>
      </c>
      <c r="B520" t="s">
        <v>49</v>
      </c>
      <c r="C520" t="s">
        <v>54</v>
      </c>
      <c r="D520" t="s">
        <v>247</v>
      </c>
      <c r="E520" t="s">
        <v>111</v>
      </c>
      <c r="F520" s="4">
        <v>43785</v>
      </c>
      <c r="G520" s="5">
        <v>0.82486111111111116</v>
      </c>
      <c r="H520">
        <v>-76.892167443128798</v>
      </c>
      <c r="I520">
        <v>3.5946840833989402</v>
      </c>
      <c r="J520">
        <v>4</v>
      </c>
      <c r="K520" t="s">
        <v>112</v>
      </c>
      <c r="L520" t="s">
        <v>113</v>
      </c>
      <c r="M520">
        <v>592</v>
      </c>
      <c r="N520" t="b">
        <v>1</v>
      </c>
      <c r="O520" t="b">
        <v>0</v>
      </c>
      <c r="P520">
        <v>20</v>
      </c>
      <c r="R520">
        <v>10</v>
      </c>
      <c r="S520" t="s">
        <v>361</v>
      </c>
      <c r="T520" t="s">
        <v>145</v>
      </c>
      <c r="V520" t="s">
        <v>30</v>
      </c>
      <c r="X520">
        <v>1</v>
      </c>
      <c r="AA520" t="s">
        <v>117</v>
      </c>
    </row>
    <row r="521" spans="1:29" x14ac:dyDescent="0.2">
      <c r="A521">
        <v>2019</v>
      </c>
      <c r="B521" t="s">
        <v>49</v>
      </c>
      <c r="C521" t="s">
        <v>54</v>
      </c>
      <c r="D521" t="s">
        <v>196</v>
      </c>
      <c r="E521" t="s">
        <v>127</v>
      </c>
      <c r="F521" s="4">
        <v>43785</v>
      </c>
      <c r="G521" s="5">
        <v>0.92662037037037037</v>
      </c>
      <c r="H521">
        <v>-76.892710465440402</v>
      </c>
      <c r="I521">
        <v>3.5967803381899301</v>
      </c>
      <c r="J521">
        <v>4</v>
      </c>
      <c r="M521">
        <v>608</v>
      </c>
      <c r="N521" t="b">
        <v>1</v>
      </c>
      <c r="O521" t="b">
        <v>0</v>
      </c>
      <c r="P521">
        <v>20</v>
      </c>
      <c r="R521">
        <v>18</v>
      </c>
      <c r="T521" t="s">
        <v>145</v>
      </c>
      <c r="U521" t="s">
        <v>376</v>
      </c>
      <c r="V521" t="s">
        <v>47</v>
      </c>
      <c r="X521">
        <v>0</v>
      </c>
      <c r="AA521" t="s">
        <v>117</v>
      </c>
    </row>
    <row r="522" spans="1:29" x14ac:dyDescent="0.2">
      <c r="A522">
        <v>2019</v>
      </c>
      <c r="B522" t="s">
        <v>49</v>
      </c>
      <c r="C522" t="s">
        <v>51</v>
      </c>
      <c r="D522" t="s">
        <v>221</v>
      </c>
      <c r="E522" t="s">
        <v>111</v>
      </c>
      <c r="F522" s="4">
        <v>43786</v>
      </c>
      <c r="G522" s="5">
        <v>0.85899305555555561</v>
      </c>
      <c r="H522">
        <v>-76.881645768929403</v>
      </c>
      <c r="I522">
        <v>3.5526508881710002</v>
      </c>
      <c r="J522">
        <v>4</v>
      </c>
      <c r="K522" t="s">
        <v>119</v>
      </c>
      <c r="L522" t="s">
        <v>120</v>
      </c>
      <c r="M522">
        <v>585</v>
      </c>
      <c r="N522" t="b">
        <v>1</v>
      </c>
      <c r="O522" t="b">
        <v>0</v>
      </c>
      <c r="P522">
        <v>8</v>
      </c>
      <c r="R522">
        <v>5</v>
      </c>
      <c r="T522" t="s">
        <v>145</v>
      </c>
      <c r="V522" t="s">
        <v>46</v>
      </c>
      <c r="X522">
        <v>1</v>
      </c>
      <c r="AA522" t="s">
        <v>365</v>
      </c>
    </row>
    <row r="523" spans="1:29" x14ac:dyDescent="0.2">
      <c r="A523">
        <v>2019</v>
      </c>
      <c r="B523" t="s">
        <v>49</v>
      </c>
      <c r="C523" t="s">
        <v>51</v>
      </c>
      <c r="D523" t="s">
        <v>221</v>
      </c>
      <c r="E523" t="s">
        <v>111</v>
      </c>
      <c r="F523" s="4">
        <v>43786</v>
      </c>
      <c r="G523" s="5">
        <v>0.85899305555555561</v>
      </c>
      <c r="H523">
        <v>-76.881645768929403</v>
      </c>
      <c r="I523">
        <v>3.5526508881710002</v>
      </c>
      <c r="J523">
        <v>4</v>
      </c>
      <c r="K523" t="s">
        <v>112</v>
      </c>
      <c r="L523" t="s">
        <v>120</v>
      </c>
      <c r="M523">
        <v>580</v>
      </c>
      <c r="N523" t="b">
        <v>1</v>
      </c>
      <c r="O523" t="b">
        <v>0</v>
      </c>
      <c r="P523">
        <v>8</v>
      </c>
      <c r="R523">
        <v>2</v>
      </c>
      <c r="S523" t="s">
        <v>314</v>
      </c>
      <c r="T523" t="s">
        <v>201</v>
      </c>
      <c r="V523" t="s">
        <v>30</v>
      </c>
      <c r="X523">
        <v>1</v>
      </c>
      <c r="AA523" t="s">
        <v>365</v>
      </c>
    </row>
    <row r="524" spans="1:29" x14ac:dyDescent="0.2">
      <c r="A524">
        <v>2019</v>
      </c>
      <c r="B524" t="s">
        <v>49</v>
      </c>
      <c r="C524" t="s">
        <v>51</v>
      </c>
      <c r="D524" t="s">
        <v>223</v>
      </c>
      <c r="E524" t="s">
        <v>122</v>
      </c>
      <c r="F524" s="4">
        <v>43786</v>
      </c>
      <c r="G524" s="5">
        <v>0.87048611111111107</v>
      </c>
      <c r="H524">
        <v>-76.882256838465807</v>
      </c>
      <c r="I524">
        <v>3.5525244507917799</v>
      </c>
      <c r="J524">
        <v>4</v>
      </c>
      <c r="K524" t="s">
        <v>112</v>
      </c>
      <c r="M524">
        <v>581</v>
      </c>
      <c r="N524" t="b">
        <v>1</v>
      </c>
      <c r="O524" t="b">
        <v>0</v>
      </c>
      <c r="P524">
        <v>15</v>
      </c>
      <c r="R524">
        <v>6</v>
      </c>
      <c r="T524" t="s">
        <v>145</v>
      </c>
      <c r="U524" t="s">
        <v>323</v>
      </c>
      <c r="V524" t="s">
        <v>47</v>
      </c>
      <c r="X524">
        <v>0</v>
      </c>
      <c r="AA524" t="s">
        <v>365</v>
      </c>
    </row>
    <row r="525" spans="1:29" x14ac:dyDescent="0.2">
      <c r="A525">
        <v>2019</v>
      </c>
      <c r="B525" t="s">
        <v>49</v>
      </c>
      <c r="C525" t="s">
        <v>51</v>
      </c>
      <c r="D525" t="s">
        <v>223</v>
      </c>
      <c r="E525" t="s">
        <v>122</v>
      </c>
      <c r="F525" s="4">
        <v>43786</v>
      </c>
      <c r="G525" s="5">
        <v>0.87048611111111107</v>
      </c>
      <c r="H525">
        <v>-76.882256838465807</v>
      </c>
      <c r="I525">
        <v>3.5525244507917799</v>
      </c>
      <c r="J525">
        <v>4</v>
      </c>
      <c r="K525" t="s">
        <v>112</v>
      </c>
      <c r="L525" t="s">
        <v>113</v>
      </c>
      <c r="M525">
        <v>581</v>
      </c>
      <c r="N525" t="b">
        <v>1</v>
      </c>
      <c r="O525" t="b">
        <v>0</v>
      </c>
      <c r="P525">
        <v>7</v>
      </c>
      <c r="R525">
        <v>6</v>
      </c>
      <c r="S525" t="s">
        <v>314</v>
      </c>
      <c r="T525" t="s">
        <v>145</v>
      </c>
      <c r="V525" t="s">
        <v>48</v>
      </c>
      <c r="X525">
        <v>1</v>
      </c>
      <c r="AA525" t="s">
        <v>117</v>
      </c>
    </row>
    <row r="526" spans="1:29" x14ac:dyDescent="0.2">
      <c r="A526">
        <v>2019</v>
      </c>
      <c r="B526" t="s">
        <v>49</v>
      </c>
      <c r="C526" t="s">
        <v>51</v>
      </c>
      <c r="D526" t="s">
        <v>377</v>
      </c>
      <c r="E526" t="s">
        <v>127</v>
      </c>
      <c r="F526" s="4">
        <v>43786</v>
      </c>
      <c r="G526" s="5">
        <v>0.91417824074074072</v>
      </c>
      <c r="H526">
        <v>-76.883289490816907</v>
      </c>
      <c r="I526">
        <v>3.5524213771414699</v>
      </c>
      <c r="J526">
        <v>4</v>
      </c>
      <c r="K526" t="s">
        <v>112</v>
      </c>
      <c r="L526" t="s">
        <v>113</v>
      </c>
      <c r="M526">
        <v>560</v>
      </c>
      <c r="N526" t="b">
        <v>1</v>
      </c>
      <c r="O526" t="b">
        <v>0</v>
      </c>
      <c r="P526">
        <v>18</v>
      </c>
      <c r="R526">
        <v>8</v>
      </c>
      <c r="S526" t="s">
        <v>378</v>
      </c>
      <c r="T526" t="s">
        <v>145</v>
      </c>
      <c r="V526" t="s">
        <v>30</v>
      </c>
      <c r="X526">
        <v>1</v>
      </c>
      <c r="AA526" t="s">
        <v>365</v>
      </c>
    </row>
    <row r="527" spans="1:29" x14ac:dyDescent="0.2">
      <c r="A527">
        <v>2019</v>
      </c>
      <c r="B527" t="s">
        <v>49</v>
      </c>
      <c r="C527" t="s">
        <v>51</v>
      </c>
      <c r="D527" t="s">
        <v>221</v>
      </c>
      <c r="E527" t="s">
        <v>111</v>
      </c>
      <c r="F527" s="4">
        <v>43786</v>
      </c>
      <c r="G527" s="5">
        <v>0.8193287037037037</v>
      </c>
      <c r="H527">
        <v>-76.880791189042299</v>
      </c>
      <c r="I527">
        <v>3.5526555742686399</v>
      </c>
      <c r="J527">
        <v>4</v>
      </c>
      <c r="K527" t="s">
        <v>112</v>
      </c>
      <c r="M527">
        <v>552</v>
      </c>
      <c r="N527" t="b">
        <v>1</v>
      </c>
      <c r="O527" t="b">
        <v>0</v>
      </c>
      <c r="R527">
        <v>15</v>
      </c>
      <c r="S527" t="s">
        <v>379</v>
      </c>
      <c r="T527" t="s">
        <v>201</v>
      </c>
      <c r="V527" t="s">
        <v>32</v>
      </c>
      <c r="X527">
        <v>2</v>
      </c>
      <c r="AA527" t="s">
        <v>365</v>
      </c>
    </row>
    <row r="528" spans="1:29" x14ac:dyDescent="0.2">
      <c r="A528">
        <v>2019</v>
      </c>
      <c r="B528" t="s">
        <v>49</v>
      </c>
      <c r="C528" t="s">
        <v>51</v>
      </c>
      <c r="D528" t="s">
        <v>221</v>
      </c>
      <c r="E528" t="s">
        <v>111</v>
      </c>
      <c r="F528" s="4">
        <v>43786</v>
      </c>
      <c r="G528" s="5">
        <v>0.84482638888888884</v>
      </c>
      <c r="H528">
        <v>-76.881317640927705</v>
      </c>
      <c r="I528">
        <v>3.5526062942963201</v>
      </c>
      <c r="J528">
        <v>4</v>
      </c>
      <c r="K528" t="s">
        <v>112</v>
      </c>
      <c r="L528" t="s">
        <v>113</v>
      </c>
      <c r="M528">
        <v>580</v>
      </c>
      <c r="N528" t="b">
        <v>1</v>
      </c>
      <c r="O528" t="b">
        <v>0</v>
      </c>
      <c r="P528">
        <v>1</v>
      </c>
      <c r="R528">
        <v>18</v>
      </c>
      <c r="S528" t="s">
        <v>304</v>
      </c>
      <c r="T528" t="s">
        <v>201</v>
      </c>
      <c r="V528" t="s">
        <v>48</v>
      </c>
      <c r="X528">
        <v>1</v>
      </c>
      <c r="AA528" t="s">
        <v>365</v>
      </c>
    </row>
    <row r="529" spans="1:29" x14ac:dyDescent="0.2">
      <c r="A529">
        <v>2019</v>
      </c>
      <c r="B529" t="s">
        <v>49</v>
      </c>
      <c r="C529" t="s">
        <v>51</v>
      </c>
      <c r="D529" t="s">
        <v>240</v>
      </c>
      <c r="E529" t="s">
        <v>135</v>
      </c>
      <c r="F529" s="4">
        <v>43786</v>
      </c>
      <c r="G529" s="5">
        <v>0.92814814814814817</v>
      </c>
      <c r="H529">
        <v>-76.882610023833294</v>
      </c>
      <c r="I529">
        <v>3.55251629278091</v>
      </c>
      <c r="J529">
        <v>4</v>
      </c>
      <c r="K529" t="s">
        <v>112</v>
      </c>
      <c r="L529" t="s">
        <v>113</v>
      </c>
      <c r="M529">
        <v>565</v>
      </c>
      <c r="N529" t="b">
        <v>1</v>
      </c>
      <c r="O529" t="b">
        <v>1</v>
      </c>
      <c r="P529">
        <v>15</v>
      </c>
      <c r="Q529">
        <v>2.5</v>
      </c>
      <c r="R529">
        <v>5</v>
      </c>
      <c r="S529" t="s">
        <v>380</v>
      </c>
      <c r="T529" t="s">
        <v>145</v>
      </c>
      <c r="V529" t="s">
        <v>30</v>
      </c>
      <c r="X529">
        <v>1</v>
      </c>
      <c r="AA529" t="s">
        <v>267</v>
      </c>
      <c r="AC529" t="s">
        <v>381</v>
      </c>
    </row>
    <row r="530" spans="1:29" x14ac:dyDescent="0.2">
      <c r="A530">
        <v>2019</v>
      </c>
      <c r="B530" t="s">
        <v>49</v>
      </c>
      <c r="C530" t="s">
        <v>51</v>
      </c>
      <c r="D530" t="s">
        <v>377</v>
      </c>
      <c r="E530" t="s">
        <v>127</v>
      </c>
      <c r="F530" s="4">
        <v>43786</v>
      </c>
      <c r="G530" s="5">
        <v>0.91714120370370367</v>
      </c>
      <c r="H530">
        <v>-76.883269666417405</v>
      </c>
      <c r="I530">
        <v>3.55243462243264</v>
      </c>
      <c r="J530">
        <v>4</v>
      </c>
      <c r="K530" t="s">
        <v>119</v>
      </c>
      <c r="L530" t="s">
        <v>120</v>
      </c>
      <c r="M530">
        <v>560</v>
      </c>
      <c r="N530" t="b">
        <v>1</v>
      </c>
      <c r="O530" t="b">
        <v>0</v>
      </c>
      <c r="P530">
        <v>12</v>
      </c>
      <c r="R530">
        <v>12</v>
      </c>
      <c r="S530" t="s">
        <v>360</v>
      </c>
      <c r="T530" t="s">
        <v>145</v>
      </c>
      <c r="V530" t="s">
        <v>45</v>
      </c>
      <c r="X530">
        <v>1</v>
      </c>
      <c r="AA530" t="s">
        <v>365</v>
      </c>
    </row>
    <row r="531" spans="1:29" x14ac:dyDescent="0.2">
      <c r="A531">
        <v>2019</v>
      </c>
      <c r="B531" t="s">
        <v>49</v>
      </c>
      <c r="C531" t="s">
        <v>51</v>
      </c>
      <c r="D531" t="s">
        <v>377</v>
      </c>
      <c r="E531" t="s">
        <v>127</v>
      </c>
      <c r="F531" s="4">
        <v>43786</v>
      </c>
      <c r="G531" s="5">
        <v>0.91714120370370367</v>
      </c>
      <c r="H531">
        <v>-76.883269666417405</v>
      </c>
      <c r="I531">
        <v>3.55243462243264</v>
      </c>
      <c r="J531">
        <v>4</v>
      </c>
      <c r="K531" t="s">
        <v>112</v>
      </c>
      <c r="M531">
        <v>500</v>
      </c>
      <c r="N531" t="b">
        <v>1</v>
      </c>
      <c r="O531" t="b">
        <v>0</v>
      </c>
      <c r="P531">
        <v>15</v>
      </c>
      <c r="R531">
        <v>8</v>
      </c>
      <c r="T531" t="s">
        <v>145</v>
      </c>
      <c r="U531" t="s">
        <v>382</v>
      </c>
      <c r="V531" t="s">
        <v>47</v>
      </c>
      <c r="X531">
        <v>0</v>
      </c>
      <c r="AA531" t="s">
        <v>365</v>
      </c>
    </row>
    <row r="532" spans="1:29" x14ac:dyDescent="0.2">
      <c r="A532">
        <v>2019</v>
      </c>
      <c r="B532" t="s">
        <v>49</v>
      </c>
      <c r="C532" t="s">
        <v>51</v>
      </c>
      <c r="D532" t="s">
        <v>221</v>
      </c>
      <c r="E532" t="s">
        <v>111</v>
      </c>
      <c r="F532" s="4">
        <v>43786</v>
      </c>
      <c r="G532" s="5">
        <v>0.80774305555555559</v>
      </c>
      <c r="H532">
        <v>-76.880703702932394</v>
      </c>
      <c r="I532">
        <v>3.55267579988032</v>
      </c>
      <c r="J532">
        <v>4</v>
      </c>
      <c r="M532">
        <v>565</v>
      </c>
      <c r="N532" t="b">
        <v>1</v>
      </c>
      <c r="O532" t="b">
        <v>0</v>
      </c>
      <c r="R532">
        <v>15</v>
      </c>
      <c r="T532" t="s">
        <v>201</v>
      </c>
      <c r="U532" t="s">
        <v>383</v>
      </c>
      <c r="V532" t="s">
        <v>47</v>
      </c>
      <c r="X532">
        <v>0</v>
      </c>
      <c r="AA532" t="s">
        <v>365</v>
      </c>
    </row>
    <row r="533" spans="1:29" x14ac:dyDescent="0.2">
      <c r="A533">
        <v>2019</v>
      </c>
      <c r="B533" t="s">
        <v>49</v>
      </c>
      <c r="C533" t="s">
        <v>51</v>
      </c>
      <c r="D533" t="s">
        <v>377</v>
      </c>
      <c r="E533" t="s">
        <v>127</v>
      </c>
      <c r="F533" s="4">
        <v>43786</v>
      </c>
      <c r="G533" s="5">
        <v>0.89982638888888888</v>
      </c>
      <c r="H533">
        <v>-76.882779868700595</v>
      </c>
      <c r="I533">
        <v>3.5525313824220701</v>
      </c>
      <c r="J533">
        <v>4</v>
      </c>
      <c r="K533" t="s">
        <v>119</v>
      </c>
      <c r="L533" t="s">
        <v>227</v>
      </c>
      <c r="M533">
        <v>581</v>
      </c>
      <c r="N533" t="b">
        <v>1</v>
      </c>
      <c r="P533">
        <v>8</v>
      </c>
      <c r="R533">
        <v>10</v>
      </c>
      <c r="S533" t="s">
        <v>384</v>
      </c>
      <c r="T533" t="s">
        <v>145</v>
      </c>
      <c r="V533" t="s">
        <v>31</v>
      </c>
      <c r="X533">
        <v>2</v>
      </c>
      <c r="AA533" t="s">
        <v>117</v>
      </c>
    </row>
    <row r="534" spans="1:29" x14ac:dyDescent="0.2">
      <c r="A534">
        <v>2019</v>
      </c>
      <c r="B534" t="s">
        <v>49</v>
      </c>
      <c r="C534" t="s">
        <v>51</v>
      </c>
      <c r="D534" t="s">
        <v>240</v>
      </c>
      <c r="E534" t="s">
        <v>135</v>
      </c>
      <c r="F534" s="4">
        <v>43786</v>
      </c>
      <c r="G534" s="5">
        <v>0.92341435185185183</v>
      </c>
      <c r="H534">
        <v>-76.882621345426898</v>
      </c>
      <c r="I534">
        <v>3.5524611044016399</v>
      </c>
      <c r="J534">
        <v>4</v>
      </c>
      <c r="M534">
        <v>565</v>
      </c>
      <c r="N534" t="b">
        <v>1</v>
      </c>
      <c r="O534" t="b">
        <v>1</v>
      </c>
      <c r="P534">
        <v>10</v>
      </c>
      <c r="Q534">
        <v>2.5</v>
      </c>
      <c r="R534">
        <v>15</v>
      </c>
      <c r="T534" t="s">
        <v>145</v>
      </c>
      <c r="U534" t="s">
        <v>385</v>
      </c>
      <c r="V534" t="s">
        <v>47</v>
      </c>
      <c r="X534">
        <v>0</v>
      </c>
      <c r="AA534" t="s">
        <v>267</v>
      </c>
      <c r="AC534" t="s">
        <v>386</v>
      </c>
    </row>
    <row r="535" spans="1:29" x14ac:dyDescent="0.2">
      <c r="A535">
        <v>2019</v>
      </c>
      <c r="B535" t="s">
        <v>49</v>
      </c>
      <c r="C535" t="s">
        <v>51</v>
      </c>
      <c r="D535" t="s">
        <v>377</v>
      </c>
      <c r="E535" t="s">
        <v>127</v>
      </c>
      <c r="F535" s="4">
        <v>43786</v>
      </c>
      <c r="G535" s="5">
        <v>0.89144675925925931</v>
      </c>
      <c r="H535">
        <v>-76.882760590425903</v>
      </c>
      <c r="I535">
        <v>3.5524327547828598</v>
      </c>
      <c r="J535">
        <v>4</v>
      </c>
      <c r="K535" t="s">
        <v>112</v>
      </c>
      <c r="L535" t="s">
        <v>113</v>
      </c>
      <c r="M535">
        <v>575</v>
      </c>
      <c r="N535" t="b">
        <v>1</v>
      </c>
      <c r="O535" t="b">
        <v>0</v>
      </c>
      <c r="P535">
        <v>12</v>
      </c>
      <c r="R535">
        <v>10</v>
      </c>
      <c r="S535" t="s">
        <v>360</v>
      </c>
      <c r="T535" t="s">
        <v>145</v>
      </c>
      <c r="V535" t="s">
        <v>45</v>
      </c>
      <c r="X535">
        <v>1</v>
      </c>
      <c r="AA535" t="s">
        <v>117</v>
      </c>
    </row>
    <row r="536" spans="1:29" x14ac:dyDescent="0.2">
      <c r="A536">
        <v>2019</v>
      </c>
      <c r="B536" t="s">
        <v>49</v>
      </c>
      <c r="C536" t="s">
        <v>51</v>
      </c>
      <c r="D536" t="s">
        <v>377</v>
      </c>
      <c r="E536" t="s">
        <v>127</v>
      </c>
      <c r="F536" s="4">
        <v>43786</v>
      </c>
      <c r="G536" s="5">
        <v>0.89144675925925931</v>
      </c>
      <c r="H536">
        <v>-76.882760590425903</v>
      </c>
      <c r="I536">
        <v>3.5524327547828598</v>
      </c>
      <c r="J536">
        <v>4</v>
      </c>
      <c r="K536" t="s">
        <v>112</v>
      </c>
      <c r="L536" t="s">
        <v>120</v>
      </c>
      <c r="M536">
        <v>570</v>
      </c>
      <c r="N536" t="b">
        <v>1</v>
      </c>
      <c r="O536" t="b">
        <v>0</v>
      </c>
      <c r="P536">
        <v>12</v>
      </c>
      <c r="R536">
        <v>10</v>
      </c>
      <c r="T536" t="s">
        <v>145</v>
      </c>
      <c r="V536" t="s">
        <v>55</v>
      </c>
      <c r="X536">
        <v>1</v>
      </c>
      <c r="AA536" t="s">
        <v>117</v>
      </c>
    </row>
    <row r="537" spans="1:29" x14ac:dyDescent="0.2">
      <c r="A537">
        <v>2019</v>
      </c>
      <c r="B537" t="s">
        <v>49</v>
      </c>
      <c r="C537" t="s">
        <v>51</v>
      </c>
      <c r="D537" t="s">
        <v>221</v>
      </c>
      <c r="E537" t="s">
        <v>111</v>
      </c>
      <c r="F537" s="4">
        <v>43786</v>
      </c>
      <c r="G537" s="5">
        <v>0.83114583333333336</v>
      </c>
      <c r="H537">
        <v>-76.881091673093493</v>
      </c>
      <c r="I537">
        <v>3.5526778474979701</v>
      </c>
      <c r="J537">
        <v>4</v>
      </c>
      <c r="K537" t="s">
        <v>119</v>
      </c>
      <c r="L537" t="s">
        <v>120</v>
      </c>
      <c r="M537">
        <v>565</v>
      </c>
      <c r="N537" t="b">
        <v>1</v>
      </c>
      <c r="P537">
        <v>1</v>
      </c>
      <c r="R537">
        <v>18</v>
      </c>
      <c r="S537" t="s">
        <v>185</v>
      </c>
      <c r="T537" t="s">
        <v>201</v>
      </c>
      <c r="V537" t="s">
        <v>30</v>
      </c>
      <c r="X537">
        <v>1</v>
      </c>
      <c r="AA537" t="s">
        <v>365</v>
      </c>
    </row>
    <row r="538" spans="1:29" x14ac:dyDescent="0.2">
      <c r="A538">
        <v>2019</v>
      </c>
      <c r="B538" t="s">
        <v>49</v>
      </c>
      <c r="C538" t="s">
        <v>51</v>
      </c>
      <c r="D538" t="s">
        <v>221</v>
      </c>
      <c r="E538" t="s">
        <v>111</v>
      </c>
      <c r="F538" s="4">
        <v>43786</v>
      </c>
      <c r="G538" s="5">
        <v>0.83114583333333336</v>
      </c>
      <c r="H538">
        <v>-76.881091673093493</v>
      </c>
      <c r="I538">
        <v>3.5526778474979701</v>
      </c>
      <c r="J538">
        <v>4</v>
      </c>
      <c r="K538" t="s">
        <v>119</v>
      </c>
      <c r="L538" t="s">
        <v>113</v>
      </c>
      <c r="M538">
        <v>565</v>
      </c>
      <c r="N538" t="b">
        <v>1</v>
      </c>
      <c r="O538" t="b">
        <v>0</v>
      </c>
      <c r="P538">
        <v>1</v>
      </c>
      <c r="R538">
        <v>18</v>
      </c>
      <c r="S538" t="s">
        <v>360</v>
      </c>
      <c r="T538" t="s">
        <v>201</v>
      </c>
      <c r="V538" t="s">
        <v>46</v>
      </c>
      <c r="X538">
        <v>1</v>
      </c>
      <c r="AA538" t="s">
        <v>365</v>
      </c>
    </row>
    <row r="539" spans="1:29" x14ac:dyDescent="0.2">
      <c r="A539">
        <v>2019</v>
      </c>
      <c r="B539" t="s">
        <v>49</v>
      </c>
      <c r="C539" t="s">
        <v>51</v>
      </c>
      <c r="D539" t="s">
        <v>377</v>
      </c>
      <c r="E539" t="s">
        <v>127</v>
      </c>
      <c r="F539" s="4">
        <v>43786</v>
      </c>
      <c r="G539" s="5">
        <v>0.90128472222222222</v>
      </c>
      <c r="H539">
        <v>-76.882915233960105</v>
      </c>
      <c r="I539">
        <v>3.5524283124302301</v>
      </c>
      <c r="J539">
        <v>4</v>
      </c>
      <c r="K539" t="s">
        <v>119</v>
      </c>
      <c r="L539" t="s">
        <v>227</v>
      </c>
      <c r="M539">
        <v>581</v>
      </c>
      <c r="N539" t="b">
        <v>1</v>
      </c>
      <c r="O539" t="b">
        <v>0</v>
      </c>
      <c r="P539">
        <v>12</v>
      </c>
      <c r="R539">
        <v>10</v>
      </c>
      <c r="S539" t="s">
        <v>387</v>
      </c>
      <c r="T539" t="s">
        <v>145</v>
      </c>
      <c r="V539" t="s">
        <v>27</v>
      </c>
      <c r="X539">
        <v>1</v>
      </c>
      <c r="AA539" t="s">
        <v>117</v>
      </c>
    </row>
    <row r="540" spans="1:29" x14ac:dyDescent="0.2">
      <c r="A540">
        <v>2019</v>
      </c>
      <c r="B540" t="s">
        <v>49</v>
      </c>
      <c r="C540" t="s">
        <v>51</v>
      </c>
      <c r="D540" t="s">
        <v>377</v>
      </c>
      <c r="E540" t="s">
        <v>127</v>
      </c>
      <c r="F540" s="4">
        <v>43786</v>
      </c>
      <c r="G540" s="5">
        <v>0.90128472222222222</v>
      </c>
      <c r="H540">
        <v>-76.882915233960105</v>
      </c>
      <c r="I540">
        <v>3.5524283124302301</v>
      </c>
      <c r="J540">
        <v>4</v>
      </c>
      <c r="K540" t="s">
        <v>112</v>
      </c>
      <c r="L540" t="s">
        <v>113</v>
      </c>
      <c r="M540">
        <v>565</v>
      </c>
      <c r="N540" t="b">
        <v>1</v>
      </c>
      <c r="O540" t="b">
        <v>0</v>
      </c>
      <c r="P540">
        <v>12</v>
      </c>
      <c r="R540">
        <v>8</v>
      </c>
      <c r="S540" t="s">
        <v>263</v>
      </c>
      <c r="T540" t="s">
        <v>145</v>
      </c>
      <c r="V540" t="s">
        <v>48</v>
      </c>
      <c r="X540">
        <v>1</v>
      </c>
      <c r="AA540" t="s">
        <v>365</v>
      </c>
    </row>
    <row r="541" spans="1:29" x14ac:dyDescent="0.2">
      <c r="A541">
        <v>2019</v>
      </c>
      <c r="B541" t="s">
        <v>49</v>
      </c>
      <c r="C541" t="s">
        <v>51</v>
      </c>
      <c r="D541" t="s">
        <v>221</v>
      </c>
      <c r="E541" t="s">
        <v>111</v>
      </c>
      <c r="F541" s="4">
        <v>43786</v>
      </c>
      <c r="G541" s="5">
        <v>0.85218749999999999</v>
      </c>
      <c r="H541">
        <v>-76.881507416679696</v>
      </c>
      <c r="I541">
        <v>3.5526311348055999</v>
      </c>
      <c r="J541">
        <v>4</v>
      </c>
      <c r="K541" t="s">
        <v>112</v>
      </c>
      <c r="L541" t="s">
        <v>308</v>
      </c>
      <c r="M541">
        <v>585</v>
      </c>
      <c r="N541" t="b">
        <v>1</v>
      </c>
      <c r="O541" t="b">
        <v>0</v>
      </c>
      <c r="P541">
        <v>1</v>
      </c>
      <c r="R541">
        <v>18</v>
      </c>
      <c r="S541" t="s">
        <v>314</v>
      </c>
      <c r="T541" t="s">
        <v>201</v>
      </c>
      <c r="V541" t="s">
        <v>30</v>
      </c>
      <c r="X541">
        <v>1</v>
      </c>
      <c r="AA541" t="s">
        <v>365</v>
      </c>
    </row>
    <row r="542" spans="1:29" x14ac:dyDescent="0.2">
      <c r="A542">
        <v>2019</v>
      </c>
      <c r="B542" t="s">
        <v>49</v>
      </c>
      <c r="C542" t="s">
        <v>51</v>
      </c>
      <c r="D542" t="s">
        <v>221</v>
      </c>
      <c r="E542" t="s">
        <v>111</v>
      </c>
      <c r="F542" s="4">
        <v>43786</v>
      </c>
      <c r="G542" s="5">
        <v>0.85218749999999999</v>
      </c>
      <c r="H542">
        <v>-76.881507416679696</v>
      </c>
      <c r="I542">
        <v>3.5526311348055999</v>
      </c>
      <c r="J542">
        <v>4</v>
      </c>
      <c r="K542" t="s">
        <v>119</v>
      </c>
      <c r="L542" t="s">
        <v>120</v>
      </c>
      <c r="M542">
        <v>580</v>
      </c>
      <c r="N542" t="b">
        <v>1</v>
      </c>
      <c r="O542" t="b">
        <v>0</v>
      </c>
      <c r="P542">
        <v>1</v>
      </c>
      <c r="R542">
        <v>12</v>
      </c>
      <c r="S542" t="s">
        <v>360</v>
      </c>
      <c r="T542" t="s">
        <v>201</v>
      </c>
      <c r="V542" t="s">
        <v>30</v>
      </c>
      <c r="X542">
        <v>1</v>
      </c>
      <c r="AA542" t="s">
        <v>365</v>
      </c>
    </row>
    <row r="543" spans="1:29" x14ac:dyDescent="0.2">
      <c r="A543">
        <v>2019</v>
      </c>
      <c r="B543" t="s">
        <v>49</v>
      </c>
      <c r="C543" t="s">
        <v>51</v>
      </c>
      <c r="D543" t="s">
        <v>240</v>
      </c>
      <c r="E543" t="s">
        <v>135</v>
      </c>
      <c r="F543" s="4">
        <v>43786</v>
      </c>
      <c r="G543" s="5">
        <v>0.94343750000000004</v>
      </c>
      <c r="H543">
        <v>-76.882261583067603</v>
      </c>
      <c r="I543">
        <v>3.5528232640162298</v>
      </c>
      <c r="J543">
        <v>4</v>
      </c>
      <c r="K543" t="s">
        <v>119</v>
      </c>
      <c r="L543" t="s">
        <v>120</v>
      </c>
      <c r="M543">
        <v>570</v>
      </c>
      <c r="N543" t="b">
        <v>1</v>
      </c>
      <c r="O543" t="b">
        <v>1</v>
      </c>
      <c r="P543">
        <v>15</v>
      </c>
      <c r="Q543">
        <v>3</v>
      </c>
      <c r="R543">
        <v>12</v>
      </c>
      <c r="S543" t="s">
        <v>259</v>
      </c>
      <c r="T543" t="s">
        <v>145</v>
      </c>
      <c r="V543" t="s">
        <v>56</v>
      </c>
      <c r="X543">
        <v>1</v>
      </c>
      <c r="AA543" t="s">
        <v>267</v>
      </c>
      <c r="AC543" t="s">
        <v>381</v>
      </c>
    </row>
    <row r="544" spans="1:29" x14ac:dyDescent="0.2">
      <c r="A544">
        <v>2019</v>
      </c>
      <c r="B544" t="s">
        <v>49</v>
      </c>
      <c r="C544" t="s">
        <v>51</v>
      </c>
      <c r="D544" t="s">
        <v>221</v>
      </c>
      <c r="E544" t="s">
        <v>111</v>
      </c>
      <c r="F544" s="4">
        <v>43786</v>
      </c>
      <c r="G544" s="5">
        <v>0.81223379629629633</v>
      </c>
      <c r="H544">
        <v>-76.880874880163304</v>
      </c>
      <c r="I544">
        <v>3.5526497028399802</v>
      </c>
      <c r="J544">
        <v>4</v>
      </c>
      <c r="K544" t="s">
        <v>119</v>
      </c>
      <c r="M544">
        <v>570</v>
      </c>
      <c r="N544" t="b">
        <v>1</v>
      </c>
      <c r="O544" t="b">
        <v>0</v>
      </c>
      <c r="R544">
        <v>15</v>
      </c>
      <c r="S544" t="s">
        <v>360</v>
      </c>
      <c r="T544" t="s">
        <v>201</v>
      </c>
      <c r="V544" t="s">
        <v>30</v>
      </c>
      <c r="X544">
        <v>1</v>
      </c>
      <c r="AA544" t="s">
        <v>365</v>
      </c>
    </row>
    <row r="545" spans="1:29" x14ac:dyDescent="0.2">
      <c r="A545">
        <v>2019</v>
      </c>
      <c r="B545" t="s">
        <v>49</v>
      </c>
      <c r="C545" t="s">
        <v>51</v>
      </c>
      <c r="D545" t="s">
        <v>221</v>
      </c>
      <c r="E545" t="s">
        <v>111</v>
      </c>
      <c r="F545" s="4">
        <v>43786</v>
      </c>
      <c r="G545" s="5">
        <v>0.86300925925925931</v>
      </c>
      <c r="H545">
        <v>-76.881680507141596</v>
      </c>
      <c r="I545">
        <v>3.5525017664355101</v>
      </c>
      <c r="J545">
        <v>4</v>
      </c>
      <c r="M545">
        <v>585</v>
      </c>
      <c r="N545" t="b">
        <v>1</v>
      </c>
      <c r="O545" t="b">
        <v>0</v>
      </c>
      <c r="P545">
        <v>8</v>
      </c>
      <c r="R545">
        <v>5</v>
      </c>
      <c r="T545" t="s">
        <v>145</v>
      </c>
      <c r="V545" t="s">
        <v>47</v>
      </c>
      <c r="X545">
        <v>0</v>
      </c>
      <c r="AA545" t="s">
        <v>365</v>
      </c>
    </row>
    <row r="546" spans="1:29" x14ac:dyDescent="0.2">
      <c r="A546">
        <v>2019</v>
      </c>
      <c r="B546" t="s">
        <v>49</v>
      </c>
      <c r="C546" t="s">
        <v>51</v>
      </c>
      <c r="D546" t="s">
        <v>221</v>
      </c>
      <c r="E546" t="s">
        <v>111</v>
      </c>
      <c r="F546" s="4">
        <v>43786</v>
      </c>
      <c r="G546" s="5">
        <v>0.86300925925925931</v>
      </c>
      <c r="H546">
        <v>-76.881680507141596</v>
      </c>
      <c r="I546">
        <v>3.5525017664355101</v>
      </c>
      <c r="J546">
        <v>4</v>
      </c>
      <c r="K546" t="s">
        <v>112</v>
      </c>
      <c r="L546" t="s">
        <v>331</v>
      </c>
      <c r="M546">
        <v>580</v>
      </c>
      <c r="N546" t="b">
        <v>1</v>
      </c>
      <c r="O546" t="b">
        <v>0</v>
      </c>
      <c r="P546">
        <v>8</v>
      </c>
      <c r="R546">
        <v>6</v>
      </c>
      <c r="S546" t="s">
        <v>360</v>
      </c>
      <c r="T546" t="s">
        <v>145</v>
      </c>
      <c r="V546" t="s">
        <v>46</v>
      </c>
      <c r="X546">
        <v>1</v>
      </c>
      <c r="AA546" t="s">
        <v>365</v>
      </c>
    </row>
    <row r="547" spans="1:29" x14ac:dyDescent="0.2">
      <c r="A547">
        <v>2019</v>
      </c>
      <c r="B547" t="s">
        <v>49</v>
      </c>
      <c r="C547" t="s">
        <v>51</v>
      </c>
      <c r="D547" t="s">
        <v>240</v>
      </c>
      <c r="E547" t="s">
        <v>135</v>
      </c>
      <c r="F547" s="4">
        <v>43786</v>
      </c>
      <c r="G547" s="5">
        <v>0.9477430555555556</v>
      </c>
      <c r="H547">
        <v>-76.882620271102994</v>
      </c>
      <c r="I547">
        <v>3.5526790492210001</v>
      </c>
      <c r="J547">
        <v>4</v>
      </c>
      <c r="K547" t="s">
        <v>119</v>
      </c>
      <c r="L547" t="s">
        <v>388</v>
      </c>
      <c r="M547">
        <v>556</v>
      </c>
      <c r="N547" t="b">
        <v>1</v>
      </c>
      <c r="O547" t="b">
        <v>1</v>
      </c>
      <c r="P547">
        <v>12</v>
      </c>
      <c r="Q547">
        <v>3</v>
      </c>
      <c r="R547">
        <v>12</v>
      </c>
      <c r="S547" t="s">
        <v>389</v>
      </c>
      <c r="T547" t="s">
        <v>145</v>
      </c>
      <c r="U547" t="s">
        <v>390</v>
      </c>
      <c r="V547" t="s">
        <v>45</v>
      </c>
      <c r="X547">
        <v>1</v>
      </c>
      <c r="AA547" t="s">
        <v>267</v>
      </c>
      <c r="AC547" t="s">
        <v>381</v>
      </c>
    </row>
    <row r="548" spans="1:29" x14ac:dyDescent="0.2">
      <c r="A548">
        <v>2019</v>
      </c>
      <c r="B548" t="s">
        <v>49</v>
      </c>
      <c r="C548" t="s">
        <v>51</v>
      </c>
      <c r="D548" t="s">
        <v>221</v>
      </c>
      <c r="E548" t="s">
        <v>111</v>
      </c>
      <c r="F548" s="4">
        <v>43786</v>
      </c>
      <c r="G548" s="5">
        <v>0.83546296296296296</v>
      </c>
      <c r="H548">
        <v>-76.881134582841099</v>
      </c>
      <c r="I548">
        <v>3.5526278778089502</v>
      </c>
      <c r="J548">
        <v>4</v>
      </c>
      <c r="K548" t="s">
        <v>119</v>
      </c>
      <c r="L548" t="s">
        <v>227</v>
      </c>
      <c r="M548">
        <v>565</v>
      </c>
      <c r="N548" t="b">
        <v>1</v>
      </c>
      <c r="O548" t="b">
        <v>0</v>
      </c>
      <c r="P548">
        <v>1</v>
      </c>
      <c r="R548">
        <v>18</v>
      </c>
      <c r="S548" t="s">
        <v>363</v>
      </c>
      <c r="T548" t="s">
        <v>201</v>
      </c>
      <c r="V548" t="s">
        <v>60</v>
      </c>
      <c r="X548">
        <v>1</v>
      </c>
      <c r="AA548" t="s">
        <v>365</v>
      </c>
    </row>
    <row r="549" spans="1:29" x14ac:dyDescent="0.2">
      <c r="A549">
        <v>2019</v>
      </c>
      <c r="B549" t="s">
        <v>49</v>
      </c>
      <c r="C549" t="s">
        <v>51</v>
      </c>
      <c r="D549" t="s">
        <v>223</v>
      </c>
      <c r="E549" t="s">
        <v>122</v>
      </c>
      <c r="F549" s="4">
        <v>43786</v>
      </c>
      <c r="G549" s="5">
        <v>0.8781944444444445</v>
      </c>
      <c r="H549">
        <v>-76.882378469108801</v>
      </c>
      <c r="I549">
        <v>3.5523996647560701</v>
      </c>
      <c r="J549">
        <v>4</v>
      </c>
      <c r="K549" t="s">
        <v>112</v>
      </c>
      <c r="L549" t="s">
        <v>113</v>
      </c>
      <c r="M549">
        <v>585</v>
      </c>
      <c r="N549" t="b">
        <v>1</v>
      </c>
      <c r="O549" t="b">
        <v>0</v>
      </c>
      <c r="P549">
        <v>7</v>
      </c>
      <c r="R549">
        <v>8</v>
      </c>
      <c r="S549" t="s">
        <v>314</v>
      </c>
      <c r="T549" t="s">
        <v>145</v>
      </c>
      <c r="V549" t="s">
        <v>31</v>
      </c>
      <c r="X549">
        <v>1</v>
      </c>
      <c r="AA549" t="s">
        <v>365</v>
      </c>
    </row>
    <row r="550" spans="1:29" x14ac:dyDescent="0.2">
      <c r="A550">
        <v>2019</v>
      </c>
      <c r="B550" t="s">
        <v>49</v>
      </c>
      <c r="C550" t="s">
        <v>52</v>
      </c>
      <c r="D550" t="s">
        <v>391</v>
      </c>
      <c r="E550" t="s">
        <v>122</v>
      </c>
      <c r="F550" s="4">
        <v>43787</v>
      </c>
      <c r="G550" s="5">
        <v>0.41093750000000001</v>
      </c>
      <c r="H550">
        <v>-76.889601655294399</v>
      </c>
      <c r="I550">
        <v>3.5507361681913499</v>
      </c>
      <c r="J550">
        <v>4</v>
      </c>
      <c r="K550" t="s">
        <v>119</v>
      </c>
      <c r="L550" t="s">
        <v>392</v>
      </c>
      <c r="M550">
        <v>660</v>
      </c>
      <c r="N550" t="b">
        <v>1</v>
      </c>
      <c r="O550" t="b">
        <v>0</v>
      </c>
      <c r="P550">
        <v>8</v>
      </c>
      <c r="R550">
        <v>10</v>
      </c>
      <c r="S550" t="s">
        <v>325</v>
      </c>
      <c r="T550" t="s">
        <v>145</v>
      </c>
      <c r="V550" t="s">
        <v>58</v>
      </c>
      <c r="X550">
        <v>1</v>
      </c>
      <c r="AA550" t="s">
        <v>365</v>
      </c>
    </row>
    <row r="551" spans="1:29" x14ac:dyDescent="0.2">
      <c r="A551">
        <v>2019</v>
      </c>
      <c r="B551" t="s">
        <v>49</v>
      </c>
      <c r="C551" t="s">
        <v>52</v>
      </c>
      <c r="D551" t="s">
        <v>393</v>
      </c>
      <c r="E551" t="s">
        <v>127</v>
      </c>
      <c r="F551" s="4">
        <v>43787</v>
      </c>
      <c r="G551" s="5">
        <v>0.44442129629629629</v>
      </c>
      <c r="H551">
        <v>-76.887786900640407</v>
      </c>
      <c r="I551">
        <v>3.5511047028805001</v>
      </c>
      <c r="J551">
        <v>4</v>
      </c>
      <c r="K551" t="s">
        <v>112</v>
      </c>
      <c r="M551">
        <v>650</v>
      </c>
      <c r="N551" t="b">
        <v>1</v>
      </c>
      <c r="O551" t="b">
        <v>0</v>
      </c>
      <c r="P551">
        <v>9</v>
      </c>
      <c r="R551">
        <v>12</v>
      </c>
      <c r="T551" t="s">
        <v>145</v>
      </c>
      <c r="U551" t="s">
        <v>394</v>
      </c>
      <c r="V551" t="s">
        <v>47</v>
      </c>
      <c r="X551">
        <v>0</v>
      </c>
      <c r="AA551" t="s">
        <v>365</v>
      </c>
    </row>
    <row r="552" spans="1:29" x14ac:dyDescent="0.2">
      <c r="A552">
        <v>2019</v>
      </c>
      <c r="B552" t="s">
        <v>49</v>
      </c>
      <c r="C552" t="s">
        <v>52</v>
      </c>
      <c r="D552" t="s">
        <v>391</v>
      </c>
      <c r="E552" t="s">
        <v>122</v>
      </c>
      <c r="F552" s="4">
        <v>43787</v>
      </c>
      <c r="G552" s="5">
        <v>0.41487268518518516</v>
      </c>
      <c r="H552">
        <v>-76.889490891773903</v>
      </c>
      <c r="I552">
        <v>3.5507419992003602</v>
      </c>
      <c r="J552">
        <v>4</v>
      </c>
      <c r="K552" t="s">
        <v>112</v>
      </c>
      <c r="L552" t="s">
        <v>113</v>
      </c>
      <c r="M552">
        <v>660</v>
      </c>
      <c r="N552" t="b">
        <v>1</v>
      </c>
      <c r="O552" t="b">
        <v>0</v>
      </c>
      <c r="R552">
        <v>5</v>
      </c>
      <c r="S552" t="s">
        <v>395</v>
      </c>
      <c r="T552" t="s">
        <v>145</v>
      </c>
      <c r="V552" t="s">
        <v>30</v>
      </c>
      <c r="X552">
        <v>1</v>
      </c>
      <c r="AA552" t="s">
        <v>365</v>
      </c>
    </row>
    <row r="553" spans="1:29" x14ac:dyDescent="0.2">
      <c r="A553">
        <v>2019</v>
      </c>
      <c r="B553" t="s">
        <v>49</v>
      </c>
      <c r="C553" t="s">
        <v>52</v>
      </c>
      <c r="D553" t="s">
        <v>391</v>
      </c>
      <c r="E553" t="s">
        <v>122</v>
      </c>
      <c r="F553" s="4">
        <v>43787</v>
      </c>
      <c r="G553" s="5">
        <v>0.41487268518518516</v>
      </c>
      <c r="H553">
        <v>-76.889490891773903</v>
      </c>
      <c r="I553">
        <v>3.5507419992003602</v>
      </c>
      <c r="J553">
        <v>4</v>
      </c>
      <c r="K553" t="s">
        <v>112</v>
      </c>
      <c r="L553" t="s">
        <v>396</v>
      </c>
      <c r="M553">
        <v>600</v>
      </c>
      <c r="N553" t="b">
        <v>1</v>
      </c>
      <c r="O553" t="b">
        <v>0</v>
      </c>
      <c r="R553">
        <v>10</v>
      </c>
      <c r="S553" t="s">
        <v>304</v>
      </c>
      <c r="T553" t="s">
        <v>145</v>
      </c>
      <c r="V553" t="s">
        <v>45</v>
      </c>
      <c r="X553">
        <v>1</v>
      </c>
      <c r="AA553" t="s">
        <v>365</v>
      </c>
    </row>
    <row r="554" spans="1:29" x14ac:dyDescent="0.2">
      <c r="A554">
        <v>2019</v>
      </c>
      <c r="B554" t="s">
        <v>49</v>
      </c>
      <c r="C554" t="s">
        <v>52</v>
      </c>
      <c r="D554" t="s">
        <v>391</v>
      </c>
      <c r="E554" t="s">
        <v>122</v>
      </c>
      <c r="F554" s="4">
        <v>43787</v>
      </c>
      <c r="G554" s="5">
        <v>0.40168981481481481</v>
      </c>
      <c r="H554">
        <v>-76.8900243905926</v>
      </c>
      <c r="I554">
        <v>3.5508641879980698</v>
      </c>
      <c r="J554">
        <v>4</v>
      </c>
      <c r="K554" t="s">
        <v>119</v>
      </c>
      <c r="L554" t="s">
        <v>397</v>
      </c>
      <c r="M554">
        <v>665</v>
      </c>
      <c r="N554" t="b">
        <v>1</v>
      </c>
      <c r="O554" t="b">
        <v>0</v>
      </c>
      <c r="P554">
        <v>8</v>
      </c>
      <c r="R554">
        <v>10</v>
      </c>
      <c r="S554" t="s">
        <v>360</v>
      </c>
      <c r="T554" t="s">
        <v>145</v>
      </c>
      <c r="U554" t="s">
        <v>334</v>
      </c>
      <c r="V554" t="s">
        <v>45</v>
      </c>
      <c r="X554">
        <v>8</v>
      </c>
      <c r="AA554" t="s">
        <v>365</v>
      </c>
    </row>
    <row r="555" spans="1:29" x14ac:dyDescent="0.2">
      <c r="A555">
        <v>2019</v>
      </c>
      <c r="B555" t="s">
        <v>49</v>
      </c>
      <c r="C555" t="s">
        <v>52</v>
      </c>
      <c r="D555" t="s">
        <v>391</v>
      </c>
      <c r="E555" t="s">
        <v>122</v>
      </c>
      <c r="F555" s="4">
        <v>43787</v>
      </c>
      <c r="G555" s="5">
        <v>0.40168981481481481</v>
      </c>
      <c r="H555">
        <v>-76.8900243905926</v>
      </c>
      <c r="I555">
        <v>3.5508641879980698</v>
      </c>
      <c r="J555">
        <v>4</v>
      </c>
      <c r="K555" t="s">
        <v>119</v>
      </c>
      <c r="L555" t="s">
        <v>392</v>
      </c>
      <c r="M555">
        <v>665</v>
      </c>
      <c r="N555" t="b">
        <v>1</v>
      </c>
      <c r="O555" t="b">
        <v>0</v>
      </c>
      <c r="P555">
        <v>8</v>
      </c>
      <c r="R555">
        <v>10</v>
      </c>
      <c r="S555" t="s">
        <v>360</v>
      </c>
      <c r="T555" t="s">
        <v>145</v>
      </c>
      <c r="V555" t="s">
        <v>30</v>
      </c>
      <c r="X555">
        <v>1</v>
      </c>
      <c r="AA555" t="s">
        <v>365</v>
      </c>
    </row>
    <row r="556" spans="1:29" x14ac:dyDescent="0.2">
      <c r="A556">
        <v>2019</v>
      </c>
      <c r="B556" t="s">
        <v>49</v>
      </c>
      <c r="C556" t="s">
        <v>52</v>
      </c>
      <c r="D556" t="s">
        <v>393</v>
      </c>
      <c r="E556" t="s">
        <v>127</v>
      </c>
      <c r="F556" s="4">
        <v>43787</v>
      </c>
      <c r="G556" s="5">
        <v>0.42560185185185184</v>
      </c>
      <c r="H556">
        <v>-76.888748626961004</v>
      </c>
      <c r="I556">
        <v>3.5505577125952001</v>
      </c>
      <c r="J556">
        <v>4</v>
      </c>
      <c r="K556" t="s">
        <v>112</v>
      </c>
      <c r="M556">
        <v>600</v>
      </c>
      <c r="N556" t="b">
        <v>1</v>
      </c>
      <c r="O556" t="b">
        <v>0</v>
      </c>
      <c r="P556">
        <v>10</v>
      </c>
      <c r="R556">
        <v>15</v>
      </c>
      <c r="T556" t="s">
        <v>145</v>
      </c>
      <c r="U556" t="s">
        <v>398</v>
      </c>
      <c r="V556" t="s">
        <v>47</v>
      </c>
      <c r="X556">
        <v>0</v>
      </c>
      <c r="AA556" t="s">
        <v>365</v>
      </c>
    </row>
    <row r="557" spans="1:29" x14ac:dyDescent="0.2">
      <c r="A557">
        <v>2019</v>
      </c>
      <c r="B557" t="s">
        <v>49</v>
      </c>
      <c r="C557" t="s">
        <v>52</v>
      </c>
      <c r="D557" t="s">
        <v>393</v>
      </c>
      <c r="E557" t="s">
        <v>127</v>
      </c>
      <c r="F557" s="4">
        <v>43787</v>
      </c>
      <c r="G557" s="5">
        <v>0.42296296296296299</v>
      </c>
      <c r="H557">
        <v>-76.888998909562304</v>
      </c>
      <c r="I557">
        <v>3.5506251548199401</v>
      </c>
      <c r="J557">
        <v>4</v>
      </c>
      <c r="K557" t="s">
        <v>112</v>
      </c>
      <c r="M557">
        <v>600</v>
      </c>
      <c r="N557" t="b">
        <v>1</v>
      </c>
      <c r="O557" t="b">
        <v>0</v>
      </c>
      <c r="P557">
        <v>6</v>
      </c>
      <c r="R557">
        <v>10</v>
      </c>
      <c r="T557" t="s">
        <v>145</v>
      </c>
      <c r="U557" t="s">
        <v>399</v>
      </c>
      <c r="V557" t="s">
        <v>47</v>
      </c>
      <c r="X557">
        <v>0</v>
      </c>
      <c r="AA557" t="s">
        <v>365</v>
      </c>
    </row>
    <row r="558" spans="1:29" x14ac:dyDescent="0.2">
      <c r="A558">
        <v>2019</v>
      </c>
      <c r="B558" t="s">
        <v>15</v>
      </c>
      <c r="C558" t="s">
        <v>19</v>
      </c>
      <c r="D558" t="s">
        <v>193</v>
      </c>
      <c r="E558" t="s">
        <v>111</v>
      </c>
      <c r="F558" s="4">
        <v>43808</v>
      </c>
      <c r="G558" s="5">
        <v>0.88997685185185182</v>
      </c>
      <c r="H558">
        <v>-76.680409953783993</v>
      </c>
      <c r="I558">
        <v>3.4011741098395798</v>
      </c>
      <c r="J558">
        <v>4</v>
      </c>
      <c r="K558" t="s">
        <v>112</v>
      </c>
      <c r="L558" t="s">
        <v>136</v>
      </c>
      <c r="M558">
        <v>3020</v>
      </c>
      <c r="N558" t="b">
        <v>1</v>
      </c>
      <c r="O558" t="b">
        <v>0</v>
      </c>
      <c r="P558">
        <v>17</v>
      </c>
      <c r="R558">
        <v>80</v>
      </c>
      <c r="T558" t="s">
        <v>167</v>
      </c>
      <c r="U558" t="s">
        <v>400</v>
      </c>
      <c r="V558" t="s">
        <v>57</v>
      </c>
      <c r="X558">
        <v>1</v>
      </c>
      <c r="AA558" t="s">
        <v>117</v>
      </c>
    </row>
    <row r="559" spans="1:29" x14ac:dyDescent="0.2">
      <c r="A559">
        <v>2019</v>
      </c>
      <c r="B559" t="s">
        <v>15</v>
      </c>
      <c r="C559" t="s">
        <v>19</v>
      </c>
      <c r="D559" t="s">
        <v>153</v>
      </c>
      <c r="E559" t="s">
        <v>127</v>
      </c>
      <c r="F559" s="4">
        <v>43808</v>
      </c>
      <c r="G559" s="5">
        <v>0.95348379629629632</v>
      </c>
      <c r="H559">
        <v>-76.678878619322603</v>
      </c>
      <c r="I559">
        <v>3.4007083575184902</v>
      </c>
      <c r="J559">
        <v>4</v>
      </c>
      <c r="K559" t="s">
        <v>119</v>
      </c>
      <c r="M559">
        <v>3020</v>
      </c>
      <c r="N559" t="b">
        <v>1</v>
      </c>
      <c r="O559" t="b">
        <v>0</v>
      </c>
      <c r="P559">
        <v>12</v>
      </c>
      <c r="R559">
        <v>50</v>
      </c>
      <c r="T559" t="s">
        <v>258</v>
      </c>
      <c r="U559" t="s">
        <v>401</v>
      </c>
      <c r="V559" t="s">
        <v>39</v>
      </c>
      <c r="X559">
        <v>1</v>
      </c>
      <c r="AA559" t="s">
        <v>117</v>
      </c>
    </row>
    <row r="560" spans="1:29" x14ac:dyDescent="0.2">
      <c r="A560">
        <v>2019</v>
      </c>
      <c r="B560" t="s">
        <v>15</v>
      </c>
      <c r="C560" t="s">
        <v>19</v>
      </c>
      <c r="D560" t="s">
        <v>150</v>
      </c>
      <c r="E560" t="s">
        <v>122</v>
      </c>
      <c r="F560" s="4">
        <v>43808</v>
      </c>
      <c r="G560" s="5">
        <v>0.93214120370370368</v>
      </c>
      <c r="H560">
        <v>-76.679739583170303</v>
      </c>
      <c r="I560">
        <v>3.40075414495902</v>
      </c>
      <c r="J560">
        <v>4</v>
      </c>
      <c r="M560">
        <v>2995</v>
      </c>
      <c r="N560" t="b">
        <v>1</v>
      </c>
      <c r="O560" t="b">
        <v>0</v>
      </c>
      <c r="P560">
        <v>15</v>
      </c>
      <c r="R560">
        <v>40</v>
      </c>
      <c r="T560" t="s">
        <v>258</v>
      </c>
      <c r="U560" t="s">
        <v>402</v>
      </c>
      <c r="V560" t="s">
        <v>47</v>
      </c>
      <c r="X560">
        <v>0</v>
      </c>
      <c r="AA560" t="s">
        <v>117</v>
      </c>
    </row>
    <row r="561" spans="1:27" x14ac:dyDescent="0.2">
      <c r="A561">
        <v>2019</v>
      </c>
      <c r="B561" t="s">
        <v>15</v>
      </c>
      <c r="C561" t="s">
        <v>19</v>
      </c>
      <c r="D561" t="s">
        <v>193</v>
      </c>
      <c r="E561" t="s">
        <v>111</v>
      </c>
      <c r="F561" s="4">
        <v>43808</v>
      </c>
      <c r="G561" s="5">
        <v>0.82013888888888886</v>
      </c>
      <c r="H561">
        <v>-76.681523358386002</v>
      </c>
      <c r="I561">
        <v>3.40132420719504</v>
      </c>
      <c r="J561">
        <v>4</v>
      </c>
      <c r="K561" t="s">
        <v>112</v>
      </c>
      <c r="M561">
        <v>3107</v>
      </c>
      <c r="N561" t="b">
        <v>1</v>
      </c>
      <c r="O561" t="b">
        <v>0</v>
      </c>
      <c r="P561">
        <v>20</v>
      </c>
      <c r="R561">
        <v>60</v>
      </c>
      <c r="T561" t="s">
        <v>145</v>
      </c>
      <c r="U561" t="s">
        <v>291</v>
      </c>
      <c r="V561" t="s">
        <v>47</v>
      </c>
      <c r="X561">
        <v>0</v>
      </c>
      <c r="AA561" t="s">
        <v>452</v>
      </c>
    </row>
    <row r="562" spans="1:27" x14ac:dyDescent="0.2">
      <c r="A562">
        <v>2019</v>
      </c>
      <c r="B562" t="s">
        <v>15</v>
      </c>
      <c r="C562" t="s">
        <v>19</v>
      </c>
      <c r="D562" t="s">
        <v>193</v>
      </c>
      <c r="E562" t="s">
        <v>111</v>
      </c>
      <c r="F562" s="4">
        <v>43808</v>
      </c>
      <c r="G562" s="5">
        <v>0.86321759259259256</v>
      </c>
      <c r="H562">
        <v>-76.680964870404495</v>
      </c>
      <c r="I562">
        <v>3.4017370707498</v>
      </c>
      <c r="J562">
        <v>4</v>
      </c>
      <c r="M562">
        <v>3034</v>
      </c>
      <c r="N562" t="b">
        <v>1</v>
      </c>
      <c r="O562" t="b">
        <v>0</v>
      </c>
      <c r="P562">
        <v>15</v>
      </c>
      <c r="R562">
        <v>50</v>
      </c>
      <c r="T562" t="s">
        <v>258</v>
      </c>
      <c r="U562" t="s">
        <v>403</v>
      </c>
      <c r="V562" t="s">
        <v>47</v>
      </c>
      <c r="X562">
        <v>0</v>
      </c>
      <c r="AA562" t="s">
        <v>117</v>
      </c>
    </row>
    <row r="563" spans="1:27" x14ac:dyDescent="0.2">
      <c r="A563">
        <v>2019</v>
      </c>
      <c r="B563" t="s">
        <v>15</v>
      </c>
      <c r="C563" t="s">
        <v>19</v>
      </c>
      <c r="D563" t="s">
        <v>193</v>
      </c>
      <c r="E563" t="s">
        <v>111</v>
      </c>
      <c r="F563" s="4">
        <v>43808</v>
      </c>
      <c r="G563" s="5">
        <v>0.85726851851851849</v>
      </c>
      <c r="H563">
        <v>-76.681296108828903</v>
      </c>
      <c r="I563">
        <v>3.4019015036326299</v>
      </c>
      <c r="J563">
        <v>4</v>
      </c>
      <c r="M563">
        <v>3074</v>
      </c>
      <c r="N563" t="b">
        <v>1</v>
      </c>
      <c r="O563" t="b">
        <v>0</v>
      </c>
      <c r="P563">
        <v>15</v>
      </c>
      <c r="R563">
        <v>65</v>
      </c>
      <c r="T563" t="s">
        <v>258</v>
      </c>
      <c r="U563" t="s">
        <v>404</v>
      </c>
      <c r="V563" t="s">
        <v>47</v>
      </c>
      <c r="X563">
        <v>0</v>
      </c>
      <c r="AA563" t="s">
        <v>117</v>
      </c>
    </row>
    <row r="564" spans="1:27" x14ac:dyDescent="0.2">
      <c r="A564">
        <v>2019</v>
      </c>
      <c r="B564" t="s">
        <v>15</v>
      </c>
      <c r="C564" t="s">
        <v>19</v>
      </c>
      <c r="D564" t="s">
        <v>150</v>
      </c>
      <c r="E564" t="s">
        <v>122</v>
      </c>
      <c r="F564" s="4">
        <v>43808</v>
      </c>
      <c r="G564" s="5">
        <v>0.92854166666666671</v>
      </c>
      <c r="H564">
        <v>-76.679977115474202</v>
      </c>
      <c r="I564">
        <v>3.4004685460320001</v>
      </c>
      <c r="J564">
        <v>4</v>
      </c>
      <c r="M564">
        <v>2995</v>
      </c>
      <c r="N564" t="b">
        <v>1</v>
      </c>
      <c r="O564" t="b">
        <v>0</v>
      </c>
      <c r="P564">
        <v>15</v>
      </c>
      <c r="R564">
        <v>40</v>
      </c>
      <c r="T564" t="s">
        <v>258</v>
      </c>
      <c r="U564" t="s">
        <v>405</v>
      </c>
      <c r="V564" t="s">
        <v>47</v>
      </c>
      <c r="X564">
        <v>0</v>
      </c>
      <c r="AA564" t="s">
        <v>117</v>
      </c>
    </row>
    <row r="565" spans="1:27" x14ac:dyDescent="0.2">
      <c r="A565">
        <v>2019</v>
      </c>
      <c r="B565" t="s">
        <v>15</v>
      </c>
      <c r="C565" t="s">
        <v>19</v>
      </c>
      <c r="D565" t="s">
        <v>193</v>
      </c>
      <c r="E565" t="s">
        <v>111</v>
      </c>
      <c r="F565" s="4">
        <v>43808</v>
      </c>
      <c r="G565" s="5">
        <v>0.84245370370370365</v>
      </c>
      <c r="H565">
        <v>-76.681476850349299</v>
      </c>
      <c r="I565">
        <v>3.40154297056606</v>
      </c>
      <c r="J565">
        <v>4</v>
      </c>
      <c r="K565" t="s">
        <v>119</v>
      </c>
      <c r="L565" t="s">
        <v>136</v>
      </c>
      <c r="M565">
        <v>3084</v>
      </c>
      <c r="N565" t="b">
        <v>1</v>
      </c>
      <c r="O565" t="b">
        <v>0</v>
      </c>
      <c r="P565">
        <v>6</v>
      </c>
      <c r="R565">
        <v>85</v>
      </c>
      <c r="T565" t="s">
        <v>258</v>
      </c>
      <c r="V565" t="s">
        <v>47</v>
      </c>
      <c r="X565">
        <v>0</v>
      </c>
      <c r="AA565" t="s">
        <v>452</v>
      </c>
    </row>
    <row r="566" spans="1:27" x14ac:dyDescent="0.2">
      <c r="A566">
        <v>2019</v>
      </c>
      <c r="B566" t="s">
        <v>15</v>
      </c>
      <c r="C566" t="s">
        <v>19</v>
      </c>
      <c r="D566" t="s">
        <v>193</v>
      </c>
      <c r="E566" t="s">
        <v>111</v>
      </c>
      <c r="F566" s="4">
        <v>43808</v>
      </c>
      <c r="G566" s="5">
        <v>0.8316203703703704</v>
      </c>
      <c r="H566">
        <v>-76.681406520893205</v>
      </c>
      <c r="I566">
        <v>3.4014138294078502</v>
      </c>
      <c r="J566">
        <v>4</v>
      </c>
      <c r="K566" t="s">
        <v>112</v>
      </c>
      <c r="L566" t="s">
        <v>136</v>
      </c>
      <c r="M566">
        <v>3084</v>
      </c>
      <c r="N566" t="b">
        <v>1</v>
      </c>
      <c r="O566" t="b">
        <v>0</v>
      </c>
      <c r="P566">
        <v>18</v>
      </c>
      <c r="R566">
        <v>75</v>
      </c>
      <c r="S566" t="s">
        <v>406</v>
      </c>
      <c r="T566" t="s">
        <v>145</v>
      </c>
      <c r="V566" t="s">
        <v>38</v>
      </c>
      <c r="X566">
        <v>1</v>
      </c>
      <c r="AA566" t="s">
        <v>117</v>
      </c>
    </row>
    <row r="567" spans="1:27" x14ac:dyDescent="0.2">
      <c r="A567">
        <v>2019</v>
      </c>
      <c r="B567" t="s">
        <v>15</v>
      </c>
      <c r="C567" t="s">
        <v>19</v>
      </c>
      <c r="D567" t="s">
        <v>150</v>
      </c>
      <c r="E567" t="s">
        <v>122</v>
      </c>
      <c r="F567" s="4">
        <v>43808</v>
      </c>
      <c r="G567" s="5">
        <v>0.93714120370370368</v>
      </c>
      <c r="H567">
        <v>-76.679489470877499</v>
      </c>
      <c r="I567">
        <v>3.4007295103225799</v>
      </c>
      <c r="J567">
        <v>4</v>
      </c>
      <c r="K567" t="s">
        <v>112</v>
      </c>
      <c r="L567" t="s">
        <v>136</v>
      </c>
      <c r="M567">
        <v>3020</v>
      </c>
      <c r="N567" t="b">
        <v>1</v>
      </c>
      <c r="O567" t="b">
        <v>0</v>
      </c>
      <c r="P567">
        <v>15</v>
      </c>
      <c r="R567">
        <v>60</v>
      </c>
      <c r="S567" t="s">
        <v>314</v>
      </c>
      <c r="T567" t="s">
        <v>258</v>
      </c>
      <c r="V567" t="s">
        <v>39</v>
      </c>
      <c r="X567">
        <v>1</v>
      </c>
      <c r="AA567" t="s">
        <v>117</v>
      </c>
    </row>
    <row r="568" spans="1:27" x14ac:dyDescent="0.2">
      <c r="A568">
        <v>2019</v>
      </c>
      <c r="B568" t="s">
        <v>15</v>
      </c>
      <c r="C568" t="s">
        <v>19</v>
      </c>
      <c r="D568" t="s">
        <v>193</v>
      </c>
      <c r="E568" t="s">
        <v>111</v>
      </c>
      <c r="F568" s="4">
        <v>43808</v>
      </c>
      <c r="G568" s="5">
        <v>0.90902777777777777</v>
      </c>
      <c r="H568">
        <v>-76.680170205083996</v>
      </c>
      <c r="I568">
        <v>3.40114768662739</v>
      </c>
      <c r="J568">
        <v>4</v>
      </c>
      <c r="K568" t="s">
        <v>119</v>
      </c>
      <c r="L568" t="s">
        <v>407</v>
      </c>
      <c r="M568">
        <v>3034</v>
      </c>
      <c r="N568" t="b">
        <v>1</v>
      </c>
      <c r="O568" t="b">
        <v>0</v>
      </c>
      <c r="P568">
        <v>15</v>
      </c>
      <c r="R568">
        <v>80</v>
      </c>
      <c r="S568" t="s">
        <v>314</v>
      </c>
      <c r="T568" t="s">
        <v>258</v>
      </c>
      <c r="V568" t="s">
        <v>39</v>
      </c>
      <c r="X568">
        <v>1</v>
      </c>
      <c r="AA568" t="s">
        <v>117</v>
      </c>
    </row>
    <row r="569" spans="1:27" x14ac:dyDescent="0.2">
      <c r="A569">
        <v>2019</v>
      </c>
      <c r="B569" t="s">
        <v>15</v>
      </c>
      <c r="C569" t="s">
        <v>19</v>
      </c>
      <c r="D569" t="s">
        <v>193</v>
      </c>
      <c r="E569" t="s">
        <v>111</v>
      </c>
      <c r="F569" s="4">
        <v>43808</v>
      </c>
      <c r="G569" s="5">
        <v>0.90084490740740741</v>
      </c>
      <c r="H569">
        <v>-76.680194990839695</v>
      </c>
      <c r="I569">
        <v>3.4010744622278</v>
      </c>
      <c r="J569">
        <v>4</v>
      </c>
      <c r="M569">
        <v>3032</v>
      </c>
      <c r="N569" t="b">
        <v>1</v>
      </c>
      <c r="O569" t="b">
        <v>0</v>
      </c>
      <c r="P569">
        <v>22</v>
      </c>
      <c r="R569">
        <v>40</v>
      </c>
      <c r="T569" t="s">
        <v>258</v>
      </c>
      <c r="U569" t="s">
        <v>408</v>
      </c>
      <c r="V569" t="s">
        <v>47</v>
      </c>
      <c r="X569">
        <v>0</v>
      </c>
      <c r="AA569" t="s">
        <v>117</v>
      </c>
    </row>
    <row r="570" spans="1:27" x14ac:dyDescent="0.2">
      <c r="A570">
        <v>2019</v>
      </c>
      <c r="B570" t="s">
        <v>15</v>
      </c>
      <c r="C570" t="s">
        <v>17</v>
      </c>
      <c r="D570" t="s">
        <v>138</v>
      </c>
      <c r="E570" t="s">
        <v>135</v>
      </c>
      <c r="F570" s="4">
        <v>43809</v>
      </c>
      <c r="G570" s="5">
        <v>0.95665509259259263</v>
      </c>
      <c r="H570">
        <v>-76.690640572651205</v>
      </c>
      <c r="I570">
        <v>3.4064862084016299</v>
      </c>
      <c r="J570">
        <v>4</v>
      </c>
      <c r="K570" t="s">
        <v>112</v>
      </c>
      <c r="M570">
        <v>3398</v>
      </c>
      <c r="N570" t="b">
        <v>1</v>
      </c>
      <c r="O570" t="b">
        <v>0</v>
      </c>
      <c r="P570">
        <v>4</v>
      </c>
      <c r="R570">
        <v>50</v>
      </c>
      <c r="T570" t="s">
        <v>201</v>
      </c>
      <c r="U570" t="s">
        <v>409</v>
      </c>
      <c r="V570" t="s">
        <v>47</v>
      </c>
      <c r="X570">
        <v>0</v>
      </c>
      <c r="AA570" t="s">
        <v>117</v>
      </c>
    </row>
    <row r="571" spans="1:27" x14ac:dyDescent="0.2">
      <c r="A571">
        <v>2019</v>
      </c>
      <c r="B571" t="s">
        <v>15</v>
      </c>
      <c r="C571" t="s">
        <v>17</v>
      </c>
      <c r="D571" t="s">
        <v>143</v>
      </c>
      <c r="E571" t="s">
        <v>127</v>
      </c>
      <c r="F571" s="4">
        <v>43809</v>
      </c>
      <c r="G571" s="5">
        <v>0.92351851851851852</v>
      </c>
      <c r="H571">
        <v>-76.690179380444903</v>
      </c>
      <c r="I571">
        <v>3.4069317671664501</v>
      </c>
      <c r="J571">
        <v>4</v>
      </c>
      <c r="K571" t="s">
        <v>119</v>
      </c>
      <c r="L571" t="s">
        <v>136</v>
      </c>
      <c r="M571">
        <v>3395</v>
      </c>
      <c r="N571" t="b">
        <v>1</v>
      </c>
      <c r="O571" t="b">
        <v>0</v>
      </c>
      <c r="P571">
        <v>5</v>
      </c>
      <c r="R571">
        <v>50</v>
      </c>
      <c r="S571" t="s">
        <v>314</v>
      </c>
      <c r="T571" t="s">
        <v>201</v>
      </c>
      <c r="V571" t="s">
        <v>63</v>
      </c>
      <c r="X571">
        <v>1</v>
      </c>
      <c r="AA571" t="s">
        <v>117</v>
      </c>
    </row>
    <row r="572" spans="1:27" x14ac:dyDescent="0.2">
      <c r="A572">
        <v>2019</v>
      </c>
      <c r="B572" t="s">
        <v>15</v>
      </c>
      <c r="C572" t="s">
        <v>17</v>
      </c>
      <c r="D572" t="s">
        <v>142</v>
      </c>
      <c r="E572" t="s">
        <v>111</v>
      </c>
      <c r="F572" s="4">
        <v>43809</v>
      </c>
      <c r="G572" s="5">
        <v>0.83598379629629627</v>
      </c>
      <c r="H572">
        <v>-76.688450004012694</v>
      </c>
      <c r="I572">
        <v>3.4082398646293002</v>
      </c>
      <c r="J572">
        <v>4</v>
      </c>
      <c r="K572" t="s">
        <v>112</v>
      </c>
      <c r="L572" t="s">
        <v>113</v>
      </c>
      <c r="M572">
        <v>3390</v>
      </c>
      <c r="N572" t="b">
        <v>1</v>
      </c>
      <c r="O572" t="b">
        <v>0</v>
      </c>
      <c r="P572">
        <v>5</v>
      </c>
      <c r="R572">
        <v>60</v>
      </c>
      <c r="S572" t="s">
        <v>410</v>
      </c>
      <c r="T572" t="s">
        <v>201</v>
      </c>
      <c r="V572" t="s">
        <v>6</v>
      </c>
      <c r="X572">
        <v>1</v>
      </c>
      <c r="AA572" t="s">
        <v>117</v>
      </c>
    </row>
    <row r="573" spans="1:27" x14ac:dyDescent="0.2">
      <c r="A573">
        <v>2019</v>
      </c>
      <c r="B573" t="s">
        <v>15</v>
      </c>
      <c r="C573" t="s">
        <v>17</v>
      </c>
      <c r="D573" t="s">
        <v>202</v>
      </c>
      <c r="E573" t="s">
        <v>122</v>
      </c>
      <c r="F573" s="4">
        <v>43809</v>
      </c>
      <c r="G573" s="5">
        <v>0.90880787037037036</v>
      </c>
      <c r="H573">
        <v>-76.689782447129204</v>
      </c>
      <c r="I573">
        <v>3.4073082239731098</v>
      </c>
      <c r="J573">
        <v>4</v>
      </c>
      <c r="K573" t="s">
        <v>112</v>
      </c>
      <c r="L573" t="s">
        <v>113</v>
      </c>
      <c r="M573">
        <v>3393</v>
      </c>
      <c r="N573" t="b">
        <v>1</v>
      </c>
      <c r="O573" t="b">
        <v>0</v>
      </c>
      <c r="P573">
        <v>4</v>
      </c>
      <c r="R573">
        <v>45</v>
      </c>
      <c r="S573" t="s">
        <v>314</v>
      </c>
      <c r="T573" t="s">
        <v>201</v>
      </c>
      <c r="U573" t="s">
        <v>411</v>
      </c>
      <c r="V573" t="s">
        <v>6</v>
      </c>
      <c r="X573">
        <v>1</v>
      </c>
      <c r="AA573" t="s">
        <v>117</v>
      </c>
    </row>
    <row r="574" spans="1:27" x14ac:dyDescent="0.2">
      <c r="A574">
        <v>2019</v>
      </c>
      <c r="B574" t="s">
        <v>15</v>
      </c>
      <c r="C574" t="s">
        <v>17</v>
      </c>
      <c r="D574" t="s">
        <v>142</v>
      </c>
      <c r="E574" t="s">
        <v>111</v>
      </c>
      <c r="F574" s="4">
        <v>43809</v>
      </c>
      <c r="G574" s="5">
        <v>0.85508101851851848</v>
      </c>
      <c r="H574">
        <v>-76.688724741131907</v>
      </c>
      <c r="I574">
        <v>3.4078664157324501</v>
      </c>
      <c r="J574">
        <v>4</v>
      </c>
      <c r="K574" t="s">
        <v>119</v>
      </c>
      <c r="L574" t="s">
        <v>412</v>
      </c>
      <c r="M574">
        <v>3385</v>
      </c>
      <c r="N574" t="b">
        <v>1</v>
      </c>
      <c r="O574" t="b">
        <v>0</v>
      </c>
      <c r="P574">
        <v>4</v>
      </c>
      <c r="R574">
        <v>20</v>
      </c>
      <c r="S574" t="s">
        <v>361</v>
      </c>
      <c r="T574" t="s">
        <v>201</v>
      </c>
      <c r="U574" t="s">
        <v>260</v>
      </c>
      <c r="V574" t="s">
        <v>6</v>
      </c>
      <c r="X574">
        <v>1</v>
      </c>
      <c r="AA574" t="s">
        <v>117</v>
      </c>
    </row>
    <row r="575" spans="1:27" x14ac:dyDescent="0.2">
      <c r="A575">
        <v>2019</v>
      </c>
      <c r="B575" t="s">
        <v>15</v>
      </c>
      <c r="C575" t="s">
        <v>17</v>
      </c>
      <c r="D575" t="s">
        <v>142</v>
      </c>
      <c r="E575" t="s">
        <v>111</v>
      </c>
      <c r="F575" s="4">
        <v>43809</v>
      </c>
      <c r="G575" s="5">
        <v>0.85508101851851848</v>
      </c>
      <c r="H575">
        <v>-76.688724741131907</v>
      </c>
      <c r="I575">
        <v>3.4078664157324501</v>
      </c>
      <c r="J575">
        <v>4</v>
      </c>
      <c r="K575" t="s">
        <v>119</v>
      </c>
      <c r="L575" t="s">
        <v>413</v>
      </c>
      <c r="M575">
        <v>3385</v>
      </c>
      <c r="N575" t="b">
        <v>1</v>
      </c>
      <c r="O575" t="b">
        <v>0</v>
      </c>
      <c r="P575">
        <v>4</v>
      </c>
      <c r="R575">
        <v>80</v>
      </c>
      <c r="S575" t="s">
        <v>361</v>
      </c>
      <c r="T575" t="s">
        <v>201</v>
      </c>
      <c r="V575" t="s">
        <v>6</v>
      </c>
      <c r="X575">
        <v>1</v>
      </c>
      <c r="AA575" t="s">
        <v>117</v>
      </c>
    </row>
    <row r="576" spans="1:27" x14ac:dyDescent="0.2">
      <c r="A576">
        <v>2019</v>
      </c>
      <c r="B576" t="s">
        <v>15</v>
      </c>
      <c r="C576" t="s">
        <v>17</v>
      </c>
      <c r="D576" t="s">
        <v>142</v>
      </c>
      <c r="E576" t="s">
        <v>111</v>
      </c>
      <c r="F576" s="4">
        <v>43809</v>
      </c>
      <c r="G576" s="5">
        <v>0.81899305555555557</v>
      </c>
      <c r="H576">
        <v>-76.688344051540895</v>
      </c>
      <c r="I576">
        <v>3.40815756893315</v>
      </c>
      <c r="J576">
        <v>4</v>
      </c>
      <c r="K576" t="s">
        <v>112</v>
      </c>
      <c r="L576" t="s">
        <v>407</v>
      </c>
      <c r="M576">
        <v>3398</v>
      </c>
      <c r="N576" t="b">
        <v>1</v>
      </c>
      <c r="O576" t="b">
        <v>0</v>
      </c>
      <c r="P576">
        <v>4</v>
      </c>
      <c r="R576">
        <v>40</v>
      </c>
      <c r="S576" t="s">
        <v>314</v>
      </c>
      <c r="T576" t="s">
        <v>201</v>
      </c>
      <c r="U576" t="s">
        <v>414</v>
      </c>
      <c r="V576" t="s">
        <v>6</v>
      </c>
      <c r="X576">
        <v>1</v>
      </c>
      <c r="AA576" t="s">
        <v>117</v>
      </c>
    </row>
    <row r="577" spans="1:43" x14ac:dyDescent="0.2">
      <c r="A577">
        <v>2019</v>
      </c>
      <c r="B577" t="s">
        <v>15</v>
      </c>
      <c r="C577" t="s">
        <v>17</v>
      </c>
      <c r="D577" t="s">
        <v>202</v>
      </c>
      <c r="E577" t="s">
        <v>122</v>
      </c>
      <c r="F577" s="4">
        <v>43809</v>
      </c>
      <c r="G577" s="5">
        <v>0.8830324074074074</v>
      </c>
      <c r="H577">
        <v>-76.689068341938807</v>
      </c>
      <c r="I577">
        <v>3.4076396710888202</v>
      </c>
      <c r="J577">
        <v>4</v>
      </c>
      <c r="M577">
        <v>3395</v>
      </c>
      <c r="N577" t="b">
        <v>1</v>
      </c>
      <c r="O577" t="b">
        <v>0</v>
      </c>
      <c r="P577">
        <v>4</v>
      </c>
      <c r="R577">
        <v>40</v>
      </c>
      <c r="T577" t="s">
        <v>201</v>
      </c>
      <c r="U577" t="s">
        <v>415</v>
      </c>
      <c r="V577" t="s">
        <v>47</v>
      </c>
      <c r="X577">
        <v>0</v>
      </c>
      <c r="AA577" t="s">
        <v>117</v>
      </c>
    </row>
    <row r="578" spans="1:43" x14ac:dyDescent="0.2">
      <c r="A578">
        <v>2019</v>
      </c>
      <c r="B578" t="s">
        <v>15</v>
      </c>
      <c r="C578" t="s">
        <v>17</v>
      </c>
      <c r="D578" t="s">
        <v>143</v>
      </c>
      <c r="E578" t="s">
        <v>127</v>
      </c>
      <c r="F578" s="4">
        <v>43809</v>
      </c>
      <c r="G578" s="5">
        <v>0.91358796296296296</v>
      </c>
      <c r="H578">
        <v>-76.689937633591001</v>
      </c>
      <c r="I578">
        <v>3.4071911170936802</v>
      </c>
      <c r="J578">
        <v>4</v>
      </c>
      <c r="M578">
        <v>3388</v>
      </c>
      <c r="N578" t="b">
        <v>1</v>
      </c>
      <c r="O578" t="b">
        <v>0</v>
      </c>
      <c r="P578">
        <v>3</v>
      </c>
      <c r="R578">
        <v>70</v>
      </c>
      <c r="T578" t="s">
        <v>201</v>
      </c>
      <c r="U578" t="s">
        <v>416</v>
      </c>
      <c r="V578" t="s">
        <v>47</v>
      </c>
      <c r="X578">
        <v>0</v>
      </c>
      <c r="AA578" t="s">
        <v>117</v>
      </c>
    </row>
    <row r="579" spans="1:43" x14ac:dyDescent="0.2">
      <c r="A579">
        <v>2019</v>
      </c>
      <c r="B579" t="s">
        <v>15</v>
      </c>
      <c r="C579" t="s">
        <v>17</v>
      </c>
      <c r="D579" t="s">
        <v>138</v>
      </c>
      <c r="E579" t="s">
        <v>135</v>
      </c>
      <c r="F579" s="4">
        <v>43809</v>
      </c>
      <c r="G579" s="5">
        <v>0.96923611111111108</v>
      </c>
      <c r="H579">
        <v>-76.690672534041894</v>
      </c>
      <c r="I579">
        <v>3.4062271663760799</v>
      </c>
      <c r="J579">
        <v>4</v>
      </c>
      <c r="K579" t="s">
        <v>112</v>
      </c>
      <c r="L579" t="s">
        <v>308</v>
      </c>
      <c r="M579">
        <v>3400</v>
      </c>
      <c r="N579" t="b">
        <v>1</v>
      </c>
      <c r="O579" t="b">
        <v>0</v>
      </c>
      <c r="P579">
        <v>2</v>
      </c>
      <c r="R579">
        <v>40</v>
      </c>
      <c r="T579" t="s">
        <v>201</v>
      </c>
      <c r="V579" t="s">
        <v>47</v>
      </c>
      <c r="X579">
        <v>0</v>
      </c>
      <c r="AA579" t="s">
        <v>452</v>
      </c>
    </row>
    <row r="580" spans="1:43" x14ac:dyDescent="0.2">
      <c r="A580">
        <v>2019</v>
      </c>
      <c r="B580" t="s">
        <v>15</v>
      </c>
      <c r="C580" t="s">
        <v>17</v>
      </c>
      <c r="D580" t="s">
        <v>142</v>
      </c>
      <c r="E580" t="s">
        <v>111</v>
      </c>
      <c r="F580" s="4">
        <v>43809</v>
      </c>
      <c r="G580" s="5">
        <v>0.87427083333333333</v>
      </c>
      <c r="H580">
        <v>-76.689044482086302</v>
      </c>
      <c r="I580">
        <v>3.4076691365822902</v>
      </c>
      <c r="J580">
        <v>4</v>
      </c>
      <c r="K580" t="s">
        <v>112</v>
      </c>
      <c r="L580" t="s">
        <v>417</v>
      </c>
      <c r="M580">
        <v>3390</v>
      </c>
      <c r="N580" t="b">
        <v>1</v>
      </c>
      <c r="O580" t="b">
        <v>0</v>
      </c>
      <c r="P580">
        <v>3</v>
      </c>
      <c r="R580">
        <v>80</v>
      </c>
      <c r="S580" t="s">
        <v>314</v>
      </c>
      <c r="T580" t="s">
        <v>201</v>
      </c>
      <c r="U580" t="s">
        <v>418</v>
      </c>
      <c r="V580" t="s">
        <v>6</v>
      </c>
      <c r="X580">
        <v>1</v>
      </c>
      <c r="AA580" t="s">
        <v>117</v>
      </c>
    </row>
    <row r="581" spans="1:43" x14ac:dyDescent="0.2">
      <c r="A581">
        <v>2019</v>
      </c>
      <c r="B581" t="s">
        <v>15</v>
      </c>
      <c r="C581" t="s">
        <v>17</v>
      </c>
      <c r="D581" t="s">
        <v>142</v>
      </c>
      <c r="E581" t="s">
        <v>111</v>
      </c>
      <c r="F581" s="4">
        <v>43809</v>
      </c>
      <c r="G581" s="5">
        <v>0.8147685185185185</v>
      </c>
      <c r="H581">
        <v>-76.688303989638996</v>
      </c>
      <c r="I581">
        <v>3.40823777256794</v>
      </c>
      <c r="J581">
        <v>4</v>
      </c>
      <c r="M581">
        <v>3398</v>
      </c>
      <c r="N581" t="b">
        <v>1</v>
      </c>
      <c r="O581" t="b">
        <v>0</v>
      </c>
      <c r="P581">
        <v>4</v>
      </c>
      <c r="R581">
        <v>40</v>
      </c>
      <c r="T581" t="s">
        <v>201</v>
      </c>
      <c r="U581" t="s">
        <v>419</v>
      </c>
      <c r="V581" t="s">
        <v>47</v>
      </c>
      <c r="X581">
        <v>0</v>
      </c>
      <c r="AA581" t="s">
        <v>117</v>
      </c>
    </row>
    <row r="582" spans="1:43" x14ac:dyDescent="0.2">
      <c r="A582">
        <v>2019</v>
      </c>
      <c r="B582" t="s">
        <v>15</v>
      </c>
      <c r="C582" t="s">
        <v>17</v>
      </c>
      <c r="D582" t="s">
        <v>143</v>
      </c>
      <c r="E582" t="s">
        <v>127</v>
      </c>
      <c r="F582" s="4">
        <v>43809</v>
      </c>
      <c r="G582" s="5">
        <v>0.93847222222222226</v>
      </c>
      <c r="H582">
        <v>-76.690490605493196</v>
      </c>
      <c r="I582">
        <v>3.40677618682296</v>
      </c>
      <c r="J582">
        <v>4</v>
      </c>
      <c r="K582" t="s">
        <v>112</v>
      </c>
      <c r="L582" t="s">
        <v>136</v>
      </c>
      <c r="M582">
        <v>3990</v>
      </c>
      <c r="N582" t="b">
        <v>1</v>
      </c>
      <c r="O582" t="b">
        <v>0</v>
      </c>
      <c r="P582">
        <v>3</v>
      </c>
      <c r="R582">
        <v>30</v>
      </c>
      <c r="S582" t="s">
        <v>314</v>
      </c>
      <c r="T582" t="s">
        <v>201</v>
      </c>
      <c r="V582" t="s">
        <v>63</v>
      </c>
      <c r="X582">
        <v>1</v>
      </c>
      <c r="AA582" t="s">
        <v>117</v>
      </c>
    </row>
    <row r="583" spans="1:43" x14ac:dyDescent="0.2">
      <c r="A583">
        <v>2019</v>
      </c>
      <c r="B583" t="s">
        <v>15</v>
      </c>
      <c r="C583" t="s">
        <v>17</v>
      </c>
      <c r="D583" t="s">
        <v>143</v>
      </c>
      <c r="E583" t="s">
        <v>127</v>
      </c>
      <c r="F583" s="4">
        <v>43809</v>
      </c>
      <c r="G583" s="5">
        <v>0.93847222222222226</v>
      </c>
      <c r="H583">
        <v>-76.690490605493196</v>
      </c>
      <c r="I583">
        <v>3.40677618682296</v>
      </c>
      <c r="J583">
        <v>4</v>
      </c>
      <c r="K583" t="s">
        <v>112</v>
      </c>
      <c r="M583">
        <v>3392</v>
      </c>
      <c r="N583" t="b">
        <v>1</v>
      </c>
      <c r="O583" t="b">
        <v>0</v>
      </c>
      <c r="P583">
        <v>2</v>
      </c>
      <c r="R583">
        <v>50</v>
      </c>
      <c r="T583" t="s">
        <v>201</v>
      </c>
      <c r="U583" t="s">
        <v>420</v>
      </c>
      <c r="V583" t="s">
        <v>47</v>
      </c>
      <c r="X583">
        <v>0</v>
      </c>
      <c r="AA583" t="s">
        <v>117</v>
      </c>
    </row>
    <row r="584" spans="1:43" x14ac:dyDescent="0.2">
      <c r="A584">
        <v>2020</v>
      </c>
      <c r="B584" t="s">
        <v>21</v>
      </c>
      <c r="C584" t="s">
        <v>67</v>
      </c>
      <c r="D584" t="s">
        <v>435</v>
      </c>
      <c r="E584" t="s">
        <v>111</v>
      </c>
      <c r="F584" s="4">
        <v>44152</v>
      </c>
      <c r="G584" s="6">
        <v>0.9710185185185185</v>
      </c>
      <c r="H584">
        <v>-76.719014999999999</v>
      </c>
      <c r="I584">
        <v>3.48482</v>
      </c>
      <c r="J584">
        <v>5</v>
      </c>
      <c r="P584">
        <f>AVERAGE(AJ584,AO584)</f>
        <v>15</v>
      </c>
      <c r="Q584">
        <f>AVERAGE(AI584,AN584)</f>
        <v>1.75</v>
      </c>
      <c r="R584">
        <f>AVERAGE(AH584,AM584)</f>
        <v>25</v>
      </c>
      <c r="V584" t="s">
        <v>47</v>
      </c>
      <c r="W584" t="s">
        <v>436</v>
      </c>
      <c r="X584">
        <v>0</v>
      </c>
      <c r="AD584" t="s">
        <v>437</v>
      </c>
      <c r="AE584" t="s">
        <v>438</v>
      </c>
      <c r="AF584">
        <v>-76.718928329999997</v>
      </c>
      <c r="AG584">
        <v>3.4849266669999999</v>
      </c>
      <c r="AH584">
        <v>20</v>
      </c>
      <c r="AI584">
        <v>1.5</v>
      </c>
      <c r="AJ584">
        <v>15</v>
      </c>
      <c r="AK584">
        <v>-76.719483330000003</v>
      </c>
      <c r="AL584">
        <v>3.4847066670000002</v>
      </c>
      <c r="AM584">
        <v>30</v>
      </c>
      <c r="AN584">
        <v>2</v>
      </c>
      <c r="AO584">
        <v>15</v>
      </c>
    </row>
    <row r="585" spans="1:43" x14ac:dyDescent="0.2">
      <c r="A585">
        <v>2020</v>
      </c>
      <c r="B585" t="s">
        <v>21</v>
      </c>
      <c r="C585" t="s">
        <v>67</v>
      </c>
      <c r="D585" t="s">
        <v>284</v>
      </c>
      <c r="E585" t="s">
        <v>157</v>
      </c>
      <c r="F585" s="4">
        <v>44152</v>
      </c>
      <c r="G585" s="6">
        <v>0.78211805555555558</v>
      </c>
      <c r="H585">
        <v>-76.71875833</v>
      </c>
      <c r="I585">
        <v>3.487151667</v>
      </c>
      <c r="J585">
        <v>5</v>
      </c>
      <c r="P585">
        <f t="shared" ref="P585:P648" si="0">AVERAGE(AJ585,AO585)</f>
        <v>4.5</v>
      </c>
      <c r="Q585">
        <f t="shared" ref="Q585:Q648" si="1">AVERAGE(AI585,AN585)</f>
        <v>0</v>
      </c>
      <c r="R585">
        <f t="shared" ref="R585:R648" si="2">AVERAGE(AH585,AM585)</f>
        <v>10</v>
      </c>
      <c r="V585" t="s">
        <v>47</v>
      </c>
      <c r="W585" t="s">
        <v>257</v>
      </c>
      <c r="X585">
        <v>0</v>
      </c>
      <c r="AD585" t="s">
        <v>439</v>
      </c>
      <c r="AE585" t="s">
        <v>440</v>
      </c>
      <c r="AF585">
        <v>-76.718926670000002</v>
      </c>
      <c r="AG585">
        <v>3.487555</v>
      </c>
      <c r="AH585">
        <v>10</v>
      </c>
      <c r="AI585">
        <v>0</v>
      </c>
      <c r="AJ585">
        <v>4</v>
      </c>
      <c r="AK585">
        <v>-76.718568329999997</v>
      </c>
      <c r="AL585">
        <v>3.4868700000000001</v>
      </c>
      <c r="AM585">
        <v>10</v>
      </c>
      <c r="AN585">
        <v>0</v>
      </c>
      <c r="AO585">
        <v>5</v>
      </c>
    </row>
    <row r="586" spans="1:43" x14ac:dyDescent="0.2">
      <c r="A586">
        <v>2020</v>
      </c>
      <c r="B586" t="s">
        <v>21</v>
      </c>
      <c r="C586" t="s">
        <v>67</v>
      </c>
      <c r="D586" t="s">
        <v>279</v>
      </c>
      <c r="E586" t="s">
        <v>127</v>
      </c>
      <c r="F586" s="4">
        <v>44152</v>
      </c>
      <c r="G586" s="6">
        <v>0.88087962962962962</v>
      </c>
      <c r="H586">
        <v>-76.717706669999998</v>
      </c>
      <c r="I586">
        <v>3.4851399999999999</v>
      </c>
      <c r="J586">
        <v>5</v>
      </c>
      <c r="K586" t="s">
        <v>112</v>
      </c>
      <c r="L586" t="s">
        <v>113</v>
      </c>
      <c r="M586">
        <v>1908</v>
      </c>
      <c r="N586" t="b">
        <v>1</v>
      </c>
      <c r="P586">
        <f t="shared" si="0"/>
        <v>12.5</v>
      </c>
      <c r="Q586">
        <f t="shared" si="1"/>
        <v>0</v>
      </c>
      <c r="R586">
        <f t="shared" si="2"/>
        <v>12.5</v>
      </c>
      <c r="S586" t="s">
        <v>442</v>
      </c>
      <c r="T586" t="s">
        <v>145</v>
      </c>
      <c r="V586" t="s">
        <v>40</v>
      </c>
      <c r="X586">
        <v>1</v>
      </c>
      <c r="AE586" t="s">
        <v>444</v>
      </c>
      <c r="AF586">
        <v>-76.717766670000003</v>
      </c>
      <c r="AG586">
        <v>3.48584</v>
      </c>
      <c r="AH586">
        <v>15</v>
      </c>
      <c r="AI586">
        <v>0</v>
      </c>
      <c r="AJ586">
        <v>10</v>
      </c>
      <c r="AK586">
        <v>-76.718310000000002</v>
      </c>
      <c r="AL586">
        <v>3.485156667</v>
      </c>
      <c r="AM586">
        <v>10</v>
      </c>
      <c r="AN586">
        <v>0</v>
      </c>
      <c r="AO586">
        <v>15</v>
      </c>
      <c r="AP586" t="s">
        <v>441</v>
      </c>
      <c r="AQ586" t="s">
        <v>443</v>
      </c>
    </row>
    <row r="587" spans="1:43" x14ac:dyDescent="0.2">
      <c r="A587">
        <v>2020</v>
      </c>
      <c r="B587" t="s">
        <v>21</v>
      </c>
      <c r="C587" t="s">
        <v>67</v>
      </c>
      <c r="D587" t="s">
        <v>279</v>
      </c>
      <c r="E587" t="s">
        <v>127</v>
      </c>
      <c r="F587" s="4">
        <v>44152</v>
      </c>
      <c r="G587" s="6">
        <v>0.86359953703703707</v>
      </c>
      <c r="H587">
        <v>-76.717898329999997</v>
      </c>
      <c r="I587">
        <v>3.4854699999999998</v>
      </c>
      <c r="J587">
        <v>5</v>
      </c>
      <c r="K587" t="s">
        <v>112</v>
      </c>
      <c r="L587" t="s">
        <v>120</v>
      </c>
      <c r="M587">
        <v>1907</v>
      </c>
      <c r="N587" t="b">
        <v>1</v>
      </c>
      <c r="P587">
        <f t="shared" si="0"/>
        <v>12.5</v>
      </c>
      <c r="Q587">
        <f t="shared" si="1"/>
        <v>0</v>
      </c>
      <c r="R587">
        <f t="shared" si="2"/>
        <v>12.5</v>
      </c>
      <c r="S587" t="s">
        <v>442</v>
      </c>
      <c r="T587" t="s">
        <v>145</v>
      </c>
      <c r="V587" t="s">
        <v>40</v>
      </c>
      <c r="X587">
        <v>1</v>
      </c>
      <c r="AE587" t="s">
        <v>444</v>
      </c>
      <c r="AF587">
        <v>-76.717766670000003</v>
      </c>
      <c r="AG587">
        <v>3.48584</v>
      </c>
      <c r="AH587">
        <v>15</v>
      </c>
      <c r="AI587">
        <v>0</v>
      </c>
      <c r="AJ587">
        <v>10</v>
      </c>
      <c r="AK587">
        <v>-76.718310000000002</v>
      </c>
      <c r="AL587">
        <v>3.485156667</v>
      </c>
      <c r="AM587">
        <v>10</v>
      </c>
      <c r="AN587">
        <v>0</v>
      </c>
      <c r="AO587">
        <v>15</v>
      </c>
      <c r="AP587" t="s">
        <v>441</v>
      </c>
      <c r="AQ587" t="s">
        <v>443</v>
      </c>
    </row>
    <row r="588" spans="1:43" x14ac:dyDescent="0.2">
      <c r="A588">
        <v>2020</v>
      </c>
      <c r="B588" t="s">
        <v>21</v>
      </c>
      <c r="C588" t="s">
        <v>67</v>
      </c>
      <c r="D588" t="s">
        <v>279</v>
      </c>
      <c r="E588" t="s">
        <v>127</v>
      </c>
      <c r="F588" s="4">
        <v>44152</v>
      </c>
      <c r="G588" s="6">
        <v>0.86359953703703707</v>
      </c>
      <c r="H588">
        <v>-76.717898329999997</v>
      </c>
      <c r="I588">
        <v>3.4854699999999998</v>
      </c>
      <c r="J588">
        <v>5</v>
      </c>
      <c r="K588" t="s">
        <v>112</v>
      </c>
      <c r="L588" t="s">
        <v>120</v>
      </c>
      <c r="M588">
        <v>1907</v>
      </c>
      <c r="N588" t="b">
        <v>1</v>
      </c>
      <c r="P588">
        <f t="shared" si="0"/>
        <v>12.5</v>
      </c>
      <c r="Q588">
        <f t="shared" si="1"/>
        <v>0</v>
      </c>
      <c r="R588">
        <f t="shared" si="2"/>
        <v>12.5</v>
      </c>
      <c r="S588" t="s">
        <v>442</v>
      </c>
      <c r="T588" t="s">
        <v>145</v>
      </c>
      <c r="V588" t="s">
        <v>40</v>
      </c>
      <c r="X588">
        <v>1</v>
      </c>
      <c r="AE588" t="s">
        <v>444</v>
      </c>
      <c r="AF588">
        <v>-76.717766670000003</v>
      </c>
      <c r="AG588">
        <v>3.48584</v>
      </c>
      <c r="AH588">
        <v>15</v>
      </c>
      <c r="AI588">
        <v>0</v>
      </c>
      <c r="AJ588">
        <v>10</v>
      </c>
      <c r="AK588">
        <v>-76.718310000000002</v>
      </c>
      <c r="AL588">
        <v>3.485156667</v>
      </c>
      <c r="AM588">
        <v>10</v>
      </c>
      <c r="AN588">
        <v>0</v>
      </c>
      <c r="AO588">
        <v>15</v>
      </c>
      <c r="AP588" t="s">
        <v>441</v>
      </c>
      <c r="AQ588" t="s">
        <v>443</v>
      </c>
    </row>
    <row r="589" spans="1:43" x14ac:dyDescent="0.2">
      <c r="A589">
        <v>2020</v>
      </c>
      <c r="B589" t="s">
        <v>21</v>
      </c>
      <c r="C589" t="s">
        <v>67</v>
      </c>
      <c r="D589" t="s">
        <v>279</v>
      </c>
      <c r="E589" t="s">
        <v>127</v>
      </c>
      <c r="F589" s="4">
        <v>44152</v>
      </c>
      <c r="G589" s="6">
        <v>0.84866898148148151</v>
      </c>
      <c r="H589">
        <v>-76.717843329999994</v>
      </c>
      <c r="I589">
        <v>3.4855700000000001</v>
      </c>
      <c r="J589">
        <v>5</v>
      </c>
      <c r="K589" t="s">
        <v>112</v>
      </c>
      <c r="L589" t="s">
        <v>120</v>
      </c>
      <c r="M589">
        <v>1917</v>
      </c>
      <c r="N589" t="b">
        <v>1</v>
      </c>
      <c r="P589">
        <f t="shared" si="0"/>
        <v>12.5</v>
      </c>
      <c r="Q589">
        <f t="shared" si="1"/>
        <v>0</v>
      </c>
      <c r="R589">
        <f t="shared" si="2"/>
        <v>12.5</v>
      </c>
      <c r="S589" t="s">
        <v>442</v>
      </c>
      <c r="T589" t="s">
        <v>145</v>
      </c>
      <c r="V589" t="s">
        <v>68</v>
      </c>
      <c r="X589">
        <v>1</v>
      </c>
      <c r="AE589" t="s">
        <v>444</v>
      </c>
      <c r="AF589">
        <v>-76.717766670000003</v>
      </c>
      <c r="AG589">
        <v>3.48584</v>
      </c>
      <c r="AH589">
        <v>15</v>
      </c>
      <c r="AI589">
        <v>0</v>
      </c>
      <c r="AJ589">
        <v>10</v>
      </c>
      <c r="AK589">
        <v>-76.718310000000002</v>
      </c>
      <c r="AL589">
        <v>3.485156667</v>
      </c>
      <c r="AM589">
        <v>10</v>
      </c>
      <c r="AN589">
        <v>0</v>
      </c>
      <c r="AO589">
        <v>15</v>
      </c>
      <c r="AP589" t="s">
        <v>441</v>
      </c>
      <c r="AQ589" t="s">
        <v>443</v>
      </c>
    </row>
    <row r="590" spans="1:43" x14ac:dyDescent="0.2">
      <c r="A590">
        <v>2020</v>
      </c>
      <c r="B590" t="s">
        <v>21</v>
      </c>
      <c r="C590" t="s">
        <v>67</v>
      </c>
      <c r="D590" t="s">
        <v>278</v>
      </c>
      <c r="E590" t="s">
        <v>122</v>
      </c>
      <c r="F590" s="4">
        <v>44152</v>
      </c>
      <c r="G590" s="6">
        <v>0.95584490740740746</v>
      </c>
      <c r="H590">
        <v>-76.718909999999994</v>
      </c>
      <c r="I590">
        <v>3.4851549999999998</v>
      </c>
      <c r="J590">
        <v>5</v>
      </c>
      <c r="K590" t="s">
        <v>112</v>
      </c>
      <c r="L590" t="s">
        <v>120</v>
      </c>
      <c r="M590">
        <v>1910</v>
      </c>
      <c r="N590" t="b">
        <v>0</v>
      </c>
      <c r="O590" t="b">
        <v>1</v>
      </c>
      <c r="P590">
        <f t="shared" si="0"/>
        <v>16.5</v>
      </c>
      <c r="Q590">
        <f t="shared" si="1"/>
        <v>1.25</v>
      </c>
      <c r="R590">
        <f t="shared" si="2"/>
        <v>20</v>
      </c>
      <c r="S590" t="s">
        <v>442</v>
      </c>
      <c r="T590" t="s">
        <v>447</v>
      </c>
      <c r="V590" t="s">
        <v>9</v>
      </c>
      <c r="X590">
        <v>1</v>
      </c>
      <c r="AE590" t="s">
        <v>438</v>
      </c>
      <c r="AF590">
        <v>-76.718393329999998</v>
      </c>
      <c r="AG590">
        <v>3.4851383330000001</v>
      </c>
      <c r="AH590">
        <v>10</v>
      </c>
      <c r="AI590">
        <v>1</v>
      </c>
      <c r="AJ590">
        <v>15</v>
      </c>
      <c r="AK590">
        <v>-76.718951669999996</v>
      </c>
      <c r="AL590">
        <v>3.4850316669999999</v>
      </c>
      <c r="AM590">
        <v>30</v>
      </c>
      <c r="AN590">
        <v>1.5</v>
      </c>
      <c r="AO590">
        <v>18</v>
      </c>
      <c r="AP590" t="s">
        <v>441</v>
      </c>
      <c r="AQ590" t="s">
        <v>443</v>
      </c>
    </row>
    <row r="591" spans="1:43" x14ac:dyDescent="0.2">
      <c r="A591">
        <v>2020</v>
      </c>
      <c r="B591" t="s">
        <v>21</v>
      </c>
      <c r="C591" t="s">
        <v>67</v>
      </c>
      <c r="D591" t="s">
        <v>278</v>
      </c>
      <c r="E591" t="s">
        <v>122</v>
      </c>
      <c r="F591" s="4">
        <v>44152</v>
      </c>
      <c r="G591" s="6">
        <v>0.91693287037037041</v>
      </c>
      <c r="H591">
        <v>-76.718656670000001</v>
      </c>
      <c r="I591">
        <v>3.4850883330000002</v>
      </c>
      <c r="J591">
        <v>5</v>
      </c>
      <c r="K591" t="s">
        <v>112</v>
      </c>
      <c r="L591" t="s">
        <v>113</v>
      </c>
      <c r="M591">
        <v>1910</v>
      </c>
      <c r="N591" t="b">
        <v>0</v>
      </c>
      <c r="O591" t="b">
        <v>1</v>
      </c>
      <c r="P591">
        <f t="shared" si="0"/>
        <v>16.5</v>
      </c>
      <c r="Q591">
        <f t="shared" si="1"/>
        <v>1.25</v>
      </c>
      <c r="R591">
        <f t="shared" si="2"/>
        <v>20</v>
      </c>
      <c r="S591" t="s">
        <v>442</v>
      </c>
      <c r="T591" t="s">
        <v>447</v>
      </c>
      <c r="V591" t="s">
        <v>3</v>
      </c>
      <c r="W591" t="s">
        <v>436</v>
      </c>
      <c r="X591">
        <v>3</v>
      </c>
      <c r="AD591" t="s">
        <v>449</v>
      </c>
      <c r="AE591" t="s">
        <v>438</v>
      </c>
      <c r="AF591">
        <v>-76.718393329999998</v>
      </c>
      <c r="AG591">
        <v>3.4851383330000001</v>
      </c>
      <c r="AH591">
        <v>10</v>
      </c>
      <c r="AI591">
        <v>1</v>
      </c>
      <c r="AJ591">
        <v>15</v>
      </c>
      <c r="AK591">
        <v>-76.718951669999996</v>
      </c>
      <c r="AL591">
        <v>3.4850316669999999</v>
      </c>
      <c r="AM591">
        <v>30</v>
      </c>
      <c r="AN591">
        <v>1.5</v>
      </c>
      <c r="AO591">
        <v>18</v>
      </c>
      <c r="AP591" t="s">
        <v>448</v>
      </c>
      <c r="AQ591" t="s">
        <v>244</v>
      </c>
    </row>
    <row r="592" spans="1:43" x14ac:dyDescent="0.2">
      <c r="A592">
        <v>2020</v>
      </c>
      <c r="B592" t="s">
        <v>21</v>
      </c>
      <c r="C592" t="s">
        <v>67</v>
      </c>
      <c r="D592" t="s">
        <v>278</v>
      </c>
      <c r="E592" t="s">
        <v>122</v>
      </c>
      <c r="F592" s="4">
        <v>44152</v>
      </c>
      <c r="G592" s="6">
        <v>0.95730324074074069</v>
      </c>
      <c r="H592">
        <v>-76.718951669999996</v>
      </c>
      <c r="I592">
        <v>3.4850316669999999</v>
      </c>
      <c r="J592">
        <v>5</v>
      </c>
      <c r="K592" t="s">
        <v>112</v>
      </c>
      <c r="L592" t="s">
        <v>120</v>
      </c>
      <c r="M592">
        <v>1907</v>
      </c>
      <c r="N592" t="b">
        <v>0</v>
      </c>
      <c r="O592" t="b">
        <v>1</v>
      </c>
      <c r="P592">
        <f t="shared" si="0"/>
        <v>16.5</v>
      </c>
      <c r="Q592">
        <f t="shared" si="1"/>
        <v>1.25</v>
      </c>
      <c r="R592">
        <f t="shared" si="2"/>
        <v>20</v>
      </c>
      <c r="S592" t="s">
        <v>442</v>
      </c>
      <c r="T592" t="s">
        <v>447</v>
      </c>
      <c r="V592" t="s">
        <v>9</v>
      </c>
      <c r="X592">
        <v>1</v>
      </c>
      <c r="AE592" t="s">
        <v>438</v>
      </c>
      <c r="AF592">
        <v>-76.718393329999998</v>
      </c>
      <c r="AG592">
        <v>3.4851383330000001</v>
      </c>
      <c r="AH592">
        <v>10</v>
      </c>
      <c r="AI592">
        <v>1</v>
      </c>
      <c r="AJ592">
        <v>15</v>
      </c>
      <c r="AK592">
        <v>-76.718951669999996</v>
      </c>
      <c r="AL592">
        <v>3.4850316669999999</v>
      </c>
      <c r="AM592">
        <v>30</v>
      </c>
      <c r="AN592">
        <v>1.5</v>
      </c>
      <c r="AO592">
        <v>18</v>
      </c>
      <c r="AP592" t="s">
        <v>450</v>
      </c>
      <c r="AQ592" t="s">
        <v>443</v>
      </c>
    </row>
    <row r="593" spans="1:43" x14ac:dyDescent="0.2">
      <c r="A593">
        <v>2020</v>
      </c>
      <c r="B593" t="s">
        <v>21</v>
      </c>
      <c r="C593" t="s">
        <v>67</v>
      </c>
      <c r="D593" t="s">
        <v>288</v>
      </c>
      <c r="E593" t="s">
        <v>135</v>
      </c>
      <c r="F593" s="4">
        <v>44152</v>
      </c>
      <c r="G593" s="6">
        <v>0.80355324074074075</v>
      </c>
      <c r="H593">
        <v>-76.718306670000004</v>
      </c>
      <c r="I593">
        <v>3.4861216669999999</v>
      </c>
      <c r="J593">
        <v>5</v>
      </c>
      <c r="K593" t="s">
        <v>112</v>
      </c>
      <c r="L593" t="s">
        <v>120</v>
      </c>
      <c r="M593">
        <v>1907</v>
      </c>
      <c r="N593" t="b">
        <v>1</v>
      </c>
      <c r="P593">
        <f t="shared" si="0"/>
        <v>3.5</v>
      </c>
      <c r="Q593">
        <f t="shared" si="1"/>
        <v>0</v>
      </c>
      <c r="R593">
        <f t="shared" si="2"/>
        <v>12.5</v>
      </c>
      <c r="S593" t="s">
        <v>442</v>
      </c>
      <c r="T593" t="s">
        <v>201</v>
      </c>
      <c r="V593" t="s">
        <v>61</v>
      </c>
      <c r="W593" t="s">
        <v>257</v>
      </c>
      <c r="X593">
        <v>1</v>
      </c>
      <c r="AD593" t="s">
        <v>451</v>
      </c>
      <c r="AE593" t="s">
        <v>444</v>
      </c>
      <c r="AF593">
        <v>-76.718294999999998</v>
      </c>
      <c r="AG593">
        <v>3.4862166669999999</v>
      </c>
      <c r="AH593">
        <v>10</v>
      </c>
      <c r="AI593">
        <v>0</v>
      </c>
      <c r="AJ593">
        <v>4</v>
      </c>
      <c r="AK593">
        <v>-76.717624999999998</v>
      </c>
      <c r="AL593">
        <v>3.4859633329999999</v>
      </c>
      <c r="AM593">
        <v>15</v>
      </c>
      <c r="AN593">
        <v>0</v>
      </c>
      <c r="AO593">
        <v>3</v>
      </c>
      <c r="AP593" t="s">
        <v>441</v>
      </c>
      <c r="AQ593" t="s">
        <v>443</v>
      </c>
    </row>
    <row r="594" spans="1:43" x14ac:dyDescent="0.2">
      <c r="A594">
        <v>2020</v>
      </c>
      <c r="B594" t="s">
        <v>10</v>
      </c>
      <c r="C594" t="s">
        <v>14</v>
      </c>
      <c r="D594" t="s">
        <v>180</v>
      </c>
      <c r="E594" t="s">
        <v>122</v>
      </c>
      <c r="F594" s="4">
        <v>44133</v>
      </c>
      <c r="G594" s="6">
        <v>0.8863078703703704</v>
      </c>
      <c r="H594">
        <v>-76.647046669999995</v>
      </c>
      <c r="I594">
        <v>3.349135</v>
      </c>
      <c r="J594">
        <v>5</v>
      </c>
      <c r="K594" t="s">
        <v>119</v>
      </c>
      <c r="L594" t="s">
        <v>113</v>
      </c>
      <c r="M594">
        <v>2391</v>
      </c>
      <c r="N594" t="b">
        <v>0</v>
      </c>
      <c r="O594" t="b">
        <v>1</v>
      </c>
      <c r="P594">
        <f t="shared" si="0"/>
        <v>9</v>
      </c>
      <c r="Q594">
        <f t="shared" si="1"/>
        <v>1</v>
      </c>
      <c r="R594">
        <f t="shared" si="2"/>
        <v>20</v>
      </c>
      <c r="S594" t="s">
        <v>442</v>
      </c>
      <c r="T594" t="s">
        <v>447</v>
      </c>
      <c r="V594" t="s">
        <v>40</v>
      </c>
      <c r="W594" t="s">
        <v>452</v>
      </c>
      <c r="X594">
        <v>1</v>
      </c>
      <c r="AD594" t="s">
        <v>453</v>
      </c>
      <c r="AE594" t="s">
        <v>454</v>
      </c>
      <c r="AF594">
        <v>-76.647218330000001</v>
      </c>
      <c r="AG594">
        <v>3.3498616669999999</v>
      </c>
      <c r="AH594">
        <v>30</v>
      </c>
      <c r="AI594">
        <v>0</v>
      </c>
      <c r="AJ594">
        <v>10</v>
      </c>
      <c r="AK594">
        <v>-76.647014999999996</v>
      </c>
      <c r="AL594">
        <v>3.3490500000000001</v>
      </c>
      <c r="AM594">
        <v>10</v>
      </c>
      <c r="AN594">
        <v>2</v>
      </c>
      <c r="AO594">
        <v>8</v>
      </c>
      <c r="AP594" t="s">
        <v>441</v>
      </c>
      <c r="AQ594" t="s">
        <v>443</v>
      </c>
    </row>
    <row r="595" spans="1:43" x14ac:dyDescent="0.2">
      <c r="A595">
        <v>2020</v>
      </c>
      <c r="B595" t="s">
        <v>10</v>
      </c>
      <c r="C595" t="s">
        <v>14</v>
      </c>
      <c r="D595" t="s">
        <v>226</v>
      </c>
      <c r="E595" t="s">
        <v>111</v>
      </c>
      <c r="F595" s="4">
        <v>44133</v>
      </c>
      <c r="G595" s="6">
        <v>0.90164351851851854</v>
      </c>
      <c r="H595">
        <v>-76.647094999999993</v>
      </c>
      <c r="I595">
        <v>3.348468333</v>
      </c>
      <c r="J595">
        <v>5</v>
      </c>
      <c r="K595" t="s">
        <v>119</v>
      </c>
      <c r="L595" t="s">
        <v>455</v>
      </c>
      <c r="M595">
        <v>2382</v>
      </c>
      <c r="N595" t="b">
        <v>0</v>
      </c>
      <c r="O595" t="b">
        <v>1</v>
      </c>
      <c r="P595">
        <f t="shared" si="0"/>
        <v>8</v>
      </c>
      <c r="Q595">
        <f t="shared" si="1"/>
        <v>0.75</v>
      </c>
      <c r="R595">
        <f t="shared" si="2"/>
        <v>10</v>
      </c>
      <c r="S595" t="s">
        <v>442</v>
      </c>
      <c r="T595" t="s">
        <v>447</v>
      </c>
      <c r="V595" t="s">
        <v>40</v>
      </c>
      <c r="X595">
        <v>1</v>
      </c>
      <c r="AE595" t="s">
        <v>456</v>
      </c>
      <c r="AF595">
        <v>-76.647040000000004</v>
      </c>
      <c r="AG595">
        <v>3.3489616670000002</v>
      </c>
      <c r="AH595">
        <v>10</v>
      </c>
      <c r="AI595">
        <v>0.5</v>
      </c>
      <c r="AJ595">
        <v>8</v>
      </c>
      <c r="AK595">
        <v>-76.647311669999993</v>
      </c>
      <c r="AL595">
        <v>3.348233333</v>
      </c>
      <c r="AM595">
        <v>10</v>
      </c>
      <c r="AN595">
        <v>1</v>
      </c>
      <c r="AO595">
        <v>8</v>
      </c>
      <c r="AP595" t="s">
        <v>441</v>
      </c>
      <c r="AQ595" t="s">
        <v>443</v>
      </c>
    </row>
    <row r="596" spans="1:43" x14ac:dyDescent="0.2">
      <c r="A596">
        <v>2020</v>
      </c>
      <c r="B596" t="s">
        <v>21</v>
      </c>
      <c r="C596" t="s">
        <v>22</v>
      </c>
      <c r="D596" t="s">
        <v>217</v>
      </c>
      <c r="E596" t="s">
        <v>122</v>
      </c>
      <c r="F596" s="4">
        <v>44153</v>
      </c>
      <c r="G596" s="6">
        <v>0.85502314814814817</v>
      </c>
      <c r="H596">
        <v>-76.722409999999996</v>
      </c>
      <c r="I596">
        <v>3.4773133330000001</v>
      </c>
      <c r="J596">
        <v>5</v>
      </c>
      <c r="K596" t="s">
        <v>119</v>
      </c>
      <c r="L596" t="s">
        <v>457</v>
      </c>
      <c r="M596">
        <v>2114</v>
      </c>
      <c r="N596" t="b">
        <v>1</v>
      </c>
      <c r="P596">
        <f t="shared" si="0"/>
        <v>25</v>
      </c>
      <c r="Q596">
        <f t="shared" si="1"/>
        <v>0</v>
      </c>
      <c r="R596">
        <f t="shared" si="2"/>
        <v>30</v>
      </c>
      <c r="S596" t="s">
        <v>458</v>
      </c>
      <c r="T596" t="s">
        <v>258</v>
      </c>
      <c r="V596" t="s">
        <v>41</v>
      </c>
      <c r="X596">
        <v>2</v>
      </c>
      <c r="AE596" t="s">
        <v>459</v>
      </c>
      <c r="AF596">
        <v>-76.722373329999996</v>
      </c>
      <c r="AG596">
        <v>3.4772150000000002</v>
      </c>
      <c r="AH596">
        <v>25</v>
      </c>
      <c r="AI596">
        <v>0</v>
      </c>
      <c r="AJ596">
        <v>25</v>
      </c>
      <c r="AK596">
        <v>-76.722745000000003</v>
      </c>
      <c r="AL596">
        <v>3.4778183330000001</v>
      </c>
      <c r="AM596">
        <v>35</v>
      </c>
      <c r="AN596">
        <v>0</v>
      </c>
      <c r="AO596">
        <v>25</v>
      </c>
      <c r="AP596" t="s">
        <v>441</v>
      </c>
      <c r="AQ596" t="s">
        <v>244</v>
      </c>
    </row>
    <row r="597" spans="1:43" x14ac:dyDescent="0.2">
      <c r="A597">
        <v>2020</v>
      </c>
      <c r="B597" t="s">
        <v>21</v>
      </c>
      <c r="C597" t="s">
        <v>22</v>
      </c>
      <c r="D597" t="s">
        <v>217</v>
      </c>
      <c r="E597" t="s">
        <v>122</v>
      </c>
      <c r="F597" s="4">
        <v>44153</v>
      </c>
      <c r="G597" s="6">
        <v>0.88402777777777775</v>
      </c>
      <c r="H597">
        <v>-76.722520000000003</v>
      </c>
      <c r="I597">
        <v>3.4776133329999999</v>
      </c>
      <c r="J597">
        <v>5</v>
      </c>
      <c r="K597" t="s">
        <v>112</v>
      </c>
      <c r="L597" t="s">
        <v>120</v>
      </c>
      <c r="M597">
        <v>2120</v>
      </c>
      <c r="N597" t="b">
        <v>1</v>
      </c>
      <c r="P597">
        <f t="shared" si="0"/>
        <v>25</v>
      </c>
      <c r="Q597">
        <f t="shared" si="1"/>
        <v>0</v>
      </c>
      <c r="R597">
        <f t="shared" si="2"/>
        <v>30</v>
      </c>
      <c r="S597" t="s">
        <v>442</v>
      </c>
      <c r="T597" t="s">
        <v>258</v>
      </c>
      <c r="V597" t="s">
        <v>8</v>
      </c>
      <c r="X597">
        <v>1</v>
      </c>
      <c r="AE597" t="s">
        <v>459</v>
      </c>
      <c r="AF597">
        <v>-76.722373329999996</v>
      </c>
      <c r="AG597">
        <v>3.4772150000000002</v>
      </c>
      <c r="AH597">
        <v>25</v>
      </c>
      <c r="AI597">
        <v>0</v>
      </c>
      <c r="AJ597">
        <v>25</v>
      </c>
      <c r="AK597">
        <v>-76.722745000000003</v>
      </c>
      <c r="AL597">
        <v>3.4778183330000001</v>
      </c>
      <c r="AM597">
        <v>35</v>
      </c>
      <c r="AN597">
        <v>0</v>
      </c>
      <c r="AO597">
        <v>25</v>
      </c>
      <c r="AP597" t="s">
        <v>441</v>
      </c>
      <c r="AQ597" t="s">
        <v>443</v>
      </c>
    </row>
    <row r="598" spans="1:43" x14ac:dyDescent="0.2">
      <c r="A598">
        <v>2020</v>
      </c>
      <c r="B598" t="s">
        <v>21</v>
      </c>
      <c r="C598" t="s">
        <v>22</v>
      </c>
      <c r="D598" t="s">
        <v>217</v>
      </c>
      <c r="E598" t="s">
        <v>122</v>
      </c>
      <c r="F598" s="4">
        <v>44153</v>
      </c>
      <c r="G598" s="6">
        <v>0.89178240740740744</v>
      </c>
      <c r="H598">
        <v>-76.722745000000003</v>
      </c>
      <c r="I598">
        <v>3.4778183330000001</v>
      </c>
      <c r="J598">
        <v>5</v>
      </c>
      <c r="K598" t="s">
        <v>119</v>
      </c>
      <c r="L598" t="s">
        <v>120</v>
      </c>
      <c r="M598">
        <v>2104</v>
      </c>
      <c r="N598" t="b">
        <v>1</v>
      </c>
      <c r="P598">
        <f t="shared" si="0"/>
        <v>25</v>
      </c>
      <c r="Q598">
        <f t="shared" si="1"/>
        <v>0</v>
      </c>
      <c r="R598">
        <f t="shared" si="2"/>
        <v>30</v>
      </c>
      <c r="S598" t="s">
        <v>318</v>
      </c>
      <c r="T598" t="s">
        <v>258</v>
      </c>
      <c r="V598" t="s">
        <v>4</v>
      </c>
      <c r="X598">
        <v>2</v>
      </c>
      <c r="AE598" t="s">
        <v>459</v>
      </c>
      <c r="AF598">
        <v>-76.722373329999996</v>
      </c>
      <c r="AG598">
        <v>3.4772150000000002</v>
      </c>
      <c r="AH598">
        <v>25</v>
      </c>
      <c r="AI598">
        <v>0</v>
      </c>
      <c r="AJ598">
        <v>25</v>
      </c>
      <c r="AK598">
        <v>-76.722745000000003</v>
      </c>
      <c r="AL598">
        <v>3.4778183330000001</v>
      </c>
      <c r="AM598">
        <v>35</v>
      </c>
      <c r="AN598">
        <v>0</v>
      </c>
      <c r="AO598">
        <v>25</v>
      </c>
      <c r="AP598" t="s">
        <v>450</v>
      </c>
      <c r="AQ598" t="s">
        <v>443</v>
      </c>
    </row>
    <row r="599" spans="1:43" x14ac:dyDescent="0.2">
      <c r="A599">
        <v>2020</v>
      </c>
      <c r="B599" t="s">
        <v>21</v>
      </c>
      <c r="C599" t="s">
        <v>22</v>
      </c>
      <c r="D599" t="s">
        <v>217</v>
      </c>
      <c r="E599" t="s">
        <v>122</v>
      </c>
      <c r="F599" s="4">
        <v>44153</v>
      </c>
      <c r="G599" s="6">
        <v>0.89178240740740744</v>
      </c>
      <c r="H599">
        <v>-76.722745000000003</v>
      </c>
      <c r="I599">
        <v>3.4778183330000001</v>
      </c>
      <c r="J599">
        <v>5</v>
      </c>
      <c r="K599" t="s">
        <v>119</v>
      </c>
      <c r="L599" t="s">
        <v>457</v>
      </c>
      <c r="M599">
        <v>2104</v>
      </c>
      <c r="N599" t="b">
        <v>1</v>
      </c>
      <c r="P599">
        <f t="shared" si="0"/>
        <v>25</v>
      </c>
      <c r="Q599">
        <f t="shared" si="1"/>
        <v>0</v>
      </c>
      <c r="R599">
        <f t="shared" si="2"/>
        <v>30</v>
      </c>
      <c r="S599" t="s">
        <v>442</v>
      </c>
      <c r="T599" t="s">
        <v>258</v>
      </c>
      <c r="V599" t="s">
        <v>8</v>
      </c>
      <c r="X599">
        <v>1</v>
      </c>
      <c r="AE599" t="s">
        <v>459</v>
      </c>
      <c r="AF599">
        <v>-76.722373329999996</v>
      </c>
      <c r="AG599">
        <v>3.4772150000000002</v>
      </c>
      <c r="AH599">
        <v>25</v>
      </c>
      <c r="AI599">
        <v>0</v>
      </c>
      <c r="AJ599">
        <v>25</v>
      </c>
      <c r="AK599">
        <v>-76.722745000000003</v>
      </c>
      <c r="AL599">
        <v>3.4778183330000001</v>
      </c>
      <c r="AM599">
        <v>35</v>
      </c>
      <c r="AN599">
        <v>0</v>
      </c>
      <c r="AO599">
        <v>25</v>
      </c>
      <c r="AP599" t="s">
        <v>441</v>
      </c>
      <c r="AQ599" t="s">
        <v>443</v>
      </c>
    </row>
    <row r="600" spans="1:43" x14ac:dyDescent="0.2">
      <c r="A600">
        <v>2020</v>
      </c>
      <c r="B600" t="s">
        <v>21</v>
      </c>
      <c r="C600" t="s">
        <v>22</v>
      </c>
      <c r="D600" t="s">
        <v>217</v>
      </c>
      <c r="E600" t="s">
        <v>122</v>
      </c>
      <c r="F600" s="4">
        <v>44153</v>
      </c>
      <c r="G600" s="6">
        <v>0.88849537037037041</v>
      </c>
      <c r="H600">
        <v>-76.722695000000002</v>
      </c>
      <c r="I600">
        <v>3.4777499999999999</v>
      </c>
      <c r="J600">
        <v>5</v>
      </c>
      <c r="K600" t="s">
        <v>119</v>
      </c>
      <c r="L600" t="s">
        <v>113</v>
      </c>
      <c r="M600">
        <v>2114</v>
      </c>
      <c r="N600" t="b">
        <v>1</v>
      </c>
      <c r="P600">
        <f t="shared" si="0"/>
        <v>25</v>
      </c>
      <c r="Q600">
        <f t="shared" si="1"/>
        <v>0</v>
      </c>
      <c r="R600">
        <f t="shared" si="2"/>
        <v>30</v>
      </c>
      <c r="S600" t="s">
        <v>442</v>
      </c>
      <c r="T600" t="s">
        <v>258</v>
      </c>
      <c r="V600" t="s">
        <v>8</v>
      </c>
      <c r="X600">
        <v>1</v>
      </c>
      <c r="AE600" t="s">
        <v>459</v>
      </c>
      <c r="AF600">
        <v>-76.722373329999996</v>
      </c>
      <c r="AG600">
        <v>3.4772150000000002</v>
      </c>
      <c r="AH600">
        <v>25</v>
      </c>
      <c r="AI600">
        <v>0</v>
      </c>
      <c r="AJ600">
        <v>25</v>
      </c>
      <c r="AK600">
        <v>-76.722745000000003</v>
      </c>
      <c r="AL600">
        <v>3.4778183330000001</v>
      </c>
      <c r="AM600">
        <v>35</v>
      </c>
      <c r="AN600">
        <v>0</v>
      </c>
      <c r="AO600">
        <v>25</v>
      </c>
      <c r="AP600" t="s">
        <v>441</v>
      </c>
      <c r="AQ600" t="s">
        <v>443</v>
      </c>
    </row>
    <row r="601" spans="1:43" x14ac:dyDescent="0.2">
      <c r="A601">
        <v>2020</v>
      </c>
      <c r="B601" t="s">
        <v>21</v>
      </c>
      <c r="C601" t="s">
        <v>22</v>
      </c>
      <c r="D601" t="s">
        <v>217</v>
      </c>
      <c r="E601" t="s">
        <v>122</v>
      </c>
      <c r="F601" s="4">
        <v>44153</v>
      </c>
      <c r="G601" s="6">
        <v>0.85846064814814815</v>
      </c>
      <c r="H601">
        <v>-76.722458329999995</v>
      </c>
      <c r="I601">
        <v>3.4772733329999999</v>
      </c>
      <c r="J601">
        <v>5</v>
      </c>
      <c r="K601" t="s">
        <v>119</v>
      </c>
      <c r="L601" t="s">
        <v>457</v>
      </c>
      <c r="M601">
        <v>2104</v>
      </c>
      <c r="N601" t="b">
        <v>1</v>
      </c>
      <c r="P601">
        <f t="shared" si="0"/>
        <v>25</v>
      </c>
      <c r="Q601">
        <f t="shared" si="1"/>
        <v>0</v>
      </c>
      <c r="R601">
        <f t="shared" si="2"/>
        <v>30</v>
      </c>
      <c r="S601" t="s">
        <v>442</v>
      </c>
      <c r="T601" t="s">
        <v>258</v>
      </c>
      <c r="V601" t="s">
        <v>2</v>
      </c>
      <c r="X601">
        <v>1</v>
      </c>
      <c r="AE601" t="s">
        <v>459</v>
      </c>
      <c r="AF601">
        <v>-76.722373329999996</v>
      </c>
      <c r="AG601">
        <v>3.4772150000000002</v>
      </c>
      <c r="AH601">
        <v>25</v>
      </c>
      <c r="AI601">
        <v>0</v>
      </c>
      <c r="AJ601">
        <v>25</v>
      </c>
      <c r="AK601">
        <v>-76.722745000000003</v>
      </c>
      <c r="AL601">
        <v>3.4778183330000001</v>
      </c>
      <c r="AM601">
        <v>35</v>
      </c>
      <c r="AN601">
        <v>0</v>
      </c>
      <c r="AO601">
        <v>25</v>
      </c>
      <c r="AP601" t="s">
        <v>441</v>
      </c>
      <c r="AQ601" t="s">
        <v>443</v>
      </c>
    </row>
    <row r="602" spans="1:43" x14ac:dyDescent="0.2">
      <c r="A602">
        <v>2020</v>
      </c>
      <c r="B602" t="s">
        <v>21</v>
      </c>
      <c r="C602" t="s">
        <v>22</v>
      </c>
      <c r="D602" t="s">
        <v>217</v>
      </c>
      <c r="E602" t="s">
        <v>122</v>
      </c>
      <c r="F602" s="4">
        <v>44153</v>
      </c>
      <c r="G602" s="6">
        <v>0.85846064814814815</v>
      </c>
      <c r="H602">
        <v>-76.722458329999995</v>
      </c>
      <c r="I602">
        <v>3.4772733329999999</v>
      </c>
      <c r="J602">
        <v>5</v>
      </c>
      <c r="K602" t="s">
        <v>119</v>
      </c>
      <c r="L602" t="s">
        <v>457</v>
      </c>
      <c r="M602">
        <v>2104</v>
      </c>
      <c r="N602" t="b">
        <v>1</v>
      </c>
      <c r="P602">
        <f t="shared" si="0"/>
        <v>25</v>
      </c>
      <c r="Q602">
        <f t="shared" si="1"/>
        <v>0</v>
      </c>
      <c r="R602">
        <f t="shared" si="2"/>
        <v>30</v>
      </c>
      <c r="S602" t="s">
        <v>442</v>
      </c>
      <c r="T602" t="s">
        <v>258</v>
      </c>
      <c r="V602" t="s">
        <v>8</v>
      </c>
      <c r="X602">
        <v>1</v>
      </c>
      <c r="AE602" t="s">
        <v>459</v>
      </c>
      <c r="AF602">
        <v>-76.722373329999996</v>
      </c>
      <c r="AG602">
        <v>3.4772150000000002</v>
      </c>
      <c r="AH602">
        <v>25</v>
      </c>
      <c r="AI602">
        <v>0</v>
      </c>
      <c r="AJ602">
        <v>25</v>
      </c>
      <c r="AK602">
        <v>-76.722745000000003</v>
      </c>
      <c r="AL602">
        <v>3.4778183330000001</v>
      </c>
      <c r="AM602">
        <v>35</v>
      </c>
      <c r="AN602">
        <v>0</v>
      </c>
      <c r="AO602">
        <v>25</v>
      </c>
      <c r="AP602" t="s">
        <v>441</v>
      </c>
      <c r="AQ602" t="s">
        <v>443</v>
      </c>
    </row>
    <row r="603" spans="1:43" x14ac:dyDescent="0.2">
      <c r="A603">
        <v>2020</v>
      </c>
      <c r="B603" t="s">
        <v>21</v>
      </c>
      <c r="C603" t="s">
        <v>22</v>
      </c>
      <c r="D603" t="s">
        <v>217</v>
      </c>
      <c r="E603" t="s">
        <v>122</v>
      </c>
      <c r="F603" s="4">
        <v>44153</v>
      </c>
      <c r="G603" s="6">
        <v>0.86238425925925921</v>
      </c>
      <c r="H603">
        <v>-76.722386670000006</v>
      </c>
      <c r="I603">
        <v>3.477328333</v>
      </c>
      <c r="J603">
        <v>5</v>
      </c>
      <c r="K603" t="s">
        <v>112</v>
      </c>
      <c r="L603" t="s">
        <v>113</v>
      </c>
      <c r="M603">
        <v>2104</v>
      </c>
      <c r="N603" t="b">
        <v>1</v>
      </c>
      <c r="P603">
        <f t="shared" si="0"/>
        <v>25</v>
      </c>
      <c r="Q603">
        <f t="shared" si="1"/>
        <v>0</v>
      </c>
      <c r="R603">
        <f t="shared" si="2"/>
        <v>30</v>
      </c>
      <c r="S603" t="s">
        <v>442</v>
      </c>
      <c r="T603" t="s">
        <v>258</v>
      </c>
      <c r="V603" t="s">
        <v>8</v>
      </c>
      <c r="X603">
        <v>1</v>
      </c>
      <c r="AE603" t="s">
        <v>459</v>
      </c>
      <c r="AF603">
        <v>-76.722373329999996</v>
      </c>
      <c r="AG603">
        <v>3.4772150000000002</v>
      </c>
      <c r="AH603">
        <v>25</v>
      </c>
      <c r="AI603">
        <v>0</v>
      </c>
      <c r="AJ603">
        <v>25</v>
      </c>
      <c r="AK603">
        <v>-76.722745000000003</v>
      </c>
      <c r="AL603">
        <v>3.4778183330000001</v>
      </c>
      <c r="AM603">
        <v>35</v>
      </c>
      <c r="AN603">
        <v>0</v>
      </c>
      <c r="AO603">
        <v>25</v>
      </c>
      <c r="AP603" t="s">
        <v>441</v>
      </c>
      <c r="AQ603" t="s">
        <v>443</v>
      </c>
    </row>
    <row r="604" spans="1:43" x14ac:dyDescent="0.2">
      <c r="A604">
        <v>2020</v>
      </c>
      <c r="B604" t="s">
        <v>21</v>
      </c>
      <c r="C604" t="s">
        <v>22</v>
      </c>
      <c r="D604" t="s">
        <v>217</v>
      </c>
      <c r="E604" t="s">
        <v>122</v>
      </c>
      <c r="F604" s="4">
        <v>44153</v>
      </c>
      <c r="G604" s="6">
        <v>0.86238425925925921</v>
      </c>
      <c r="H604">
        <v>-76.722386670000006</v>
      </c>
      <c r="I604">
        <v>3.477328333</v>
      </c>
      <c r="J604">
        <v>5</v>
      </c>
      <c r="K604" t="s">
        <v>119</v>
      </c>
      <c r="L604" t="s">
        <v>120</v>
      </c>
      <c r="M604">
        <v>2104</v>
      </c>
      <c r="N604" t="b">
        <v>1</v>
      </c>
      <c r="P604">
        <f t="shared" si="0"/>
        <v>25</v>
      </c>
      <c r="Q604">
        <f t="shared" si="1"/>
        <v>0</v>
      </c>
      <c r="R604">
        <f t="shared" si="2"/>
        <v>30</v>
      </c>
      <c r="S604" t="s">
        <v>442</v>
      </c>
      <c r="T604" t="s">
        <v>258</v>
      </c>
      <c r="V604" t="s">
        <v>62</v>
      </c>
      <c r="X604">
        <v>1</v>
      </c>
      <c r="AE604" t="s">
        <v>459</v>
      </c>
      <c r="AF604">
        <v>-76.722373329999996</v>
      </c>
      <c r="AG604">
        <v>3.4772150000000002</v>
      </c>
      <c r="AH604">
        <v>25</v>
      </c>
      <c r="AI604">
        <v>0</v>
      </c>
      <c r="AJ604">
        <v>25</v>
      </c>
      <c r="AK604">
        <v>-76.722745000000003</v>
      </c>
      <c r="AL604">
        <v>3.4778183330000001</v>
      </c>
      <c r="AM604">
        <v>35</v>
      </c>
      <c r="AN604">
        <v>0</v>
      </c>
      <c r="AO604">
        <v>25</v>
      </c>
      <c r="AP604" t="s">
        <v>441</v>
      </c>
      <c r="AQ604" t="s">
        <v>443</v>
      </c>
    </row>
    <row r="605" spans="1:43" x14ac:dyDescent="0.2">
      <c r="A605">
        <v>2020</v>
      </c>
      <c r="B605" t="s">
        <v>21</v>
      </c>
      <c r="C605" t="s">
        <v>22</v>
      </c>
      <c r="D605" t="s">
        <v>217</v>
      </c>
      <c r="E605" t="s">
        <v>122</v>
      </c>
      <c r="F605" s="4">
        <v>44153</v>
      </c>
      <c r="G605" s="6">
        <v>0.84493055555555552</v>
      </c>
      <c r="H605">
        <v>-76.722373329999996</v>
      </c>
      <c r="I605">
        <v>3.4772150000000002</v>
      </c>
      <c r="J605">
        <v>5</v>
      </c>
      <c r="K605" t="s">
        <v>119</v>
      </c>
      <c r="L605" t="s">
        <v>120</v>
      </c>
      <c r="M605">
        <v>2109</v>
      </c>
      <c r="N605" t="b">
        <v>1</v>
      </c>
      <c r="P605">
        <f t="shared" si="0"/>
        <v>25</v>
      </c>
      <c r="Q605">
        <f t="shared" si="1"/>
        <v>0</v>
      </c>
      <c r="R605">
        <f t="shared" si="2"/>
        <v>30</v>
      </c>
      <c r="S605" t="s">
        <v>442</v>
      </c>
      <c r="T605" t="s">
        <v>258</v>
      </c>
      <c r="V605" t="s">
        <v>8</v>
      </c>
      <c r="X605">
        <v>1</v>
      </c>
      <c r="AE605" t="s">
        <v>459</v>
      </c>
      <c r="AF605">
        <v>-76.722373329999996</v>
      </c>
      <c r="AG605">
        <v>3.4772150000000002</v>
      </c>
      <c r="AH605">
        <v>25</v>
      </c>
      <c r="AI605">
        <v>0</v>
      </c>
      <c r="AJ605">
        <v>25</v>
      </c>
      <c r="AK605">
        <v>-76.722745000000003</v>
      </c>
      <c r="AL605">
        <v>3.4778183330000001</v>
      </c>
      <c r="AM605">
        <v>35</v>
      </c>
      <c r="AN605">
        <v>0</v>
      </c>
      <c r="AO605">
        <v>25</v>
      </c>
      <c r="AP605" t="s">
        <v>441</v>
      </c>
      <c r="AQ605" t="s">
        <v>443</v>
      </c>
    </row>
    <row r="606" spans="1:43" x14ac:dyDescent="0.2">
      <c r="A606">
        <v>2020</v>
      </c>
      <c r="B606" t="s">
        <v>21</v>
      </c>
      <c r="C606" t="s">
        <v>22</v>
      </c>
      <c r="D606" t="s">
        <v>217</v>
      </c>
      <c r="E606" t="s">
        <v>122</v>
      </c>
      <c r="F606" s="4">
        <v>44153</v>
      </c>
      <c r="G606" s="6">
        <v>0.84493055555555552</v>
      </c>
      <c r="H606">
        <v>-76.722373329999996</v>
      </c>
      <c r="I606">
        <v>3.4772150000000002</v>
      </c>
      <c r="J606">
        <v>5</v>
      </c>
      <c r="K606" t="s">
        <v>119</v>
      </c>
      <c r="L606" t="s">
        <v>457</v>
      </c>
      <c r="M606">
        <v>2109</v>
      </c>
      <c r="N606" t="b">
        <v>1</v>
      </c>
      <c r="P606">
        <f t="shared" si="0"/>
        <v>25</v>
      </c>
      <c r="Q606">
        <f t="shared" si="1"/>
        <v>0</v>
      </c>
      <c r="R606">
        <f t="shared" si="2"/>
        <v>30</v>
      </c>
      <c r="S606" t="s">
        <v>318</v>
      </c>
      <c r="T606" t="s">
        <v>258</v>
      </c>
      <c r="V606" t="s">
        <v>4</v>
      </c>
      <c r="X606">
        <v>1</v>
      </c>
      <c r="AE606" t="s">
        <v>459</v>
      </c>
      <c r="AF606">
        <v>-76.722373329999996</v>
      </c>
      <c r="AG606">
        <v>3.4772150000000002</v>
      </c>
      <c r="AH606">
        <v>25</v>
      </c>
      <c r="AI606">
        <v>0</v>
      </c>
      <c r="AJ606">
        <v>25</v>
      </c>
      <c r="AK606">
        <v>-76.722745000000003</v>
      </c>
      <c r="AL606">
        <v>3.4778183330000001</v>
      </c>
      <c r="AM606">
        <v>35</v>
      </c>
      <c r="AN606">
        <v>0</v>
      </c>
      <c r="AO606">
        <v>25</v>
      </c>
      <c r="AP606" t="s">
        <v>450</v>
      </c>
      <c r="AQ606" t="s">
        <v>443</v>
      </c>
    </row>
    <row r="607" spans="1:43" x14ac:dyDescent="0.2">
      <c r="A607">
        <v>2020</v>
      </c>
      <c r="B607" t="s">
        <v>21</v>
      </c>
      <c r="C607" t="s">
        <v>22</v>
      </c>
      <c r="D607" t="s">
        <v>217</v>
      </c>
      <c r="E607" t="s">
        <v>122</v>
      </c>
      <c r="F607" s="4">
        <v>44153</v>
      </c>
      <c r="G607" s="6">
        <v>0.87565972222222221</v>
      </c>
      <c r="H607">
        <v>-76.722426670000004</v>
      </c>
      <c r="I607">
        <v>3.4774283330000002</v>
      </c>
      <c r="J607">
        <v>5</v>
      </c>
      <c r="K607" t="s">
        <v>112</v>
      </c>
      <c r="L607" t="s">
        <v>113</v>
      </c>
      <c r="M607">
        <v>2104</v>
      </c>
      <c r="N607" t="b">
        <v>1</v>
      </c>
      <c r="P607">
        <f t="shared" si="0"/>
        <v>25</v>
      </c>
      <c r="Q607">
        <f t="shared" si="1"/>
        <v>0</v>
      </c>
      <c r="R607">
        <f t="shared" si="2"/>
        <v>30</v>
      </c>
      <c r="S607" t="s">
        <v>442</v>
      </c>
      <c r="T607" t="s">
        <v>258</v>
      </c>
      <c r="V607" t="s">
        <v>8</v>
      </c>
      <c r="X607">
        <v>3</v>
      </c>
      <c r="AE607" t="s">
        <v>459</v>
      </c>
      <c r="AF607">
        <v>-76.722373329999996</v>
      </c>
      <c r="AG607">
        <v>3.4772150000000002</v>
      </c>
      <c r="AH607">
        <v>25</v>
      </c>
      <c r="AI607">
        <v>0</v>
      </c>
      <c r="AJ607">
        <v>25</v>
      </c>
      <c r="AK607">
        <v>-76.722745000000003</v>
      </c>
      <c r="AL607">
        <v>3.4778183330000001</v>
      </c>
      <c r="AM607">
        <v>35</v>
      </c>
      <c r="AN607">
        <v>0</v>
      </c>
      <c r="AO607">
        <v>25</v>
      </c>
      <c r="AP607" t="s">
        <v>441</v>
      </c>
      <c r="AQ607" t="s">
        <v>443</v>
      </c>
    </row>
    <row r="608" spans="1:43" x14ac:dyDescent="0.2">
      <c r="A608">
        <v>2020</v>
      </c>
      <c r="B608" t="s">
        <v>21</v>
      </c>
      <c r="C608" t="s">
        <v>22</v>
      </c>
      <c r="D608" t="s">
        <v>217</v>
      </c>
      <c r="E608" t="s">
        <v>122</v>
      </c>
      <c r="F608" s="4">
        <v>44153</v>
      </c>
      <c r="G608" s="6">
        <v>0.88146990740740738</v>
      </c>
      <c r="H608">
        <v>-76.722489999999993</v>
      </c>
      <c r="I608">
        <v>3.4775933330000002</v>
      </c>
      <c r="J608">
        <v>5</v>
      </c>
      <c r="K608" t="s">
        <v>112</v>
      </c>
      <c r="L608" t="s">
        <v>457</v>
      </c>
      <c r="M608">
        <v>2110</v>
      </c>
      <c r="N608" t="b">
        <v>1</v>
      </c>
      <c r="P608">
        <f t="shared" si="0"/>
        <v>25</v>
      </c>
      <c r="Q608">
        <f t="shared" si="1"/>
        <v>0</v>
      </c>
      <c r="R608">
        <f t="shared" si="2"/>
        <v>30</v>
      </c>
      <c r="S608" t="s">
        <v>442</v>
      </c>
      <c r="T608" t="s">
        <v>258</v>
      </c>
      <c r="V608" t="s">
        <v>4</v>
      </c>
      <c r="X608">
        <v>2</v>
      </c>
      <c r="AE608" t="s">
        <v>459</v>
      </c>
      <c r="AF608">
        <v>-76.722373329999996</v>
      </c>
      <c r="AG608">
        <v>3.4772150000000002</v>
      </c>
      <c r="AH608">
        <v>25</v>
      </c>
      <c r="AI608">
        <v>0</v>
      </c>
      <c r="AJ608">
        <v>25</v>
      </c>
      <c r="AK608">
        <v>-76.722745000000003</v>
      </c>
      <c r="AL608">
        <v>3.4778183330000001</v>
      </c>
      <c r="AM608">
        <v>35</v>
      </c>
      <c r="AN608">
        <v>0</v>
      </c>
      <c r="AO608">
        <v>25</v>
      </c>
      <c r="AP608" t="s">
        <v>450</v>
      </c>
      <c r="AQ608" t="s">
        <v>443</v>
      </c>
    </row>
    <row r="609" spans="1:43" x14ac:dyDescent="0.2">
      <c r="A609">
        <v>2020</v>
      </c>
      <c r="B609" t="s">
        <v>21</v>
      </c>
      <c r="C609" t="s">
        <v>22</v>
      </c>
      <c r="D609" t="s">
        <v>214</v>
      </c>
      <c r="E609" t="s">
        <v>127</v>
      </c>
      <c r="F609" s="4">
        <v>44153</v>
      </c>
      <c r="G609" s="6">
        <v>0.92374999999999996</v>
      </c>
      <c r="H609">
        <v>-76.722819999999999</v>
      </c>
      <c r="I609">
        <v>3.4783916669999999</v>
      </c>
      <c r="J609">
        <v>5</v>
      </c>
      <c r="K609" t="s">
        <v>112</v>
      </c>
      <c r="L609" t="s">
        <v>113</v>
      </c>
      <c r="M609">
        <v>2106</v>
      </c>
      <c r="N609" t="b">
        <v>1</v>
      </c>
      <c r="P609">
        <f t="shared" si="0"/>
        <v>22.5</v>
      </c>
      <c r="Q609">
        <f t="shared" si="1"/>
        <v>0</v>
      </c>
      <c r="R609">
        <f t="shared" si="2"/>
        <v>27.5</v>
      </c>
      <c r="S609" t="s">
        <v>442</v>
      </c>
      <c r="T609" t="s">
        <v>258</v>
      </c>
      <c r="V609" t="s">
        <v>8</v>
      </c>
      <c r="X609">
        <v>1</v>
      </c>
      <c r="AE609" t="s">
        <v>459</v>
      </c>
      <c r="AF609">
        <v>-76.72277167</v>
      </c>
      <c r="AG609">
        <v>3.4781083330000002</v>
      </c>
      <c r="AH609">
        <v>40</v>
      </c>
      <c r="AI609">
        <v>0</v>
      </c>
      <c r="AJ609">
        <v>25</v>
      </c>
      <c r="AK609">
        <v>-76.722958329999997</v>
      </c>
      <c r="AL609">
        <v>3.4789733329999999</v>
      </c>
      <c r="AM609">
        <v>15</v>
      </c>
      <c r="AN609">
        <v>0</v>
      </c>
      <c r="AO609">
        <v>20</v>
      </c>
      <c r="AP609" t="s">
        <v>441</v>
      </c>
      <c r="AQ609" t="s">
        <v>443</v>
      </c>
    </row>
    <row r="610" spans="1:43" x14ac:dyDescent="0.2">
      <c r="A610">
        <v>2020</v>
      </c>
      <c r="B610" t="s">
        <v>21</v>
      </c>
      <c r="C610" t="s">
        <v>22</v>
      </c>
      <c r="D610" t="s">
        <v>214</v>
      </c>
      <c r="E610" t="s">
        <v>127</v>
      </c>
      <c r="F610" s="4">
        <v>44153</v>
      </c>
      <c r="G610" s="6">
        <v>0.93668981481481484</v>
      </c>
      <c r="H610">
        <v>-76.722873329999999</v>
      </c>
      <c r="I610">
        <v>3.4786583329999998</v>
      </c>
      <c r="J610">
        <v>5</v>
      </c>
      <c r="K610" t="s">
        <v>112</v>
      </c>
      <c r="L610" t="s">
        <v>113</v>
      </c>
      <c r="M610">
        <v>2089</v>
      </c>
      <c r="N610" t="b">
        <v>1</v>
      </c>
      <c r="P610">
        <f t="shared" si="0"/>
        <v>22.5</v>
      </c>
      <c r="Q610">
        <f t="shared" si="1"/>
        <v>0</v>
      </c>
      <c r="R610">
        <f t="shared" si="2"/>
        <v>27.5</v>
      </c>
      <c r="S610" t="s">
        <v>442</v>
      </c>
      <c r="T610" t="s">
        <v>258</v>
      </c>
      <c r="V610" t="s">
        <v>8</v>
      </c>
      <c r="X610">
        <v>1</v>
      </c>
      <c r="AE610" t="s">
        <v>459</v>
      </c>
      <c r="AF610">
        <v>-76.72277167</v>
      </c>
      <c r="AG610">
        <v>3.4781083330000002</v>
      </c>
      <c r="AH610">
        <v>40</v>
      </c>
      <c r="AI610">
        <v>0</v>
      </c>
      <c r="AJ610">
        <v>25</v>
      </c>
      <c r="AK610">
        <v>-76.722958329999997</v>
      </c>
      <c r="AL610">
        <v>3.4789733329999999</v>
      </c>
      <c r="AM610">
        <v>15</v>
      </c>
      <c r="AN610">
        <v>0</v>
      </c>
      <c r="AO610">
        <v>20</v>
      </c>
      <c r="AP610" t="s">
        <v>441</v>
      </c>
      <c r="AQ610" t="s">
        <v>443</v>
      </c>
    </row>
    <row r="611" spans="1:43" x14ac:dyDescent="0.2">
      <c r="A611">
        <v>2020</v>
      </c>
      <c r="B611" t="s">
        <v>21</v>
      </c>
      <c r="C611" t="s">
        <v>22</v>
      </c>
      <c r="D611" t="s">
        <v>214</v>
      </c>
      <c r="E611" t="s">
        <v>127</v>
      </c>
      <c r="F611" s="4">
        <v>44153</v>
      </c>
      <c r="G611" s="6">
        <v>0.89859953703703699</v>
      </c>
      <c r="H611">
        <v>-76.72277167</v>
      </c>
      <c r="I611">
        <v>3.4781083330000002</v>
      </c>
      <c r="J611">
        <v>5</v>
      </c>
      <c r="K611" t="s">
        <v>119</v>
      </c>
      <c r="L611" t="s">
        <v>120</v>
      </c>
      <c r="M611">
        <v>2105</v>
      </c>
      <c r="N611" t="b">
        <v>1</v>
      </c>
      <c r="P611">
        <f t="shared" si="0"/>
        <v>22.5</v>
      </c>
      <c r="Q611">
        <f t="shared" si="1"/>
        <v>0</v>
      </c>
      <c r="R611">
        <f t="shared" si="2"/>
        <v>27.5</v>
      </c>
      <c r="S611" t="s">
        <v>442</v>
      </c>
      <c r="T611" t="s">
        <v>258</v>
      </c>
      <c r="V611" t="s">
        <v>41</v>
      </c>
      <c r="X611">
        <v>1</v>
      </c>
      <c r="AE611" t="s">
        <v>459</v>
      </c>
      <c r="AF611">
        <v>-76.72277167</v>
      </c>
      <c r="AG611">
        <v>3.4781083330000002</v>
      </c>
      <c r="AH611">
        <v>40</v>
      </c>
      <c r="AI611">
        <v>0</v>
      </c>
      <c r="AJ611">
        <v>25</v>
      </c>
      <c r="AK611">
        <v>-76.722958329999997</v>
      </c>
      <c r="AL611">
        <v>3.4789733329999999</v>
      </c>
      <c r="AM611">
        <v>15</v>
      </c>
      <c r="AN611">
        <v>0</v>
      </c>
      <c r="AO611">
        <v>20</v>
      </c>
      <c r="AP611" t="s">
        <v>441</v>
      </c>
      <c r="AQ611" t="s">
        <v>443</v>
      </c>
    </row>
    <row r="612" spans="1:43" x14ac:dyDescent="0.2">
      <c r="A612">
        <v>2020</v>
      </c>
      <c r="B612" t="s">
        <v>21</v>
      </c>
      <c r="C612" t="s">
        <v>22</v>
      </c>
      <c r="D612" t="s">
        <v>214</v>
      </c>
      <c r="E612" t="s">
        <v>127</v>
      </c>
      <c r="F612" s="4">
        <v>44153</v>
      </c>
      <c r="G612" s="6">
        <v>0.93912037037037033</v>
      </c>
      <c r="H612">
        <v>-76.722821670000002</v>
      </c>
      <c r="I612">
        <v>3.4787083330000002</v>
      </c>
      <c r="J612">
        <v>5</v>
      </c>
      <c r="K612" t="s">
        <v>112</v>
      </c>
      <c r="L612" t="s">
        <v>113</v>
      </c>
      <c r="M612">
        <v>2089</v>
      </c>
      <c r="N612" t="b">
        <v>1</v>
      </c>
      <c r="P612">
        <f t="shared" si="0"/>
        <v>22.5</v>
      </c>
      <c r="Q612">
        <f t="shared" si="1"/>
        <v>0</v>
      </c>
      <c r="R612">
        <f t="shared" si="2"/>
        <v>27.5</v>
      </c>
      <c r="S612" t="s">
        <v>442</v>
      </c>
      <c r="T612" t="s">
        <v>258</v>
      </c>
      <c r="V612" t="s">
        <v>8</v>
      </c>
      <c r="X612">
        <v>1</v>
      </c>
      <c r="AE612" t="s">
        <v>459</v>
      </c>
      <c r="AF612">
        <v>-76.72277167</v>
      </c>
      <c r="AG612">
        <v>3.4781083330000002</v>
      </c>
      <c r="AH612">
        <v>40</v>
      </c>
      <c r="AI612">
        <v>0</v>
      </c>
      <c r="AJ612">
        <v>25</v>
      </c>
      <c r="AK612">
        <v>-76.722958329999997</v>
      </c>
      <c r="AL612">
        <v>3.4789733329999999</v>
      </c>
      <c r="AM612">
        <v>15</v>
      </c>
      <c r="AN612">
        <v>0</v>
      </c>
      <c r="AO612">
        <v>20</v>
      </c>
      <c r="AP612" t="s">
        <v>441</v>
      </c>
      <c r="AQ612" t="s">
        <v>443</v>
      </c>
    </row>
    <row r="613" spans="1:43" x14ac:dyDescent="0.2">
      <c r="A613">
        <v>2020</v>
      </c>
      <c r="B613" t="s">
        <v>21</v>
      </c>
      <c r="C613" t="s">
        <v>22</v>
      </c>
      <c r="D613" t="s">
        <v>214</v>
      </c>
      <c r="E613" t="s">
        <v>127</v>
      </c>
      <c r="F613" s="4">
        <v>44153</v>
      </c>
      <c r="G613" s="6">
        <v>0.92746527777777776</v>
      </c>
      <c r="H613">
        <v>-76.722683329999995</v>
      </c>
      <c r="I613">
        <v>3.4785466669999998</v>
      </c>
      <c r="J613">
        <v>5</v>
      </c>
      <c r="K613" t="s">
        <v>119</v>
      </c>
      <c r="L613" t="s">
        <v>113</v>
      </c>
      <c r="M613">
        <v>2089</v>
      </c>
      <c r="N613" t="b">
        <v>1</v>
      </c>
      <c r="P613">
        <f t="shared" si="0"/>
        <v>22.5</v>
      </c>
      <c r="Q613">
        <f t="shared" si="1"/>
        <v>0</v>
      </c>
      <c r="R613">
        <f t="shared" si="2"/>
        <v>27.5</v>
      </c>
      <c r="S613" t="s">
        <v>442</v>
      </c>
      <c r="T613" t="s">
        <v>258</v>
      </c>
      <c r="V613" t="s">
        <v>41</v>
      </c>
      <c r="X613">
        <v>1</v>
      </c>
      <c r="AE613" t="s">
        <v>459</v>
      </c>
      <c r="AF613">
        <v>-76.72277167</v>
      </c>
      <c r="AG613">
        <v>3.4781083330000002</v>
      </c>
      <c r="AH613">
        <v>40</v>
      </c>
      <c r="AI613">
        <v>0</v>
      </c>
      <c r="AJ613">
        <v>25</v>
      </c>
      <c r="AK613">
        <v>-76.722958329999997</v>
      </c>
      <c r="AL613">
        <v>3.4789733329999999</v>
      </c>
      <c r="AM613">
        <v>15</v>
      </c>
      <c r="AN613">
        <v>0</v>
      </c>
      <c r="AO613">
        <v>20</v>
      </c>
      <c r="AP613" t="s">
        <v>441</v>
      </c>
      <c r="AQ613" t="s">
        <v>443</v>
      </c>
    </row>
    <row r="614" spans="1:43" x14ac:dyDescent="0.2">
      <c r="A614">
        <v>2020</v>
      </c>
      <c r="B614" t="s">
        <v>21</v>
      </c>
      <c r="C614" t="s">
        <v>22</v>
      </c>
      <c r="D614" t="s">
        <v>214</v>
      </c>
      <c r="E614" t="s">
        <v>127</v>
      </c>
      <c r="F614" s="4">
        <v>44153</v>
      </c>
      <c r="G614" s="6">
        <v>0.92746527777777776</v>
      </c>
      <c r="H614">
        <v>-76.722683329999995</v>
      </c>
      <c r="I614">
        <v>3.4785466669999998</v>
      </c>
      <c r="J614">
        <v>5</v>
      </c>
      <c r="K614" t="s">
        <v>119</v>
      </c>
      <c r="L614" t="s">
        <v>113</v>
      </c>
      <c r="M614">
        <v>2106</v>
      </c>
      <c r="N614" t="b">
        <v>1</v>
      </c>
      <c r="P614">
        <f t="shared" si="0"/>
        <v>22.5</v>
      </c>
      <c r="Q614">
        <f t="shared" si="1"/>
        <v>0</v>
      </c>
      <c r="R614">
        <f t="shared" si="2"/>
        <v>27.5</v>
      </c>
      <c r="S614" t="s">
        <v>442</v>
      </c>
      <c r="T614" t="s">
        <v>258</v>
      </c>
      <c r="V614" t="s">
        <v>8</v>
      </c>
      <c r="X614">
        <v>1</v>
      </c>
      <c r="AE614" t="s">
        <v>459</v>
      </c>
      <c r="AF614">
        <v>-76.72277167</v>
      </c>
      <c r="AG614">
        <v>3.4781083330000002</v>
      </c>
      <c r="AH614">
        <v>40</v>
      </c>
      <c r="AI614">
        <v>0</v>
      </c>
      <c r="AJ614">
        <v>25</v>
      </c>
      <c r="AK614">
        <v>-76.722958329999997</v>
      </c>
      <c r="AL614">
        <v>3.4789733329999999</v>
      </c>
      <c r="AM614">
        <v>15</v>
      </c>
      <c r="AN614">
        <v>0</v>
      </c>
      <c r="AO614">
        <v>20</v>
      </c>
      <c r="AP614" t="s">
        <v>441</v>
      </c>
      <c r="AQ614" t="s">
        <v>443</v>
      </c>
    </row>
    <row r="615" spans="1:43" x14ac:dyDescent="0.2">
      <c r="A615">
        <v>2020</v>
      </c>
      <c r="B615" t="s">
        <v>21</v>
      </c>
      <c r="C615" t="s">
        <v>22</v>
      </c>
      <c r="D615" t="s">
        <v>214</v>
      </c>
      <c r="E615" t="s">
        <v>127</v>
      </c>
      <c r="F615" s="4">
        <v>44153</v>
      </c>
      <c r="G615" s="6">
        <v>0.94266203703703699</v>
      </c>
      <c r="H615">
        <v>-76.722835000000003</v>
      </c>
      <c r="I615">
        <v>3.4788983330000001</v>
      </c>
      <c r="J615">
        <v>5</v>
      </c>
      <c r="K615" t="s">
        <v>112</v>
      </c>
      <c r="L615" t="s">
        <v>457</v>
      </c>
      <c r="M615">
        <v>2089</v>
      </c>
      <c r="N615" t="b">
        <v>1</v>
      </c>
      <c r="P615">
        <f t="shared" si="0"/>
        <v>22.5</v>
      </c>
      <c r="Q615">
        <f t="shared" si="1"/>
        <v>0</v>
      </c>
      <c r="R615">
        <f t="shared" si="2"/>
        <v>27.5</v>
      </c>
      <c r="S615" t="s">
        <v>442</v>
      </c>
      <c r="T615" t="s">
        <v>258</v>
      </c>
      <c r="V615" t="s">
        <v>8</v>
      </c>
      <c r="X615">
        <v>2</v>
      </c>
      <c r="AE615" t="s">
        <v>459</v>
      </c>
      <c r="AF615">
        <v>-76.72277167</v>
      </c>
      <c r="AG615">
        <v>3.4781083330000002</v>
      </c>
      <c r="AH615">
        <v>40</v>
      </c>
      <c r="AI615">
        <v>0</v>
      </c>
      <c r="AJ615">
        <v>25</v>
      </c>
      <c r="AK615">
        <v>-76.722958329999997</v>
      </c>
      <c r="AL615">
        <v>3.4789733329999999</v>
      </c>
      <c r="AM615">
        <v>15</v>
      </c>
      <c r="AN615">
        <v>0</v>
      </c>
      <c r="AO615">
        <v>20</v>
      </c>
      <c r="AP615" t="s">
        <v>441</v>
      </c>
      <c r="AQ615" t="s">
        <v>443</v>
      </c>
    </row>
    <row r="616" spans="1:43" x14ac:dyDescent="0.2">
      <c r="A616">
        <v>2020</v>
      </c>
      <c r="B616" t="s">
        <v>21</v>
      </c>
      <c r="C616" t="s">
        <v>22</v>
      </c>
      <c r="D616" t="s">
        <v>214</v>
      </c>
      <c r="E616" t="s">
        <v>127</v>
      </c>
      <c r="F616" s="4">
        <v>44153</v>
      </c>
      <c r="G616" s="6">
        <v>0.9173958333333333</v>
      </c>
      <c r="H616">
        <v>-76.722859999999997</v>
      </c>
      <c r="I616">
        <v>3.4782799999999998</v>
      </c>
      <c r="J616">
        <v>5</v>
      </c>
      <c r="K616" t="s">
        <v>112</v>
      </c>
      <c r="L616" t="s">
        <v>113</v>
      </c>
      <c r="M616">
        <v>2106</v>
      </c>
      <c r="N616" t="b">
        <v>1</v>
      </c>
      <c r="P616">
        <f t="shared" si="0"/>
        <v>22.5</v>
      </c>
      <c r="Q616">
        <f t="shared" si="1"/>
        <v>0</v>
      </c>
      <c r="R616">
        <f t="shared" si="2"/>
        <v>27.5</v>
      </c>
      <c r="S616" t="s">
        <v>442</v>
      </c>
      <c r="T616" t="s">
        <v>258</v>
      </c>
      <c r="V616" t="s">
        <v>8</v>
      </c>
      <c r="X616">
        <v>2</v>
      </c>
      <c r="AE616" t="s">
        <v>459</v>
      </c>
      <c r="AF616">
        <v>-76.72277167</v>
      </c>
      <c r="AG616">
        <v>3.4781083330000002</v>
      </c>
      <c r="AH616">
        <v>40</v>
      </c>
      <c r="AI616">
        <v>0</v>
      </c>
      <c r="AJ616">
        <v>25</v>
      </c>
      <c r="AK616">
        <v>-76.722958329999997</v>
      </c>
      <c r="AL616">
        <v>3.4789733329999999</v>
      </c>
      <c r="AM616">
        <v>15</v>
      </c>
      <c r="AN616">
        <v>0</v>
      </c>
      <c r="AO616">
        <v>20</v>
      </c>
      <c r="AP616" t="s">
        <v>441</v>
      </c>
      <c r="AQ616" t="s">
        <v>443</v>
      </c>
    </row>
    <row r="617" spans="1:43" x14ac:dyDescent="0.2">
      <c r="A617">
        <v>2020</v>
      </c>
      <c r="B617" t="s">
        <v>21</v>
      </c>
      <c r="C617" t="s">
        <v>22</v>
      </c>
      <c r="D617" t="s">
        <v>214</v>
      </c>
      <c r="E617" t="s">
        <v>127</v>
      </c>
      <c r="F617" s="4">
        <v>44153</v>
      </c>
      <c r="G617" s="6">
        <v>0.94601851851851848</v>
      </c>
      <c r="H617">
        <v>-76.722958329999997</v>
      </c>
      <c r="I617">
        <v>3.4789733329999999</v>
      </c>
      <c r="J617">
        <v>5</v>
      </c>
      <c r="K617" t="s">
        <v>119</v>
      </c>
      <c r="L617" t="s">
        <v>457</v>
      </c>
      <c r="M617">
        <v>2089</v>
      </c>
      <c r="N617" t="b">
        <v>1</v>
      </c>
      <c r="P617">
        <f t="shared" si="0"/>
        <v>22.5</v>
      </c>
      <c r="Q617">
        <f t="shared" si="1"/>
        <v>0</v>
      </c>
      <c r="R617">
        <f t="shared" si="2"/>
        <v>27.5</v>
      </c>
      <c r="S617" t="s">
        <v>442</v>
      </c>
      <c r="T617" t="s">
        <v>258</v>
      </c>
      <c r="V617" t="s">
        <v>2</v>
      </c>
      <c r="X617">
        <v>1</v>
      </c>
      <c r="AE617" t="s">
        <v>459</v>
      </c>
      <c r="AF617">
        <v>-76.72277167</v>
      </c>
      <c r="AG617">
        <v>3.4781083330000002</v>
      </c>
      <c r="AH617">
        <v>40</v>
      </c>
      <c r="AI617">
        <v>0</v>
      </c>
      <c r="AJ617">
        <v>25</v>
      </c>
      <c r="AK617">
        <v>-76.722958329999997</v>
      </c>
      <c r="AL617">
        <v>3.4789733329999999</v>
      </c>
      <c r="AM617">
        <v>15</v>
      </c>
      <c r="AN617">
        <v>0</v>
      </c>
      <c r="AO617">
        <v>20</v>
      </c>
      <c r="AP617" t="s">
        <v>441</v>
      </c>
      <c r="AQ617" t="s">
        <v>443</v>
      </c>
    </row>
    <row r="618" spans="1:43" x14ac:dyDescent="0.2">
      <c r="A618">
        <v>2020</v>
      </c>
      <c r="B618" t="s">
        <v>21</v>
      </c>
      <c r="C618" t="s">
        <v>22</v>
      </c>
      <c r="D618" t="s">
        <v>214</v>
      </c>
      <c r="E618" t="s">
        <v>127</v>
      </c>
      <c r="F618" s="4">
        <v>44153</v>
      </c>
      <c r="G618" s="6">
        <v>0.90462962962962967</v>
      </c>
      <c r="H618">
        <v>-76.722751669999994</v>
      </c>
      <c r="I618">
        <v>3.4781816669999999</v>
      </c>
      <c r="J618">
        <v>5</v>
      </c>
      <c r="K618" t="s">
        <v>112</v>
      </c>
      <c r="L618" t="s">
        <v>120</v>
      </c>
      <c r="M618">
        <v>2114</v>
      </c>
      <c r="N618" t="b">
        <v>1</v>
      </c>
      <c r="P618">
        <f t="shared" si="0"/>
        <v>22.5</v>
      </c>
      <c r="Q618">
        <f t="shared" si="1"/>
        <v>0</v>
      </c>
      <c r="R618">
        <f t="shared" si="2"/>
        <v>27.5</v>
      </c>
      <c r="S618" t="s">
        <v>442</v>
      </c>
      <c r="T618" t="s">
        <v>258</v>
      </c>
      <c r="V618" t="s">
        <v>8</v>
      </c>
      <c r="X618">
        <v>5</v>
      </c>
      <c r="AE618" t="s">
        <v>459</v>
      </c>
      <c r="AF618">
        <v>-76.72277167</v>
      </c>
      <c r="AG618">
        <v>3.4781083330000002</v>
      </c>
      <c r="AH618">
        <v>40</v>
      </c>
      <c r="AI618">
        <v>0</v>
      </c>
      <c r="AJ618">
        <v>25</v>
      </c>
      <c r="AK618">
        <v>-76.722958329999997</v>
      </c>
      <c r="AL618">
        <v>3.4789733329999999</v>
      </c>
      <c r="AM618">
        <v>15</v>
      </c>
      <c r="AN618">
        <v>0</v>
      </c>
      <c r="AO618">
        <v>20</v>
      </c>
      <c r="AP618" t="s">
        <v>441</v>
      </c>
      <c r="AQ618" t="s">
        <v>443</v>
      </c>
    </row>
    <row r="619" spans="1:43" x14ac:dyDescent="0.2">
      <c r="A619">
        <v>2020</v>
      </c>
      <c r="B619" t="s">
        <v>21</v>
      </c>
      <c r="C619" t="s">
        <v>22</v>
      </c>
      <c r="D619" t="s">
        <v>214</v>
      </c>
      <c r="E619" t="s">
        <v>127</v>
      </c>
      <c r="F619" s="4">
        <v>44153</v>
      </c>
      <c r="G619" s="6">
        <v>0.90462962962962967</v>
      </c>
      <c r="H619">
        <v>-76.722751669999994</v>
      </c>
      <c r="I619">
        <v>3.4781816669999999</v>
      </c>
      <c r="J619">
        <v>5</v>
      </c>
      <c r="K619" t="s">
        <v>112</v>
      </c>
      <c r="L619" t="s">
        <v>113</v>
      </c>
      <c r="M619">
        <v>2106</v>
      </c>
      <c r="N619" t="b">
        <v>1</v>
      </c>
      <c r="P619">
        <f t="shared" si="0"/>
        <v>22.5</v>
      </c>
      <c r="Q619">
        <f t="shared" si="1"/>
        <v>0</v>
      </c>
      <c r="R619">
        <f t="shared" si="2"/>
        <v>27.5</v>
      </c>
      <c r="S619" t="s">
        <v>442</v>
      </c>
      <c r="T619" t="s">
        <v>258</v>
      </c>
      <c r="V619" t="s">
        <v>8</v>
      </c>
      <c r="X619">
        <v>1</v>
      </c>
      <c r="AE619" t="s">
        <v>459</v>
      </c>
      <c r="AF619">
        <v>-76.72277167</v>
      </c>
      <c r="AG619">
        <v>3.4781083330000002</v>
      </c>
      <c r="AH619">
        <v>40</v>
      </c>
      <c r="AI619">
        <v>0</v>
      </c>
      <c r="AJ619">
        <v>25</v>
      </c>
      <c r="AK619">
        <v>-76.722958329999997</v>
      </c>
      <c r="AL619">
        <v>3.4789733329999999</v>
      </c>
      <c r="AM619">
        <v>15</v>
      </c>
      <c r="AN619">
        <v>0</v>
      </c>
      <c r="AO619">
        <v>20</v>
      </c>
      <c r="AP619" t="s">
        <v>441</v>
      </c>
      <c r="AQ619" t="s">
        <v>443</v>
      </c>
    </row>
    <row r="620" spans="1:43" x14ac:dyDescent="0.2">
      <c r="A620">
        <v>2020</v>
      </c>
      <c r="B620" t="s">
        <v>21</v>
      </c>
      <c r="C620" t="s">
        <v>22</v>
      </c>
      <c r="D620" t="s">
        <v>214</v>
      </c>
      <c r="E620" t="s">
        <v>127</v>
      </c>
      <c r="F620" s="4">
        <v>44153</v>
      </c>
      <c r="G620" s="6">
        <v>0.90462962962962967</v>
      </c>
      <c r="H620">
        <v>-76.722751669999994</v>
      </c>
      <c r="I620">
        <v>3.4781816669999999</v>
      </c>
      <c r="J620">
        <v>5</v>
      </c>
      <c r="K620" t="s">
        <v>119</v>
      </c>
      <c r="L620" t="s">
        <v>120</v>
      </c>
      <c r="M620">
        <v>2104</v>
      </c>
      <c r="N620" t="b">
        <v>1</v>
      </c>
      <c r="P620">
        <f t="shared" si="0"/>
        <v>22.5</v>
      </c>
      <c r="Q620">
        <f t="shared" si="1"/>
        <v>0</v>
      </c>
      <c r="R620">
        <f t="shared" si="2"/>
        <v>27.5</v>
      </c>
      <c r="S620" t="s">
        <v>442</v>
      </c>
      <c r="T620" t="s">
        <v>258</v>
      </c>
      <c r="V620" t="s">
        <v>8</v>
      </c>
      <c r="X620">
        <v>2</v>
      </c>
      <c r="AE620" t="s">
        <v>459</v>
      </c>
      <c r="AF620">
        <v>-76.72277167</v>
      </c>
      <c r="AG620">
        <v>3.4781083330000002</v>
      </c>
      <c r="AH620">
        <v>40</v>
      </c>
      <c r="AI620">
        <v>0</v>
      </c>
      <c r="AJ620">
        <v>25</v>
      </c>
      <c r="AK620">
        <v>-76.722958329999997</v>
      </c>
      <c r="AL620">
        <v>3.4789733329999999</v>
      </c>
      <c r="AM620">
        <v>15</v>
      </c>
      <c r="AN620">
        <v>0</v>
      </c>
      <c r="AO620">
        <v>20</v>
      </c>
      <c r="AP620" t="s">
        <v>441</v>
      </c>
      <c r="AQ620" t="s">
        <v>443</v>
      </c>
    </row>
    <row r="621" spans="1:43" x14ac:dyDescent="0.2">
      <c r="A621">
        <v>2020</v>
      </c>
      <c r="B621" t="s">
        <v>21</v>
      </c>
      <c r="C621" t="s">
        <v>22</v>
      </c>
      <c r="D621" t="s">
        <v>163</v>
      </c>
      <c r="E621" t="s">
        <v>157</v>
      </c>
      <c r="F621" s="4">
        <v>44153</v>
      </c>
      <c r="G621" s="6">
        <v>0.99190972222222218</v>
      </c>
      <c r="H621">
        <v>-76.723231670000004</v>
      </c>
      <c r="I621">
        <v>3.4805933329999998</v>
      </c>
      <c r="J621">
        <v>5</v>
      </c>
      <c r="K621" t="s">
        <v>112</v>
      </c>
      <c r="L621" t="s">
        <v>120</v>
      </c>
      <c r="M621">
        <v>2067</v>
      </c>
      <c r="N621" t="b">
        <v>1</v>
      </c>
      <c r="P621">
        <f t="shared" si="0"/>
        <v>10</v>
      </c>
      <c r="Q621">
        <f t="shared" si="1"/>
        <v>0</v>
      </c>
      <c r="R621">
        <f t="shared" si="2"/>
        <v>10</v>
      </c>
      <c r="S621" t="s">
        <v>442</v>
      </c>
      <c r="T621" t="s">
        <v>258</v>
      </c>
      <c r="V621" t="s">
        <v>73</v>
      </c>
      <c r="X621">
        <v>1</v>
      </c>
      <c r="AE621" t="s">
        <v>438</v>
      </c>
      <c r="AF621">
        <v>-76.723240000000004</v>
      </c>
      <c r="AG621">
        <v>3.480371667</v>
      </c>
      <c r="AH621">
        <v>5</v>
      </c>
      <c r="AI621">
        <v>0</v>
      </c>
      <c r="AJ621">
        <v>10</v>
      </c>
      <c r="AK621">
        <v>-76.723290000000006</v>
      </c>
      <c r="AL621">
        <v>3.481086667</v>
      </c>
      <c r="AM621">
        <v>15</v>
      </c>
      <c r="AN621">
        <v>0</v>
      </c>
      <c r="AO621">
        <v>10</v>
      </c>
      <c r="AP621" t="s">
        <v>441</v>
      </c>
      <c r="AQ621" t="s">
        <v>443</v>
      </c>
    </row>
    <row r="622" spans="1:43" x14ac:dyDescent="0.2">
      <c r="A622">
        <v>2020</v>
      </c>
      <c r="B622" t="s">
        <v>21</v>
      </c>
      <c r="C622" t="s">
        <v>22</v>
      </c>
      <c r="D622" t="s">
        <v>163</v>
      </c>
      <c r="E622" t="s">
        <v>157</v>
      </c>
      <c r="F622" s="4">
        <v>44153</v>
      </c>
      <c r="G622" s="6">
        <v>0.98858796296296292</v>
      </c>
      <c r="H622">
        <v>-76.723245000000006</v>
      </c>
      <c r="I622">
        <v>3.4805633330000001</v>
      </c>
      <c r="J622">
        <v>5</v>
      </c>
      <c r="K622" t="s">
        <v>119</v>
      </c>
      <c r="L622" t="s">
        <v>457</v>
      </c>
      <c r="M622">
        <v>2067</v>
      </c>
      <c r="N622" t="b">
        <v>1</v>
      </c>
      <c r="P622">
        <f t="shared" si="0"/>
        <v>10</v>
      </c>
      <c r="Q622">
        <f t="shared" si="1"/>
        <v>0</v>
      </c>
      <c r="R622">
        <f t="shared" si="2"/>
        <v>10</v>
      </c>
      <c r="S622" t="s">
        <v>442</v>
      </c>
      <c r="T622" t="s">
        <v>258</v>
      </c>
      <c r="V622" t="s">
        <v>8</v>
      </c>
      <c r="X622">
        <v>2</v>
      </c>
      <c r="AE622" t="s">
        <v>438</v>
      </c>
      <c r="AF622">
        <v>-76.723240000000004</v>
      </c>
      <c r="AG622">
        <v>3.480371667</v>
      </c>
      <c r="AH622">
        <v>5</v>
      </c>
      <c r="AI622">
        <v>0</v>
      </c>
      <c r="AJ622">
        <v>10</v>
      </c>
      <c r="AK622">
        <v>-76.723290000000006</v>
      </c>
      <c r="AL622">
        <v>3.481086667</v>
      </c>
      <c r="AM622">
        <v>15</v>
      </c>
      <c r="AN622">
        <v>0</v>
      </c>
      <c r="AO622">
        <v>10</v>
      </c>
      <c r="AP622" t="s">
        <v>441</v>
      </c>
      <c r="AQ622" t="s">
        <v>443</v>
      </c>
    </row>
    <row r="623" spans="1:43" x14ac:dyDescent="0.2">
      <c r="A623">
        <v>2020</v>
      </c>
      <c r="B623" t="s">
        <v>21</v>
      </c>
      <c r="C623" t="s">
        <v>22</v>
      </c>
      <c r="D623" t="s">
        <v>163</v>
      </c>
      <c r="E623" t="s">
        <v>157</v>
      </c>
      <c r="F623" s="4">
        <v>44153</v>
      </c>
      <c r="G623" s="6">
        <v>2.2685185185185187E-3</v>
      </c>
      <c r="H623">
        <v>-76.723201669999995</v>
      </c>
      <c r="I623">
        <v>3.4808783330000002</v>
      </c>
      <c r="J623">
        <v>5</v>
      </c>
      <c r="K623" t="s">
        <v>119</v>
      </c>
      <c r="L623" t="s">
        <v>120</v>
      </c>
      <c r="M623">
        <v>2063</v>
      </c>
      <c r="N623" t="b">
        <v>1</v>
      </c>
      <c r="P623">
        <f t="shared" si="0"/>
        <v>10</v>
      </c>
      <c r="Q623">
        <f t="shared" si="1"/>
        <v>0</v>
      </c>
      <c r="R623">
        <f t="shared" si="2"/>
        <v>10</v>
      </c>
      <c r="S623" t="s">
        <v>442</v>
      </c>
      <c r="T623" t="s">
        <v>258</v>
      </c>
      <c r="V623" t="s">
        <v>8</v>
      </c>
      <c r="X623">
        <v>1</v>
      </c>
      <c r="AE623" t="s">
        <v>438</v>
      </c>
      <c r="AF623">
        <v>-76.723240000000004</v>
      </c>
      <c r="AG623">
        <v>3.480371667</v>
      </c>
      <c r="AH623">
        <v>5</v>
      </c>
      <c r="AI623">
        <v>0</v>
      </c>
      <c r="AJ623">
        <v>10</v>
      </c>
      <c r="AK623">
        <v>-76.723290000000006</v>
      </c>
      <c r="AL623">
        <v>3.481086667</v>
      </c>
      <c r="AM623">
        <v>15</v>
      </c>
      <c r="AN623">
        <v>0</v>
      </c>
      <c r="AO623">
        <v>10</v>
      </c>
      <c r="AP623" t="s">
        <v>441</v>
      </c>
      <c r="AQ623" t="s">
        <v>443</v>
      </c>
    </row>
    <row r="624" spans="1:43" x14ac:dyDescent="0.2">
      <c r="A624">
        <v>2020</v>
      </c>
      <c r="B624" t="s">
        <v>21</v>
      </c>
      <c r="C624" t="s">
        <v>22</v>
      </c>
      <c r="D624" t="s">
        <v>163</v>
      </c>
      <c r="E624" t="s">
        <v>157</v>
      </c>
      <c r="F624" s="4">
        <v>44153</v>
      </c>
      <c r="G624" s="6">
        <v>0.9946990740740741</v>
      </c>
      <c r="H624">
        <v>-76.723296669999996</v>
      </c>
      <c r="I624">
        <v>3.4806849999999998</v>
      </c>
      <c r="J624">
        <v>5</v>
      </c>
      <c r="K624" t="s">
        <v>112</v>
      </c>
      <c r="L624" t="s">
        <v>120</v>
      </c>
      <c r="M624">
        <v>2067</v>
      </c>
      <c r="N624" t="b">
        <v>1</v>
      </c>
      <c r="P624">
        <f t="shared" si="0"/>
        <v>10</v>
      </c>
      <c r="Q624">
        <f t="shared" si="1"/>
        <v>0</v>
      </c>
      <c r="R624">
        <f t="shared" si="2"/>
        <v>10</v>
      </c>
      <c r="S624" t="s">
        <v>442</v>
      </c>
      <c r="T624" t="s">
        <v>258</v>
      </c>
      <c r="V624" t="s">
        <v>8</v>
      </c>
      <c r="X624">
        <v>1</v>
      </c>
      <c r="AE624" t="s">
        <v>438</v>
      </c>
      <c r="AF624">
        <v>-76.723240000000004</v>
      </c>
      <c r="AG624">
        <v>3.480371667</v>
      </c>
      <c r="AH624">
        <v>5</v>
      </c>
      <c r="AI624">
        <v>0</v>
      </c>
      <c r="AJ624">
        <v>10</v>
      </c>
      <c r="AK624">
        <v>-76.723290000000006</v>
      </c>
      <c r="AL624">
        <v>3.481086667</v>
      </c>
      <c r="AM624">
        <v>15</v>
      </c>
      <c r="AN624">
        <v>0</v>
      </c>
      <c r="AO624">
        <v>10</v>
      </c>
      <c r="AP624" t="s">
        <v>441</v>
      </c>
      <c r="AQ624" t="s">
        <v>443</v>
      </c>
    </row>
    <row r="625" spans="1:43" x14ac:dyDescent="0.2">
      <c r="A625">
        <v>2020</v>
      </c>
      <c r="B625" t="s">
        <v>21</v>
      </c>
      <c r="C625" t="s">
        <v>22</v>
      </c>
      <c r="D625" t="s">
        <v>305</v>
      </c>
      <c r="E625" t="s">
        <v>111</v>
      </c>
      <c r="F625" s="4">
        <v>44153</v>
      </c>
      <c r="G625" s="6">
        <v>0.79672453703703705</v>
      </c>
      <c r="H625">
        <v>-76.722219999999993</v>
      </c>
      <c r="I625">
        <v>3.4768283329999998</v>
      </c>
      <c r="J625">
        <v>5</v>
      </c>
      <c r="K625" t="s">
        <v>112</v>
      </c>
      <c r="L625" t="s">
        <v>457</v>
      </c>
      <c r="M625">
        <v>2114</v>
      </c>
      <c r="N625" t="b">
        <v>1</v>
      </c>
      <c r="P625">
        <f t="shared" si="0"/>
        <v>14</v>
      </c>
      <c r="Q625">
        <f t="shared" si="1"/>
        <v>0</v>
      </c>
      <c r="R625">
        <f t="shared" si="2"/>
        <v>35</v>
      </c>
      <c r="S625" t="s">
        <v>458</v>
      </c>
      <c r="T625" t="s">
        <v>258</v>
      </c>
      <c r="V625" t="s">
        <v>2</v>
      </c>
      <c r="X625">
        <v>1</v>
      </c>
      <c r="AE625" t="s">
        <v>460</v>
      </c>
      <c r="AF625">
        <v>-76.722213330000002</v>
      </c>
      <c r="AG625">
        <v>3.4767549999999998</v>
      </c>
      <c r="AH625">
        <v>20</v>
      </c>
      <c r="AI625">
        <v>0</v>
      </c>
      <c r="AJ625">
        <v>15</v>
      </c>
      <c r="AK625">
        <v>-76.722333329999998</v>
      </c>
      <c r="AL625">
        <v>3.476988333</v>
      </c>
      <c r="AM625">
        <v>50</v>
      </c>
      <c r="AN625">
        <v>0</v>
      </c>
      <c r="AO625">
        <v>13</v>
      </c>
      <c r="AP625" t="s">
        <v>441</v>
      </c>
      <c r="AQ625" t="s">
        <v>443</v>
      </c>
    </row>
    <row r="626" spans="1:43" x14ac:dyDescent="0.2">
      <c r="A626">
        <v>2020</v>
      </c>
      <c r="B626" t="s">
        <v>21</v>
      </c>
      <c r="C626" t="s">
        <v>22</v>
      </c>
      <c r="D626" t="s">
        <v>305</v>
      </c>
      <c r="E626" t="s">
        <v>111</v>
      </c>
      <c r="F626" s="4">
        <v>44153</v>
      </c>
      <c r="G626" s="6">
        <v>0.8359375</v>
      </c>
      <c r="H626">
        <v>-76.722288329999998</v>
      </c>
      <c r="I626">
        <v>3.4769716669999999</v>
      </c>
      <c r="J626">
        <v>5</v>
      </c>
      <c r="K626" t="s">
        <v>119</v>
      </c>
      <c r="L626" t="s">
        <v>120</v>
      </c>
      <c r="M626">
        <v>2109</v>
      </c>
      <c r="N626" t="b">
        <v>1</v>
      </c>
      <c r="P626">
        <f t="shared" si="0"/>
        <v>14</v>
      </c>
      <c r="Q626">
        <f t="shared" si="1"/>
        <v>0</v>
      </c>
      <c r="R626">
        <f t="shared" si="2"/>
        <v>35</v>
      </c>
      <c r="S626" t="s">
        <v>458</v>
      </c>
      <c r="T626" t="s">
        <v>258</v>
      </c>
      <c r="V626" t="s">
        <v>2</v>
      </c>
      <c r="X626">
        <v>1</v>
      </c>
      <c r="AE626" t="s">
        <v>460</v>
      </c>
      <c r="AF626">
        <v>-76.722213330000002</v>
      </c>
      <c r="AG626">
        <v>3.4767549999999998</v>
      </c>
      <c r="AH626">
        <v>20</v>
      </c>
      <c r="AI626">
        <v>0</v>
      </c>
      <c r="AJ626">
        <v>15</v>
      </c>
      <c r="AK626">
        <v>-76.722333329999998</v>
      </c>
      <c r="AL626">
        <v>3.476988333</v>
      </c>
      <c r="AM626">
        <v>50</v>
      </c>
      <c r="AN626">
        <v>0</v>
      </c>
      <c r="AO626">
        <v>13</v>
      </c>
      <c r="AP626" t="s">
        <v>441</v>
      </c>
      <c r="AQ626" t="s">
        <v>443</v>
      </c>
    </row>
    <row r="627" spans="1:43" x14ac:dyDescent="0.2">
      <c r="A627">
        <v>2020</v>
      </c>
      <c r="B627" t="s">
        <v>21</v>
      </c>
      <c r="C627" t="s">
        <v>22</v>
      </c>
      <c r="D627" t="s">
        <v>305</v>
      </c>
      <c r="E627" t="s">
        <v>111</v>
      </c>
      <c r="F627" s="4">
        <v>44153</v>
      </c>
      <c r="G627" s="6">
        <v>0.8359375</v>
      </c>
      <c r="H627">
        <v>-76.722288329999998</v>
      </c>
      <c r="I627">
        <v>3.4769716669999999</v>
      </c>
      <c r="J627">
        <v>5</v>
      </c>
      <c r="K627" t="s">
        <v>119</v>
      </c>
      <c r="L627" t="s">
        <v>457</v>
      </c>
      <c r="M627">
        <v>2109</v>
      </c>
      <c r="N627" t="b">
        <v>1</v>
      </c>
      <c r="P627">
        <f t="shared" si="0"/>
        <v>14</v>
      </c>
      <c r="Q627">
        <f t="shared" si="1"/>
        <v>0</v>
      </c>
      <c r="R627">
        <f t="shared" si="2"/>
        <v>35</v>
      </c>
      <c r="S627" t="s">
        <v>442</v>
      </c>
      <c r="T627" t="s">
        <v>258</v>
      </c>
      <c r="V627" t="s">
        <v>2</v>
      </c>
      <c r="X627">
        <v>1</v>
      </c>
      <c r="AE627" t="s">
        <v>460</v>
      </c>
      <c r="AF627">
        <v>-76.722213330000002</v>
      </c>
      <c r="AG627">
        <v>3.4767549999999998</v>
      </c>
      <c r="AH627">
        <v>20</v>
      </c>
      <c r="AI627">
        <v>0</v>
      </c>
      <c r="AJ627">
        <v>15</v>
      </c>
      <c r="AK627">
        <v>-76.722333329999998</v>
      </c>
      <c r="AL627">
        <v>3.476988333</v>
      </c>
      <c r="AM627">
        <v>50</v>
      </c>
      <c r="AN627">
        <v>0</v>
      </c>
      <c r="AO627">
        <v>13</v>
      </c>
      <c r="AP627" t="s">
        <v>441</v>
      </c>
      <c r="AQ627" t="s">
        <v>443</v>
      </c>
    </row>
    <row r="628" spans="1:43" x14ac:dyDescent="0.2">
      <c r="A628">
        <v>2020</v>
      </c>
      <c r="B628" t="s">
        <v>21</v>
      </c>
      <c r="C628" t="s">
        <v>22</v>
      </c>
      <c r="D628" t="s">
        <v>305</v>
      </c>
      <c r="E628" t="s">
        <v>111</v>
      </c>
      <c r="F628" s="4">
        <v>44153</v>
      </c>
      <c r="G628" s="6">
        <v>0.82197916666666671</v>
      </c>
      <c r="H628">
        <v>-76.722279999999998</v>
      </c>
      <c r="I628">
        <v>3.4769066670000002</v>
      </c>
      <c r="J628">
        <v>5</v>
      </c>
      <c r="K628" t="s">
        <v>119</v>
      </c>
      <c r="L628" t="s">
        <v>457</v>
      </c>
      <c r="M628">
        <v>2105</v>
      </c>
      <c r="N628" t="b">
        <v>1</v>
      </c>
      <c r="P628">
        <f t="shared" si="0"/>
        <v>14</v>
      </c>
      <c r="Q628">
        <f t="shared" si="1"/>
        <v>0</v>
      </c>
      <c r="R628">
        <f t="shared" si="2"/>
        <v>35</v>
      </c>
      <c r="S628" t="s">
        <v>458</v>
      </c>
      <c r="T628" t="s">
        <v>258</v>
      </c>
      <c r="V628" t="s">
        <v>2</v>
      </c>
      <c r="X628">
        <v>1</v>
      </c>
      <c r="AE628" t="s">
        <v>460</v>
      </c>
      <c r="AF628">
        <v>-76.722213330000002</v>
      </c>
      <c r="AG628">
        <v>3.4767549999999998</v>
      </c>
      <c r="AH628">
        <v>20</v>
      </c>
      <c r="AI628">
        <v>0</v>
      </c>
      <c r="AJ628">
        <v>15</v>
      </c>
      <c r="AK628">
        <v>-76.722333329999998</v>
      </c>
      <c r="AL628">
        <v>3.476988333</v>
      </c>
      <c r="AM628">
        <v>50</v>
      </c>
      <c r="AN628">
        <v>0</v>
      </c>
      <c r="AO628">
        <v>13</v>
      </c>
      <c r="AP628" t="s">
        <v>441</v>
      </c>
      <c r="AQ628" t="s">
        <v>443</v>
      </c>
    </row>
    <row r="629" spans="1:43" x14ac:dyDescent="0.2">
      <c r="A629">
        <v>2020</v>
      </c>
      <c r="B629" t="s">
        <v>21</v>
      </c>
      <c r="C629" t="s">
        <v>22</v>
      </c>
      <c r="D629" t="s">
        <v>305</v>
      </c>
      <c r="E629" t="s">
        <v>111</v>
      </c>
      <c r="F629" s="4">
        <v>44153</v>
      </c>
      <c r="G629" s="6">
        <v>0.82197916666666671</v>
      </c>
      <c r="H629">
        <v>-76.722279999999998</v>
      </c>
      <c r="I629">
        <v>3.4769066670000002</v>
      </c>
      <c r="J629">
        <v>5</v>
      </c>
      <c r="K629" t="s">
        <v>119</v>
      </c>
      <c r="L629" t="s">
        <v>457</v>
      </c>
      <c r="M629">
        <v>2105</v>
      </c>
      <c r="N629" t="b">
        <v>1</v>
      </c>
      <c r="P629">
        <f t="shared" si="0"/>
        <v>14</v>
      </c>
      <c r="Q629">
        <f t="shared" si="1"/>
        <v>0</v>
      </c>
      <c r="R629">
        <f t="shared" si="2"/>
        <v>35</v>
      </c>
      <c r="S629" t="s">
        <v>442</v>
      </c>
      <c r="T629" t="s">
        <v>258</v>
      </c>
      <c r="V629" t="s">
        <v>8</v>
      </c>
      <c r="X629">
        <v>1</v>
      </c>
      <c r="AE629" t="s">
        <v>460</v>
      </c>
      <c r="AF629">
        <v>-76.722213330000002</v>
      </c>
      <c r="AG629">
        <v>3.4767549999999998</v>
      </c>
      <c r="AH629">
        <v>20</v>
      </c>
      <c r="AI629">
        <v>0</v>
      </c>
      <c r="AJ629">
        <v>15</v>
      </c>
      <c r="AK629">
        <v>-76.722333329999998</v>
      </c>
      <c r="AL629">
        <v>3.476988333</v>
      </c>
      <c r="AM629">
        <v>50</v>
      </c>
      <c r="AN629">
        <v>0</v>
      </c>
      <c r="AO629">
        <v>13</v>
      </c>
      <c r="AP629" t="s">
        <v>441</v>
      </c>
      <c r="AQ629" t="s">
        <v>443</v>
      </c>
    </row>
    <row r="630" spans="1:43" x14ac:dyDescent="0.2">
      <c r="A630">
        <v>2020</v>
      </c>
      <c r="B630" t="s">
        <v>21</v>
      </c>
      <c r="C630" t="s">
        <v>22</v>
      </c>
      <c r="D630" t="s">
        <v>305</v>
      </c>
      <c r="E630" t="s">
        <v>111</v>
      </c>
      <c r="F630" s="4">
        <v>44153</v>
      </c>
      <c r="G630" s="6">
        <v>0.82197916666666671</v>
      </c>
      <c r="H630">
        <v>-76.722279999999998</v>
      </c>
      <c r="I630">
        <v>3.4769066670000002</v>
      </c>
      <c r="J630">
        <v>5</v>
      </c>
      <c r="K630" t="s">
        <v>112</v>
      </c>
      <c r="L630" t="s">
        <v>457</v>
      </c>
      <c r="M630">
        <v>2105</v>
      </c>
      <c r="N630" t="b">
        <v>1</v>
      </c>
      <c r="P630">
        <f t="shared" si="0"/>
        <v>14</v>
      </c>
      <c r="Q630">
        <f t="shared" si="1"/>
        <v>0</v>
      </c>
      <c r="R630">
        <f t="shared" si="2"/>
        <v>35</v>
      </c>
      <c r="S630" t="s">
        <v>442</v>
      </c>
      <c r="T630" t="s">
        <v>258</v>
      </c>
      <c r="V630" t="s">
        <v>8</v>
      </c>
      <c r="X630">
        <v>1</v>
      </c>
      <c r="AE630" t="s">
        <v>460</v>
      </c>
      <c r="AF630">
        <v>-76.722213330000002</v>
      </c>
      <c r="AG630">
        <v>3.4767549999999998</v>
      </c>
      <c r="AH630">
        <v>20</v>
      </c>
      <c r="AI630">
        <v>0</v>
      </c>
      <c r="AJ630">
        <v>15</v>
      </c>
      <c r="AK630">
        <v>-76.722333329999998</v>
      </c>
      <c r="AL630">
        <v>3.476988333</v>
      </c>
      <c r="AM630">
        <v>50</v>
      </c>
      <c r="AN630">
        <v>0</v>
      </c>
      <c r="AO630">
        <v>13</v>
      </c>
      <c r="AP630" t="s">
        <v>441</v>
      </c>
      <c r="AQ630" t="s">
        <v>443</v>
      </c>
    </row>
    <row r="631" spans="1:43" x14ac:dyDescent="0.2">
      <c r="A631">
        <v>2020</v>
      </c>
      <c r="B631" t="s">
        <v>21</v>
      </c>
      <c r="C631" t="s">
        <v>22</v>
      </c>
      <c r="D631" t="s">
        <v>305</v>
      </c>
      <c r="E631" t="s">
        <v>111</v>
      </c>
      <c r="F631" s="4">
        <v>44153</v>
      </c>
      <c r="G631" s="6">
        <v>0.80571759259259257</v>
      </c>
      <c r="H631">
        <v>-76.722196670000002</v>
      </c>
      <c r="I631">
        <v>3.4768633329999998</v>
      </c>
      <c r="J631">
        <v>5</v>
      </c>
      <c r="K631" t="s">
        <v>112</v>
      </c>
      <c r="L631" t="s">
        <v>457</v>
      </c>
      <c r="M631">
        <v>2114</v>
      </c>
      <c r="N631" t="b">
        <v>1</v>
      </c>
      <c r="P631">
        <f t="shared" si="0"/>
        <v>14</v>
      </c>
      <c r="Q631">
        <f t="shared" si="1"/>
        <v>0</v>
      </c>
      <c r="R631">
        <f t="shared" si="2"/>
        <v>35</v>
      </c>
      <c r="S631" t="s">
        <v>458</v>
      </c>
      <c r="T631" t="s">
        <v>258</v>
      </c>
      <c r="V631" t="s">
        <v>56</v>
      </c>
      <c r="X631">
        <v>1</v>
      </c>
      <c r="AE631" t="s">
        <v>460</v>
      </c>
      <c r="AF631">
        <v>-76.722213330000002</v>
      </c>
      <c r="AG631">
        <v>3.4767549999999998</v>
      </c>
      <c r="AH631">
        <v>20</v>
      </c>
      <c r="AI631">
        <v>0</v>
      </c>
      <c r="AJ631">
        <v>15</v>
      </c>
      <c r="AK631">
        <v>-76.722333329999998</v>
      </c>
      <c r="AL631">
        <v>3.476988333</v>
      </c>
      <c r="AM631">
        <v>50</v>
      </c>
      <c r="AN631">
        <v>0</v>
      </c>
      <c r="AO631">
        <v>13</v>
      </c>
      <c r="AP631" t="s">
        <v>441</v>
      </c>
      <c r="AQ631" t="s">
        <v>443</v>
      </c>
    </row>
    <row r="632" spans="1:43" x14ac:dyDescent="0.2">
      <c r="A632">
        <v>2020</v>
      </c>
      <c r="B632" t="s">
        <v>21</v>
      </c>
      <c r="C632" t="s">
        <v>22</v>
      </c>
      <c r="D632" t="s">
        <v>305</v>
      </c>
      <c r="E632" t="s">
        <v>111</v>
      </c>
      <c r="F632" s="4">
        <v>44153</v>
      </c>
      <c r="G632" s="6">
        <v>0.81738425925925928</v>
      </c>
      <c r="H632">
        <v>-76.722184999999996</v>
      </c>
      <c r="I632">
        <v>3.4768883330000002</v>
      </c>
      <c r="J632">
        <v>5</v>
      </c>
      <c r="K632" t="s">
        <v>119</v>
      </c>
      <c r="L632" t="s">
        <v>120</v>
      </c>
      <c r="M632">
        <v>2110</v>
      </c>
      <c r="N632" t="b">
        <v>1</v>
      </c>
      <c r="P632">
        <f t="shared" si="0"/>
        <v>14</v>
      </c>
      <c r="Q632">
        <f t="shared" si="1"/>
        <v>0</v>
      </c>
      <c r="R632">
        <f t="shared" si="2"/>
        <v>35</v>
      </c>
      <c r="S632" t="s">
        <v>442</v>
      </c>
      <c r="T632" t="s">
        <v>258</v>
      </c>
      <c r="V632" t="s">
        <v>2</v>
      </c>
      <c r="X632">
        <v>1</v>
      </c>
      <c r="AE632" t="s">
        <v>460</v>
      </c>
      <c r="AF632">
        <v>-76.722213330000002</v>
      </c>
      <c r="AG632">
        <v>3.4767549999999998</v>
      </c>
      <c r="AH632">
        <v>20</v>
      </c>
      <c r="AI632">
        <v>0</v>
      </c>
      <c r="AJ632">
        <v>15</v>
      </c>
      <c r="AK632">
        <v>-76.722333329999998</v>
      </c>
      <c r="AL632">
        <v>3.476988333</v>
      </c>
      <c r="AM632">
        <v>50</v>
      </c>
      <c r="AN632">
        <v>0</v>
      </c>
      <c r="AO632">
        <v>13</v>
      </c>
      <c r="AP632" t="s">
        <v>441</v>
      </c>
      <c r="AQ632" t="s">
        <v>443</v>
      </c>
    </row>
    <row r="633" spans="1:43" x14ac:dyDescent="0.2">
      <c r="A633">
        <v>2020</v>
      </c>
      <c r="B633" t="s">
        <v>21</v>
      </c>
      <c r="C633" t="s">
        <v>22</v>
      </c>
      <c r="D633" t="s">
        <v>305</v>
      </c>
      <c r="E633" t="s">
        <v>111</v>
      </c>
      <c r="F633" s="4">
        <v>44153</v>
      </c>
      <c r="G633" s="6">
        <v>0.81738425925925928</v>
      </c>
      <c r="H633">
        <v>-76.722184999999996</v>
      </c>
      <c r="I633">
        <v>3.4768883330000002</v>
      </c>
      <c r="J633">
        <v>5</v>
      </c>
      <c r="K633" t="s">
        <v>119</v>
      </c>
      <c r="L633" t="s">
        <v>457</v>
      </c>
      <c r="M633">
        <v>2114</v>
      </c>
      <c r="N633" t="b">
        <v>1</v>
      </c>
      <c r="P633">
        <f t="shared" si="0"/>
        <v>14</v>
      </c>
      <c r="Q633">
        <f t="shared" si="1"/>
        <v>0</v>
      </c>
      <c r="R633">
        <f t="shared" si="2"/>
        <v>35</v>
      </c>
      <c r="S633" t="s">
        <v>442</v>
      </c>
      <c r="T633" t="s">
        <v>258</v>
      </c>
      <c r="V633" t="s">
        <v>41</v>
      </c>
      <c r="X633">
        <v>1</v>
      </c>
      <c r="AE633" t="s">
        <v>460</v>
      </c>
      <c r="AF633">
        <v>-76.722213330000002</v>
      </c>
      <c r="AG633">
        <v>3.4767549999999998</v>
      </c>
      <c r="AH633">
        <v>20</v>
      </c>
      <c r="AI633">
        <v>0</v>
      </c>
      <c r="AJ633">
        <v>15</v>
      </c>
      <c r="AK633">
        <v>-76.722333329999998</v>
      </c>
      <c r="AL633">
        <v>3.476988333</v>
      </c>
      <c r="AM633">
        <v>50</v>
      </c>
      <c r="AN633">
        <v>0</v>
      </c>
      <c r="AO633">
        <v>13</v>
      </c>
      <c r="AP633" t="s">
        <v>441</v>
      </c>
      <c r="AQ633" t="s">
        <v>443</v>
      </c>
    </row>
    <row r="634" spans="1:43" x14ac:dyDescent="0.2">
      <c r="A634">
        <v>2020</v>
      </c>
      <c r="B634" t="s">
        <v>21</v>
      </c>
      <c r="C634" t="s">
        <v>22</v>
      </c>
      <c r="D634" t="s">
        <v>305</v>
      </c>
      <c r="E634" t="s">
        <v>111</v>
      </c>
      <c r="F634" s="4">
        <v>44153</v>
      </c>
      <c r="G634" s="6">
        <v>0.83194444444444449</v>
      </c>
      <c r="H634">
        <v>-76.722269999999995</v>
      </c>
      <c r="I634">
        <v>3.476918333</v>
      </c>
      <c r="J634">
        <v>5</v>
      </c>
      <c r="K634" t="s">
        <v>119</v>
      </c>
      <c r="L634" t="s">
        <v>457</v>
      </c>
      <c r="M634">
        <v>2109</v>
      </c>
      <c r="N634" t="b">
        <v>1</v>
      </c>
      <c r="P634">
        <f t="shared" si="0"/>
        <v>14</v>
      </c>
      <c r="Q634">
        <f t="shared" si="1"/>
        <v>0</v>
      </c>
      <c r="R634">
        <f t="shared" si="2"/>
        <v>35</v>
      </c>
      <c r="S634" t="s">
        <v>318</v>
      </c>
      <c r="T634" t="s">
        <v>258</v>
      </c>
      <c r="V634" t="s">
        <v>4</v>
      </c>
      <c r="X634">
        <v>1</v>
      </c>
      <c r="AE634" t="s">
        <v>460</v>
      </c>
      <c r="AF634">
        <v>-76.722213330000002</v>
      </c>
      <c r="AG634">
        <v>3.4767549999999998</v>
      </c>
      <c r="AH634">
        <v>20</v>
      </c>
      <c r="AI634">
        <v>0</v>
      </c>
      <c r="AJ634">
        <v>15</v>
      </c>
      <c r="AK634">
        <v>-76.722333329999998</v>
      </c>
      <c r="AL634">
        <v>3.476988333</v>
      </c>
      <c r="AM634">
        <v>50</v>
      </c>
      <c r="AN634">
        <v>0</v>
      </c>
      <c r="AO634">
        <v>13</v>
      </c>
      <c r="AP634" t="s">
        <v>450</v>
      </c>
      <c r="AQ634" t="s">
        <v>443</v>
      </c>
    </row>
    <row r="635" spans="1:43" x14ac:dyDescent="0.2">
      <c r="A635">
        <v>2020</v>
      </c>
      <c r="B635" t="s">
        <v>21</v>
      </c>
      <c r="C635" t="s">
        <v>22</v>
      </c>
      <c r="D635" t="s">
        <v>211</v>
      </c>
      <c r="E635" t="s">
        <v>135</v>
      </c>
      <c r="F635" s="4">
        <v>44153</v>
      </c>
      <c r="G635" s="6">
        <v>0.96457175925925931</v>
      </c>
      <c r="H635">
        <v>-76.723043329999996</v>
      </c>
      <c r="I635">
        <v>3.4794166670000002</v>
      </c>
      <c r="J635">
        <v>5</v>
      </c>
      <c r="K635" t="s">
        <v>119</v>
      </c>
      <c r="L635" t="s">
        <v>457</v>
      </c>
      <c r="M635">
        <v>2077</v>
      </c>
      <c r="N635" t="b">
        <v>1</v>
      </c>
      <c r="P635">
        <f t="shared" si="0"/>
        <v>22.5</v>
      </c>
      <c r="Q635">
        <f t="shared" si="1"/>
        <v>0</v>
      </c>
      <c r="R635">
        <f t="shared" si="2"/>
        <v>15</v>
      </c>
      <c r="S635" t="s">
        <v>442</v>
      </c>
      <c r="T635" t="s">
        <v>258</v>
      </c>
      <c r="V635" t="s">
        <v>8</v>
      </c>
      <c r="X635">
        <v>1</v>
      </c>
      <c r="AE635" t="s">
        <v>444</v>
      </c>
      <c r="AF635">
        <v>-76.722980000000007</v>
      </c>
      <c r="AG635">
        <v>3.4791333330000001</v>
      </c>
      <c r="AH635">
        <v>15</v>
      </c>
      <c r="AI635">
        <v>0</v>
      </c>
      <c r="AJ635">
        <v>25</v>
      </c>
      <c r="AK635">
        <v>-76.723246669999995</v>
      </c>
      <c r="AL635">
        <v>3.4801549999999999</v>
      </c>
      <c r="AM635">
        <v>15</v>
      </c>
      <c r="AN635">
        <v>0</v>
      </c>
      <c r="AO635">
        <v>20</v>
      </c>
      <c r="AP635" t="s">
        <v>441</v>
      </c>
      <c r="AQ635" t="s">
        <v>443</v>
      </c>
    </row>
    <row r="636" spans="1:43" x14ac:dyDescent="0.2">
      <c r="A636">
        <v>2020</v>
      </c>
      <c r="B636" t="s">
        <v>21</v>
      </c>
      <c r="C636" t="s">
        <v>22</v>
      </c>
      <c r="D636" t="s">
        <v>211</v>
      </c>
      <c r="E636" t="s">
        <v>135</v>
      </c>
      <c r="F636" s="4">
        <v>44153</v>
      </c>
      <c r="G636" s="6">
        <v>0.98133101851851856</v>
      </c>
      <c r="H636">
        <v>-76.723123330000007</v>
      </c>
      <c r="I636">
        <v>3.4800849999999999</v>
      </c>
      <c r="J636">
        <v>5</v>
      </c>
      <c r="K636" t="s">
        <v>119</v>
      </c>
      <c r="L636" t="s">
        <v>457</v>
      </c>
      <c r="M636">
        <v>2060</v>
      </c>
      <c r="N636" t="b">
        <v>1</v>
      </c>
      <c r="P636">
        <f t="shared" si="0"/>
        <v>22.5</v>
      </c>
      <c r="Q636">
        <f t="shared" si="1"/>
        <v>0</v>
      </c>
      <c r="R636">
        <f t="shared" si="2"/>
        <v>15</v>
      </c>
      <c r="S636" t="s">
        <v>442</v>
      </c>
      <c r="T636" t="s">
        <v>258</v>
      </c>
      <c r="V636" t="s">
        <v>8</v>
      </c>
      <c r="X636">
        <v>1</v>
      </c>
      <c r="AE636" t="s">
        <v>444</v>
      </c>
      <c r="AF636">
        <v>-76.722980000000007</v>
      </c>
      <c r="AG636">
        <v>3.4791333330000001</v>
      </c>
      <c r="AH636">
        <v>15</v>
      </c>
      <c r="AI636">
        <v>0</v>
      </c>
      <c r="AJ636">
        <v>25</v>
      </c>
      <c r="AK636">
        <v>-76.723246669999995</v>
      </c>
      <c r="AL636">
        <v>3.4801549999999999</v>
      </c>
      <c r="AM636">
        <v>15</v>
      </c>
      <c r="AN636">
        <v>0</v>
      </c>
      <c r="AO636">
        <v>20</v>
      </c>
      <c r="AP636" t="s">
        <v>441</v>
      </c>
      <c r="AQ636" t="s">
        <v>443</v>
      </c>
    </row>
    <row r="637" spans="1:43" x14ac:dyDescent="0.2">
      <c r="A637">
        <v>2020</v>
      </c>
      <c r="B637" t="s">
        <v>21</v>
      </c>
      <c r="C637" t="s">
        <v>22</v>
      </c>
      <c r="D637" t="s">
        <v>211</v>
      </c>
      <c r="E637" t="s">
        <v>135</v>
      </c>
      <c r="F637" s="4">
        <v>44153</v>
      </c>
      <c r="G637" s="6">
        <v>0.95814814814814819</v>
      </c>
      <c r="H637">
        <v>-76.723043329999996</v>
      </c>
      <c r="I637">
        <v>3.4794049999999999</v>
      </c>
      <c r="J637">
        <v>5</v>
      </c>
      <c r="K637" t="s">
        <v>119</v>
      </c>
      <c r="L637" t="s">
        <v>120</v>
      </c>
      <c r="M637">
        <v>2070</v>
      </c>
      <c r="N637" t="b">
        <v>1</v>
      </c>
      <c r="P637">
        <f t="shared" si="0"/>
        <v>22.5</v>
      </c>
      <c r="Q637">
        <f t="shared" si="1"/>
        <v>0</v>
      </c>
      <c r="R637">
        <f t="shared" si="2"/>
        <v>15</v>
      </c>
      <c r="S637" t="s">
        <v>442</v>
      </c>
      <c r="T637" t="s">
        <v>258</v>
      </c>
      <c r="V637" t="s">
        <v>65</v>
      </c>
      <c r="X637">
        <v>1</v>
      </c>
      <c r="AE637" t="s">
        <v>444</v>
      </c>
      <c r="AF637">
        <v>-76.722980000000007</v>
      </c>
      <c r="AG637">
        <v>3.4791333330000001</v>
      </c>
      <c r="AH637">
        <v>15</v>
      </c>
      <c r="AI637">
        <v>0</v>
      </c>
      <c r="AJ637">
        <v>25</v>
      </c>
      <c r="AK637">
        <v>-76.723246669999995</v>
      </c>
      <c r="AL637">
        <v>3.4801549999999999</v>
      </c>
      <c r="AM637">
        <v>15</v>
      </c>
      <c r="AN637">
        <v>0</v>
      </c>
      <c r="AO637">
        <v>20</v>
      </c>
      <c r="AP637" t="s">
        <v>441</v>
      </c>
      <c r="AQ637" t="s">
        <v>443</v>
      </c>
    </row>
    <row r="638" spans="1:43" x14ac:dyDescent="0.2">
      <c r="A638">
        <v>2020</v>
      </c>
      <c r="B638" t="s">
        <v>21</v>
      </c>
      <c r="C638" t="s">
        <v>22</v>
      </c>
      <c r="D638" t="s">
        <v>211</v>
      </c>
      <c r="E638" t="s">
        <v>135</v>
      </c>
      <c r="F638" s="4">
        <v>44153</v>
      </c>
      <c r="G638" s="6">
        <v>0.97012731481481485</v>
      </c>
      <c r="H638">
        <v>-76.723091670000002</v>
      </c>
      <c r="I638">
        <v>3.4795400000000001</v>
      </c>
      <c r="J638">
        <v>5</v>
      </c>
      <c r="K638" t="s">
        <v>112</v>
      </c>
      <c r="L638" t="s">
        <v>457</v>
      </c>
      <c r="M638">
        <v>2069</v>
      </c>
      <c r="N638" t="b">
        <v>1</v>
      </c>
      <c r="P638">
        <f t="shared" si="0"/>
        <v>22.5</v>
      </c>
      <c r="Q638">
        <f t="shared" si="1"/>
        <v>0</v>
      </c>
      <c r="R638">
        <f t="shared" si="2"/>
        <v>15</v>
      </c>
      <c r="S638" t="s">
        <v>442</v>
      </c>
      <c r="T638" t="s">
        <v>258</v>
      </c>
      <c r="V638" t="s">
        <v>8</v>
      </c>
      <c r="X638">
        <v>1</v>
      </c>
      <c r="AE638" t="s">
        <v>444</v>
      </c>
      <c r="AF638">
        <v>-76.722980000000007</v>
      </c>
      <c r="AG638">
        <v>3.4791333330000001</v>
      </c>
      <c r="AH638">
        <v>15</v>
      </c>
      <c r="AI638">
        <v>0</v>
      </c>
      <c r="AJ638">
        <v>25</v>
      </c>
      <c r="AK638">
        <v>-76.723246669999995</v>
      </c>
      <c r="AL638">
        <v>3.4801549999999999</v>
      </c>
      <c r="AM638">
        <v>15</v>
      </c>
      <c r="AN638">
        <v>0</v>
      </c>
      <c r="AO638">
        <v>20</v>
      </c>
      <c r="AP638" t="s">
        <v>441</v>
      </c>
      <c r="AQ638" t="s">
        <v>443</v>
      </c>
    </row>
    <row r="639" spans="1:43" x14ac:dyDescent="0.2">
      <c r="A639">
        <v>2020</v>
      </c>
      <c r="B639" t="s">
        <v>21</v>
      </c>
      <c r="C639" t="s">
        <v>22</v>
      </c>
      <c r="D639" t="s">
        <v>211</v>
      </c>
      <c r="E639" t="s">
        <v>135</v>
      </c>
      <c r="F639" s="4">
        <v>44153</v>
      </c>
      <c r="G639" s="6">
        <v>0.97645833333333332</v>
      </c>
      <c r="H639">
        <v>-76.723155000000006</v>
      </c>
      <c r="I639">
        <v>3.4798433329999998</v>
      </c>
      <c r="J639">
        <v>5</v>
      </c>
      <c r="K639" t="s">
        <v>119</v>
      </c>
      <c r="L639" t="s">
        <v>120</v>
      </c>
      <c r="M639">
        <v>2078</v>
      </c>
      <c r="N639" t="b">
        <v>1</v>
      </c>
      <c r="P639">
        <f t="shared" si="0"/>
        <v>22.5</v>
      </c>
      <c r="Q639">
        <f t="shared" si="1"/>
        <v>0</v>
      </c>
      <c r="R639">
        <f t="shared" si="2"/>
        <v>15</v>
      </c>
      <c r="S639" t="s">
        <v>442</v>
      </c>
      <c r="T639" t="s">
        <v>258</v>
      </c>
      <c r="V639" t="s">
        <v>8</v>
      </c>
      <c r="X639">
        <v>1</v>
      </c>
      <c r="AE639" t="s">
        <v>444</v>
      </c>
      <c r="AF639">
        <v>-76.722980000000007</v>
      </c>
      <c r="AG639">
        <v>3.4791333330000001</v>
      </c>
      <c r="AH639">
        <v>15</v>
      </c>
      <c r="AI639">
        <v>0</v>
      </c>
      <c r="AJ639">
        <v>25</v>
      </c>
      <c r="AK639">
        <v>-76.723246669999995</v>
      </c>
      <c r="AL639">
        <v>3.4801549999999999</v>
      </c>
      <c r="AM639">
        <v>15</v>
      </c>
      <c r="AN639">
        <v>0</v>
      </c>
      <c r="AO639">
        <v>20</v>
      </c>
      <c r="AP639" t="s">
        <v>441</v>
      </c>
      <c r="AQ639" t="s">
        <v>443</v>
      </c>
    </row>
    <row r="640" spans="1:43" x14ac:dyDescent="0.2">
      <c r="A640">
        <v>2020</v>
      </c>
      <c r="B640" t="s">
        <v>21</v>
      </c>
      <c r="C640" t="s">
        <v>22</v>
      </c>
      <c r="D640" t="s">
        <v>211</v>
      </c>
      <c r="E640" t="s">
        <v>135</v>
      </c>
      <c r="F640" s="4">
        <v>44153</v>
      </c>
      <c r="G640" s="6">
        <v>0.95377314814814818</v>
      </c>
      <c r="H640">
        <v>-76.722926670000007</v>
      </c>
      <c r="I640">
        <v>3.4791316669999999</v>
      </c>
      <c r="J640">
        <v>5</v>
      </c>
      <c r="K640" t="s">
        <v>112</v>
      </c>
      <c r="L640" t="s">
        <v>113</v>
      </c>
      <c r="M640">
        <v>2088</v>
      </c>
      <c r="N640" t="b">
        <v>1</v>
      </c>
      <c r="P640">
        <f t="shared" si="0"/>
        <v>22.5</v>
      </c>
      <c r="Q640">
        <f t="shared" si="1"/>
        <v>0</v>
      </c>
      <c r="R640">
        <f t="shared" si="2"/>
        <v>15</v>
      </c>
      <c r="S640" t="s">
        <v>442</v>
      </c>
      <c r="T640" t="s">
        <v>258</v>
      </c>
      <c r="V640" t="s">
        <v>8</v>
      </c>
      <c r="X640">
        <v>1</v>
      </c>
      <c r="AE640" t="s">
        <v>444</v>
      </c>
      <c r="AF640">
        <v>-76.722980000000007</v>
      </c>
      <c r="AG640">
        <v>3.4791333330000001</v>
      </c>
      <c r="AH640">
        <v>15</v>
      </c>
      <c r="AI640">
        <v>0</v>
      </c>
      <c r="AJ640">
        <v>25</v>
      </c>
      <c r="AK640">
        <v>-76.723246669999995</v>
      </c>
      <c r="AL640">
        <v>3.4801549999999999</v>
      </c>
      <c r="AM640">
        <v>15</v>
      </c>
      <c r="AN640">
        <v>0</v>
      </c>
      <c r="AO640">
        <v>20</v>
      </c>
      <c r="AP640" t="s">
        <v>441</v>
      </c>
      <c r="AQ640" t="s">
        <v>443</v>
      </c>
    </row>
    <row r="641" spans="1:43" x14ac:dyDescent="0.2">
      <c r="A641">
        <v>2020</v>
      </c>
      <c r="B641" t="s">
        <v>21</v>
      </c>
      <c r="C641" t="s">
        <v>22</v>
      </c>
      <c r="D641" t="s">
        <v>211</v>
      </c>
      <c r="E641" t="s">
        <v>135</v>
      </c>
      <c r="F641" s="4">
        <v>44153</v>
      </c>
      <c r="G641" s="6">
        <v>0.96891203703703699</v>
      </c>
      <c r="H641">
        <v>-76.723053329999999</v>
      </c>
      <c r="I641">
        <v>3.4795349999999998</v>
      </c>
      <c r="J641">
        <v>5</v>
      </c>
      <c r="K641" t="s">
        <v>119</v>
      </c>
      <c r="L641" t="s">
        <v>457</v>
      </c>
      <c r="M641">
        <v>2079</v>
      </c>
      <c r="N641" t="b">
        <v>1</v>
      </c>
      <c r="P641">
        <f t="shared" si="0"/>
        <v>22.5</v>
      </c>
      <c r="Q641">
        <f t="shared" si="1"/>
        <v>0</v>
      </c>
      <c r="R641">
        <f t="shared" si="2"/>
        <v>15</v>
      </c>
      <c r="S641" t="s">
        <v>442</v>
      </c>
      <c r="T641" t="s">
        <v>258</v>
      </c>
      <c r="V641" t="s">
        <v>8</v>
      </c>
      <c r="X641">
        <v>1</v>
      </c>
      <c r="AE641" t="s">
        <v>444</v>
      </c>
      <c r="AF641">
        <v>-76.722980000000007</v>
      </c>
      <c r="AG641">
        <v>3.4791333330000001</v>
      </c>
      <c r="AH641">
        <v>15</v>
      </c>
      <c r="AI641">
        <v>0</v>
      </c>
      <c r="AJ641">
        <v>25</v>
      </c>
      <c r="AK641">
        <v>-76.723246669999995</v>
      </c>
      <c r="AL641">
        <v>3.4801549999999999</v>
      </c>
      <c r="AM641">
        <v>15</v>
      </c>
      <c r="AN641">
        <v>0</v>
      </c>
      <c r="AO641">
        <v>20</v>
      </c>
      <c r="AP641" t="s">
        <v>441</v>
      </c>
      <c r="AQ641" t="s">
        <v>443</v>
      </c>
    </row>
    <row r="642" spans="1:43" x14ac:dyDescent="0.2">
      <c r="A642">
        <v>2020</v>
      </c>
      <c r="B642" t="s">
        <v>21</v>
      </c>
      <c r="C642" t="s">
        <v>22</v>
      </c>
      <c r="D642" t="s">
        <v>211</v>
      </c>
      <c r="E642" t="s">
        <v>135</v>
      </c>
      <c r="F642" s="4">
        <v>44153</v>
      </c>
      <c r="G642" s="6">
        <v>0.97834490740740743</v>
      </c>
      <c r="H642">
        <v>-76.723256669999998</v>
      </c>
      <c r="I642">
        <v>3.4799183330000001</v>
      </c>
      <c r="J642">
        <v>5</v>
      </c>
      <c r="K642" t="s">
        <v>119</v>
      </c>
      <c r="L642" t="s">
        <v>457</v>
      </c>
      <c r="M642">
        <v>2074</v>
      </c>
      <c r="N642" t="b">
        <v>1</v>
      </c>
      <c r="P642">
        <f t="shared" si="0"/>
        <v>22.5</v>
      </c>
      <c r="Q642">
        <f t="shared" si="1"/>
        <v>0</v>
      </c>
      <c r="R642">
        <f t="shared" si="2"/>
        <v>15</v>
      </c>
      <c r="S642" t="s">
        <v>442</v>
      </c>
      <c r="T642" t="s">
        <v>258</v>
      </c>
      <c r="V642" t="s">
        <v>8</v>
      </c>
      <c r="X642">
        <v>1</v>
      </c>
      <c r="AE642" t="s">
        <v>444</v>
      </c>
      <c r="AF642">
        <v>-76.722980000000007</v>
      </c>
      <c r="AG642">
        <v>3.4791333330000001</v>
      </c>
      <c r="AH642">
        <v>15</v>
      </c>
      <c r="AI642">
        <v>0</v>
      </c>
      <c r="AJ642">
        <v>25</v>
      </c>
      <c r="AK642">
        <v>-76.723246669999995</v>
      </c>
      <c r="AL642">
        <v>3.4801549999999999</v>
      </c>
      <c r="AM642">
        <v>15</v>
      </c>
      <c r="AN642">
        <v>0</v>
      </c>
      <c r="AO642">
        <v>20</v>
      </c>
      <c r="AP642" t="s">
        <v>441</v>
      </c>
      <c r="AQ642" t="s">
        <v>443</v>
      </c>
    </row>
    <row r="643" spans="1:43" x14ac:dyDescent="0.2">
      <c r="A643">
        <v>2020</v>
      </c>
      <c r="B643" t="s">
        <v>21</v>
      </c>
      <c r="C643" t="s">
        <v>22</v>
      </c>
      <c r="D643" t="s">
        <v>211</v>
      </c>
      <c r="E643" t="s">
        <v>135</v>
      </c>
      <c r="F643" s="4">
        <v>44153</v>
      </c>
      <c r="G643" s="6">
        <v>0.95597222222222222</v>
      </c>
      <c r="H643">
        <v>-76.723026669999996</v>
      </c>
      <c r="I643">
        <v>3.4793766669999999</v>
      </c>
      <c r="J643">
        <v>5</v>
      </c>
      <c r="K643" t="s">
        <v>119</v>
      </c>
      <c r="L643" t="s">
        <v>457</v>
      </c>
      <c r="M643">
        <v>2077</v>
      </c>
      <c r="N643" t="b">
        <v>1</v>
      </c>
      <c r="P643">
        <f t="shared" si="0"/>
        <v>22.5</v>
      </c>
      <c r="Q643">
        <f t="shared" si="1"/>
        <v>0</v>
      </c>
      <c r="R643">
        <f t="shared" si="2"/>
        <v>15</v>
      </c>
      <c r="S643" t="s">
        <v>442</v>
      </c>
      <c r="T643" t="s">
        <v>258</v>
      </c>
      <c r="V643" t="s">
        <v>8</v>
      </c>
      <c r="X643">
        <v>2</v>
      </c>
      <c r="AE643" t="s">
        <v>444</v>
      </c>
      <c r="AF643">
        <v>-76.722980000000007</v>
      </c>
      <c r="AG643">
        <v>3.4791333330000001</v>
      </c>
      <c r="AH643">
        <v>15</v>
      </c>
      <c r="AI643">
        <v>0</v>
      </c>
      <c r="AJ643">
        <v>25</v>
      </c>
      <c r="AK643">
        <v>-76.723246669999995</v>
      </c>
      <c r="AL643">
        <v>3.4801549999999999</v>
      </c>
      <c r="AM643">
        <v>15</v>
      </c>
      <c r="AN643">
        <v>0</v>
      </c>
      <c r="AO643">
        <v>20</v>
      </c>
      <c r="AP643" t="s">
        <v>441</v>
      </c>
      <c r="AQ643" t="s">
        <v>443</v>
      </c>
    </row>
    <row r="644" spans="1:43" x14ac:dyDescent="0.2">
      <c r="A644">
        <v>2020</v>
      </c>
      <c r="B644" t="s">
        <v>21</v>
      </c>
      <c r="C644" t="s">
        <v>22</v>
      </c>
      <c r="D644" t="s">
        <v>211</v>
      </c>
      <c r="E644" t="s">
        <v>135</v>
      </c>
      <c r="F644" s="4">
        <v>44153</v>
      </c>
      <c r="G644" s="6">
        <v>0.95671296296296293</v>
      </c>
      <c r="H644">
        <v>-76.723021669999994</v>
      </c>
      <c r="I644">
        <v>3.4793099999999999</v>
      </c>
      <c r="J644">
        <v>5</v>
      </c>
      <c r="K644" t="s">
        <v>112</v>
      </c>
      <c r="L644" t="s">
        <v>120</v>
      </c>
      <c r="M644">
        <v>2077</v>
      </c>
      <c r="N644" t="b">
        <v>1</v>
      </c>
      <c r="P644">
        <f t="shared" si="0"/>
        <v>22.5</v>
      </c>
      <c r="Q644">
        <f t="shared" si="1"/>
        <v>0</v>
      </c>
      <c r="R644">
        <f t="shared" si="2"/>
        <v>15</v>
      </c>
      <c r="S644" t="s">
        <v>442</v>
      </c>
      <c r="T644" t="s">
        <v>258</v>
      </c>
      <c r="V644" t="s">
        <v>8</v>
      </c>
      <c r="X644">
        <v>1</v>
      </c>
      <c r="AE644" t="s">
        <v>444</v>
      </c>
      <c r="AF644">
        <v>-76.722980000000007</v>
      </c>
      <c r="AG644">
        <v>3.4791333330000001</v>
      </c>
      <c r="AH644">
        <v>15</v>
      </c>
      <c r="AI644">
        <v>0</v>
      </c>
      <c r="AJ644">
        <v>25</v>
      </c>
      <c r="AK644">
        <v>-76.723246669999995</v>
      </c>
      <c r="AL644">
        <v>3.4801549999999999</v>
      </c>
      <c r="AM644">
        <v>15</v>
      </c>
      <c r="AN644">
        <v>0</v>
      </c>
      <c r="AO644">
        <v>20</v>
      </c>
      <c r="AP644" t="s">
        <v>441</v>
      </c>
      <c r="AQ644" t="s">
        <v>443</v>
      </c>
    </row>
    <row r="645" spans="1:43" x14ac:dyDescent="0.2">
      <c r="A645">
        <v>2020</v>
      </c>
      <c r="B645" t="s">
        <v>10</v>
      </c>
      <c r="C645" t="s">
        <v>13</v>
      </c>
      <c r="D645" t="s">
        <v>179</v>
      </c>
      <c r="E645" t="s">
        <v>122</v>
      </c>
      <c r="F645" s="4">
        <v>44131</v>
      </c>
      <c r="G645" s="6">
        <v>0.95998842592592593</v>
      </c>
      <c r="H645">
        <v>-76.643095000000002</v>
      </c>
      <c r="I645">
        <v>3.3496233329999998</v>
      </c>
      <c r="J645">
        <v>5</v>
      </c>
      <c r="K645" t="s">
        <v>119</v>
      </c>
      <c r="L645" t="s">
        <v>113</v>
      </c>
      <c r="M645">
        <v>2421</v>
      </c>
      <c r="N645" t="b">
        <v>1</v>
      </c>
      <c r="P645">
        <f t="shared" si="0"/>
        <v>15</v>
      </c>
      <c r="Q645">
        <f t="shared" si="1"/>
        <v>0</v>
      </c>
      <c r="R645">
        <f t="shared" si="2"/>
        <v>75</v>
      </c>
      <c r="S645" t="s">
        <v>442</v>
      </c>
      <c r="T645" t="s">
        <v>258</v>
      </c>
      <c r="V645" t="s">
        <v>9</v>
      </c>
      <c r="X645">
        <v>1</v>
      </c>
      <c r="AF645">
        <v>-76.642939999999996</v>
      </c>
      <c r="AG645">
        <v>3.3491866670000001</v>
      </c>
      <c r="AH645">
        <v>60</v>
      </c>
      <c r="AI645">
        <v>0</v>
      </c>
      <c r="AJ645">
        <v>15</v>
      </c>
      <c r="AK645">
        <v>-76.643344999999997</v>
      </c>
      <c r="AL645">
        <v>3.3495666669999999</v>
      </c>
      <c r="AM645">
        <v>90</v>
      </c>
      <c r="AN645">
        <v>0</v>
      </c>
      <c r="AO645">
        <v>15</v>
      </c>
      <c r="AP645" t="s">
        <v>441</v>
      </c>
      <c r="AQ645" t="s">
        <v>443</v>
      </c>
    </row>
    <row r="646" spans="1:43" x14ac:dyDescent="0.2">
      <c r="A646">
        <v>2020</v>
      </c>
      <c r="B646" t="s">
        <v>10</v>
      </c>
      <c r="C646" t="s">
        <v>13</v>
      </c>
      <c r="D646" t="s">
        <v>179</v>
      </c>
      <c r="E646" t="s">
        <v>122</v>
      </c>
      <c r="F646" s="4">
        <v>44131</v>
      </c>
      <c r="G646" s="6">
        <v>0.95620370370370367</v>
      </c>
      <c r="H646">
        <v>-76.643034999999998</v>
      </c>
      <c r="I646">
        <v>3.3496266669999999</v>
      </c>
      <c r="J646">
        <v>5</v>
      </c>
      <c r="K646" t="s">
        <v>112</v>
      </c>
      <c r="L646" t="s">
        <v>113</v>
      </c>
      <c r="M646">
        <v>2419</v>
      </c>
      <c r="N646" t="b">
        <v>1</v>
      </c>
      <c r="P646">
        <f t="shared" si="0"/>
        <v>15</v>
      </c>
      <c r="Q646">
        <f t="shared" si="1"/>
        <v>0</v>
      </c>
      <c r="R646">
        <f t="shared" si="2"/>
        <v>75</v>
      </c>
      <c r="S646" t="s">
        <v>458</v>
      </c>
      <c r="T646" t="s">
        <v>258</v>
      </c>
      <c r="V646" t="s">
        <v>9</v>
      </c>
      <c r="X646">
        <v>1</v>
      </c>
      <c r="AF646">
        <v>-76.642939999999996</v>
      </c>
      <c r="AG646">
        <v>3.3491866670000001</v>
      </c>
      <c r="AH646">
        <v>60</v>
      </c>
      <c r="AI646">
        <v>0</v>
      </c>
      <c r="AJ646">
        <v>15</v>
      </c>
      <c r="AK646">
        <v>-76.643344999999997</v>
      </c>
      <c r="AL646">
        <v>3.3495666669999999</v>
      </c>
      <c r="AM646">
        <v>90</v>
      </c>
      <c r="AN646">
        <v>0</v>
      </c>
      <c r="AO646">
        <v>15</v>
      </c>
      <c r="AP646" t="s">
        <v>441</v>
      </c>
      <c r="AQ646" t="s">
        <v>443</v>
      </c>
    </row>
    <row r="647" spans="1:43" x14ac:dyDescent="0.2">
      <c r="A647">
        <v>2020</v>
      </c>
      <c r="B647" t="s">
        <v>10</v>
      </c>
      <c r="C647" t="s">
        <v>13</v>
      </c>
      <c r="D647" t="s">
        <v>179</v>
      </c>
      <c r="E647" t="s">
        <v>122</v>
      </c>
      <c r="F647" s="4">
        <v>44131</v>
      </c>
      <c r="G647" s="6">
        <v>0.95093749999999999</v>
      </c>
      <c r="H647">
        <v>-76.642876670000007</v>
      </c>
      <c r="I647">
        <v>3.3494649999999999</v>
      </c>
      <c r="J647">
        <v>5</v>
      </c>
      <c r="K647" t="s">
        <v>112</v>
      </c>
      <c r="L647" t="s">
        <v>455</v>
      </c>
      <c r="M647">
        <v>2408</v>
      </c>
      <c r="N647" t="b">
        <v>1</v>
      </c>
      <c r="P647">
        <f t="shared" si="0"/>
        <v>15</v>
      </c>
      <c r="Q647">
        <f t="shared" si="1"/>
        <v>0</v>
      </c>
      <c r="R647">
        <f t="shared" si="2"/>
        <v>75</v>
      </c>
      <c r="S647" t="s">
        <v>442</v>
      </c>
      <c r="T647" t="s">
        <v>258</v>
      </c>
      <c r="V647" t="s">
        <v>36</v>
      </c>
      <c r="X647">
        <v>1</v>
      </c>
      <c r="AF647">
        <v>-76.642939999999996</v>
      </c>
      <c r="AG647">
        <v>3.3491866670000001</v>
      </c>
      <c r="AH647">
        <v>60</v>
      </c>
      <c r="AI647">
        <v>0</v>
      </c>
      <c r="AJ647">
        <v>15</v>
      </c>
      <c r="AK647">
        <v>-76.643344999999997</v>
      </c>
      <c r="AL647">
        <v>3.3495666669999999</v>
      </c>
      <c r="AM647">
        <v>90</v>
      </c>
      <c r="AN647">
        <v>0</v>
      </c>
      <c r="AO647">
        <v>15</v>
      </c>
      <c r="AP647" t="s">
        <v>441</v>
      </c>
      <c r="AQ647" t="s">
        <v>443</v>
      </c>
    </row>
    <row r="648" spans="1:43" x14ac:dyDescent="0.2">
      <c r="A648">
        <v>2020</v>
      </c>
      <c r="B648" t="s">
        <v>10</v>
      </c>
      <c r="C648" t="s">
        <v>69</v>
      </c>
      <c r="D648" t="s">
        <v>461</v>
      </c>
      <c r="E648" t="s">
        <v>111</v>
      </c>
      <c r="F648" s="4">
        <v>44131</v>
      </c>
      <c r="G648" s="6">
        <v>0.89817129629629633</v>
      </c>
      <c r="H648">
        <v>-76.641498330000005</v>
      </c>
      <c r="I648">
        <v>3.34978</v>
      </c>
      <c r="J648">
        <v>5</v>
      </c>
      <c r="K648" t="s">
        <v>112</v>
      </c>
      <c r="L648" t="s">
        <v>455</v>
      </c>
      <c r="M648">
        <v>2338</v>
      </c>
      <c r="N648" t="b">
        <v>1</v>
      </c>
      <c r="P648">
        <f t="shared" si="0"/>
        <v>20</v>
      </c>
      <c r="Q648">
        <f t="shared" si="1"/>
        <v>0</v>
      </c>
      <c r="R648">
        <f t="shared" si="2"/>
        <v>50</v>
      </c>
      <c r="S648" t="s">
        <v>442</v>
      </c>
      <c r="T648" t="s">
        <v>258</v>
      </c>
      <c r="V648" t="s">
        <v>40</v>
      </c>
      <c r="X648">
        <v>1</v>
      </c>
      <c r="AE648" t="s">
        <v>462</v>
      </c>
      <c r="AF648">
        <v>-76.641216670000006</v>
      </c>
      <c r="AG648">
        <v>3.3497783330000002</v>
      </c>
      <c r="AH648">
        <v>50</v>
      </c>
      <c r="AI648">
        <v>0</v>
      </c>
      <c r="AJ648">
        <v>25</v>
      </c>
      <c r="AK648">
        <v>-76.642138329999995</v>
      </c>
      <c r="AL648">
        <v>3.3494583329999998</v>
      </c>
      <c r="AM648">
        <v>50</v>
      </c>
      <c r="AN648">
        <v>0</v>
      </c>
      <c r="AO648">
        <v>15</v>
      </c>
      <c r="AP648" t="s">
        <v>441</v>
      </c>
      <c r="AQ648" t="s">
        <v>443</v>
      </c>
    </row>
    <row r="649" spans="1:43" x14ac:dyDescent="0.2">
      <c r="A649">
        <v>2020</v>
      </c>
      <c r="B649" t="s">
        <v>10</v>
      </c>
      <c r="C649" t="s">
        <v>69</v>
      </c>
      <c r="D649" t="s">
        <v>461</v>
      </c>
      <c r="E649" t="s">
        <v>111</v>
      </c>
      <c r="F649" s="4">
        <v>44131</v>
      </c>
      <c r="G649" s="6">
        <v>0.90907407407407403</v>
      </c>
      <c r="H649">
        <v>-76.641985000000005</v>
      </c>
      <c r="I649">
        <v>3.3495400000000002</v>
      </c>
      <c r="J649">
        <v>5</v>
      </c>
      <c r="K649" t="s">
        <v>112</v>
      </c>
      <c r="L649" t="s">
        <v>455</v>
      </c>
      <c r="M649">
        <v>2354</v>
      </c>
      <c r="N649" t="b">
        <v>1</v>
      </c>
      <c r="P649">
        <f t="shared" ref="P649:P712" si="3">AVERAGE(AJ649,AO649)</f>
        <v>20</v>
      </c>
      <c r="Q649">
        <f t="shared" ref="Q649:Q712" si="4">AVERAGE(AI649,AN649)</f>
        <v>0</v>
      </c>
      <c r="R649">
        <f t="shared" ref="R649:R712" si="5">AVERAGE(AH649,AM649)</f>
        <v>50</v>
      </c>
      <c r="S649" t="s">
        <v>442</v>
      </c>
      <c r="T649" t="s">
        <v>258</v>
      </c>
      <c r="V649" t="s">
        <v>9</v>
      </c>
      <c r="X649">
        <v>1</v>
      </c>
      <c r="AE649" t="s">
        <v>462</v>
      </c>
      <c r="AF649">
        <v>-76.641216670000006</v>
      </c>
      <c r="AG649">
        <v>3.3497783330000002</v>
      </c>
      <c r="AH649">
        <v>50</v>
      </c>
      <c r="AI649">
        <v>0</v>
      </c>
      <c r="AJ649">
        <v>25</v>
      </c>
      <c r="AK649">
        <v>-76.642138329999995</v>
      </c>
      <c r="AL649">
        <v>3.3494583329999998</v>
      </c>
      <c r="AM649">
        <v>50</v>
      </c>
      <c r="AN649">
        <v>0</v>
      </c>
      <c r="AO649">
        <v>15</v>
      </c>
      <c r="AP649" t="s">
        <v>441</v>
      </c>
      <c r="AQ649" t="s">
        <v>443</v>
      </c>
    </row>
    <row r="650" spans="1:43" x14ac:dyDescent="0.2">
      <c r="A650">
        <v>2020</v>
      </c>
      <c r="B650" t="s">
        <v>10</v>
      </c>
      <c r="C650" t="s">
        <v>69</v>
      </c>
      <c r="D650" t="s">
        <v>461</v>
      </c>
      <c r="E650" t="s">
        <v>111</v>
      </c>
      <c r="F650" s="4">
        <v>44131</v>
      </c>
      <c r="G650" s="6">
        <v>0.88123842592592594</v>
      </c>
      <c r="H650">
        <v>-76.641473329999997</v>
      </c>
      <c r="I650">
        <v>3.3500333329999998</v>
      </c>
      <c r="J650">
        <v>5</v>
      </c>
      <c r="K650" t="s">
        <v>119</v>
      </c>
      <c r="L650" t="s">
        <v>463</v>
      </c>
      <c r="M650">
        <v>2336</v>
      </c>
      <c r="N650" t="b">
        <v>1</v>
      </c>
      <c r="P650">
        <f t="shared" si="3"/>
        <v>20</v>
      </c>
      <c r="Q650">
        <f t="shared" si="4"/>
        <v>0</v>
      </c>
      <c r="R650">
        <f t="shared" si="5"/>
        <v>50</v>
      </c>
      <c r="S650" t="s">
        <v>442</v>
      </c>
      <c r="T650" t="s">
        <v>258</v>
      </c>
      <c r="V650" t="s">
        <v>9</v>
      </c>
      <c r="X650">
        <v>1</v>
      </c>
      <c r="AE650" t="s">
        <v>462</v>
      </c>
      <c r="AF650">
        <v>-76.641216670000006</v>
      </c>
      <c r="AG650">
        <v>3.3497783330000002</v>
      </c>
      <c r="AH650">
        <v>50</v>
      </c>
      <c r="AI650">
        <v>0</v>
      </c>
      <c r="AJ650">
        <v>25</v>
      </c>
      <c r="AK650">
        <v>-76.642138329999995</v>
      </c>
      <c r="AL650">
        <v>3.3494583329999998</v>
      </c>
      <c r="AM650">
        <v>50</v>
      </c>
      <c r="AN650">
        <v>0</v>
      </c>
      <c r="AO650">
        <v>15</v>
      </c>
      <c r="AP650" t="s">
        <v>441</v>
      </c>
      <c r="AQ650" t="s">
        <v>443</v>
      </c>
    </row>
    <row r="651" spans="1:43" x14ac:dyDescent="0.2">
      <c r="A651">
        <v>2020</v>
      </c>
      <c r="B651" t="s">
        <v>10</v>
      </c>
      <c r="C651" t="s">
        <v>69</v>
      </c>
      <c r="D651" t="s">
        <v>461</v>
      </c>
      <c r="E651" t="s">
        <v>111</v>
      </c>
      <c r="F651" s="4">
        <v>44131</v>
      </c>
      <c r="G651" s="6">
        <v>0.89182870370370371</v>
      </c>
      <c r="H651">
        <v>-76.641448330000003</v>
      </c>
      <c r="I651">
        <v>3.3499699999999999</v>
      </c>
      <c r="J651">
        <v>5</v>
      </c>
      <c r="K651" t="s">
        <v>112</v>
      </c>
      <c r="L651" t="s">
        <v>113</v>
      </c>
      <c r="M651">
        <v>2364</v>
      </c>
      <c r="N651" t="b">
        <v>1</v>
      </c>
      <c r="P651">
        <f t="shared" si="3"/>
        <v>20</v>
      </c>
      <c r="Q651">
        <f t="shared" si="4"/>
        <v>0</v>
      </c>
      <c r="R651">
        <f t="shared" si="5"/>
        <v>50</v>
      </c>
      <c r="S651" t="s">
        <v>442</v>
      </c>
      <c r="T651" t="s">
        <v>258</v>
      </c>
      <c r="V651" t="s">
        <v>9</v>
      </c>
      <c r="X651">
        <v>1</v>
      </c>
      <c r="AE651" t="s">
        <v>462</v>
      </c>
      <c r="AF651">
        <v>-76.641216670000006</v>
      </c>
      <c r="AG651">
        <v>3.3497783330000002</v>
      </c>
      <c r="AH651">
        <v>50</v>
      </c>
      <c r="AI651">
        <v>0</v>
      </c>
      <c r="AJ651">
        <v>25</v>
      </c>
      <c r="AK651">
        <v>-76.642138329999995</v>
      </c>
      <c r="AL651">
        <v>3.3494583329999998</v>
      </c>
      <c r="AM651">
        <v>50</v>
      </c>
      <c r="AN651">
        <v>0</v>
      </c>
      <c r="AO651">
        <v>15</v>
      </c>
      <c r="AP651" t="s">
        <v>441</v>
      </c>
      <c r="AQ651" t="s">
        <v>443</v>
      </c>
    </row>
    <row r="652" spans="1:43" x14ac:dyDescent="0.2">
      <c r="A652">
        <v>2020</v>
      </c>
      <c r="B652" t="s">
        <v>10</v>
      </c>
      <c r="C652" t="s">
        <v>69</v>
      </c>
      <c r="D652" t="s">
        <v>461</v>
      </c>
      <c r="E652" t="s">
        <v>111</v>
      </c>
      <c r="F652" s="4">
        <v>44131</v>
      </c>
      <c r="G652" s="6">
        <v>0.89182870370370371</v>
      </c>
      <c r="H652">
        <v>-76.641448330000003</v>
      </c>
      <c r="I652">
        <v>3.3499699999999999</v>
      </c>
      <c r="J652">
        <v>5</v>
      </c>
      <c r="K652" t="s">
        <v>119</v>
      </c>
      <c r="L652" t="s">
        <v>455</v>
      </c>
      <c r="M652">
        <v>2337</v>
      </c>
      <c r="N652" t="b">
        <v>1</v>
      </c>
      <c r="P652">
        <f t="shared" si="3"/>
        <v>20</v>
      </c>
      <c r="Q652">
        <f t="shared" si="4"/>
        <v>0</v>
      </c>
      <c r="R652">
        <f t="shared" si="5"/>
        <v>50</v>
      </c>
      <c r="S652" t="s">
        <v>442</v>
      </c>
      <c r="T652" t="s">
        <v>258</v>
      </c>
      <c r="V652" t="s">
        <v>7</v>
      </c>
      <c r="X652">
        <v>1</v>
      </c>
      <c r="AE652" t="s">
        <v>462</v>
      </c>
      <c r="AF652">
        <v>-76.641216670000006</v>
      </c>
      <c r="AG652">
        <v>3.3497783330000002</v>
      </c>
      <c r="AH652">
        <v>50</v>
      </c>
      <c r="AI652">
        <v>0</v>
      </c>
      <c r="AJ652">
        <v>25</v>
      </c>
      <c r="AK652">
        <v>-76.642138329999995</v>
      </c>
      <c r="AL652">
        <v>3.3494583329999998</v>
      </c>
      <c r="AM652">
        <v>50</v>
      </c>
      <c r="AN652">
        <v>0</v>
      </c>
      <c r="AO652">
        <v>15</v>
      </c>
      <c r="AP652" t="s">
        <v>441</v>
      </c>
      <c r="AQ652" t="s">
        <v>443</v>
      </c>
    </row>
    <row r="653" spans="1:43" x14ac:dyDescent="0.2">
      <c r="A653">
        <v>2020</v>
      </c>
      <c r="B653" t="s">
        <v>10</v>
      </c>
      <c r="C653" t="s">
        <v>13</v>
      </c>
      <c r="D653" t="s">
        <v>464</v>
      </c>
      <c r="E653" t="s">
        <v>127</v>
      </c>
      <c r="F653" s="4">
        <v>44131</v>
      </c>
      <c r="G653" s="6">
        <v>0.92216435185185186</v>
      </c>
      <c r="H653">
        <v>-76.642246670000006</v>
      </c>
      <c r="I653">
        <v>3.3492150000000001</v>
      </c>
      <c r="J653">
        <v>5</v>
      </c>
      <c r="K653" t="s">
        <v>119</v>
      </c>
      <c r="L653" t="s">
        <v>113</v>
      </c>
      <c r="M653">
        <v>2353</v>
      </c>
      <c r="N653" t="b">
        <v>1</v>
      </c>
      <c r="P653">
        <f t="shared" si="3"/>
        <v>20</v>
      </c>
      <c r="Q653">
        <f t="shared" si="4"/>
        <v>0</v>
      </c>
      <c r="R653">
        <f t="shared" si="5"/>
        <v>32.5</v>
      </c>
      <c r="S653" t="s">
        <v>442</v>
      </c>
      <c r="T653" t="s">
        <v>258</v>
      </c>
      <c r="V653" t="s">
        <v>36</v>
      </c>
      <c r="X653">
        <v>1</v>
      </c>
      <c r="AE653" t="s">
        <v>462</v>
      </c>
      <c r="AF653">
        <v>-76.642224999999996</v>
      </c>
      <c r="AG653">
        <v>3.3492999999999999</v>
      </c>
      <c r="AH653">
        <v>25</v>
      </c>
      <c r="AI653">
        <v>0</v>
      </c>
      <c r="AJ653">
        <v>25</v>
      </c>
      <c r="AK653">
        <v>-76.642816670000002</v>
      </c>
      <c r="AL653">
        <v>3.3491233330000001</v>
      </c>
      <c r="AM653">
        <v>40</v>
      </c>
      <c r="AN653">
        <v>0</v>
      </c>
      <c r="AO653">
        <v>15</v>
      </c>
      <c r="AP653" t="s">
        <v>441</v>
      </c>
      <c r="AQ653" t="s">
        <v>443</v>
      </c>
    </row>
    <row r="654" spans="1:43" x14ac:dyDescent="0.2">
      <c r="A654">
        <v>2020</v>
      </c>
      <c r="B654" t="s">
        <v>10</v>
      </c>
      <c r="C654" t="s">
        <v>13</v>
      </c>
      <c r="D654" t="s">
        <v>464</v>
      </c>
      <c r="E654" t="s">
        <v>127</v>
      </c>
      <c r="F654" s="4">
        <v>44131</v>
      </c>
      <c r="G654" s="6">
        <v>0.92833333333333334</v>
      </c>
      <c r="H654">
        <v>-76.642478330000003</v>
      </c>
      <c r="I654">
        <v>3.3491166670000001</v>
      </c>
      <c r="J654">
        <v>5</v>
      </c>
      <c r="K654" t="s">
        <v>112</v>
      </c>
      <c r="L654" t="s">
        <v>455</v>
      </c>
      <c r="M654">
        <v>2375</v>
      </c>
      <c r="N654" t="b">
        <v>1</v>
      </c>
      <c r="P654">
        <f t="shared" si="3"/>
        <v>20</v>
      </c>
      <c r="Q654">
        <f t="shared" si="4"/>
        <v>0</v>
      </c>
      <c r="R654">
        <f t="shared" si="5"/>
        <v>32.5</v>
      </c>
      <c r="S654" t="s">
        <v>442</v>
      </c>
      <c r="T654" t="s">
        <v>258</v>
      </c>
      <c r="V654" t="s">
        <v>9</v>
      </c>
      <c r="X654">
        <v>2</v>
      </c>
      <c r="AE654" t="s">
        <v>462</v>
      </c>
      <c r="AF654">
        <v>-76.642224999999996</v>
      </c>
      <c r="AG654">
        <v>3.3492999999999999</v>
      </c>
      <c r="AH654">
        <v>25</v>
      </c>
      <c r="AI654">
        <v>0</v>
      </c>
      <c r="AJ654">
        <v>25</v>
      </c>
      <c r="AK654">
        <v>-76.642816670000002</v>
      </c>
      <c r="AL654">
        <v>3.3491233330000001</v>
      </c>
      <c r="AM654">
        <v>40</v>
      </c>
      <c r="AN654">
        <v>0</v>
      </c>
      <c r="AO654">
        <v>15</v>
      </c>
      <c r="AP654" t="s">
        <v>441</v>
      </c>
      <c r="AQ654" t="s">
        <v>443</v>
      </c>
    </row>
    <row r="655" spans="1:43" x14ac:dyDescent="0.2">
      <c r="A655">
        <v>2020</v>
      </c>
      <c r="B655" t="s">
        <v>10</v>
      </c>
      <c r="C655" t="s">
        <v>69</v>
      </c>
      <c r="D655" t="s">
        <v>465</v>
      </c>
      <c r="E655" t="s">
        <v>122</v>
      </c>
      <c r="F655" s="4">
        <v>44131</v>
      </c>
      <c r="G655" s="6">
        <v>0.85995370370370372</v>
      </c>
      <c r="H655">
        <v>-76.64088667</v>
      </c>
      <c r="I655">
        <v>3.3499850000000002</v>
      </c>
      <c r="J655">
        <v>5</v>
      </c>
      <c r="K655" t="s">
        <v>112</v>
      </c>
      <c r="L655" t="s">
        <v>113</v>
      </c>
      <c r="M655">
        <v>2341</v>
      </c>
      <c r="N655" t="b">
        <v>1</v>
      </c>
      <c r="P655">
        <f t="shared" si="3"/>
        <v>17.5</v>
      </c>
      <c r="Q655">
        <f t="shared" si="4"/>
        <v>0</v>
      </c>
      <c r="R655">
        <f t="shared" si="5"/>
        <v>62.5</v>
      </c>
      <c r="S655" t="s">
        <v>442</v>
      </c>
      <c r="T655" t="s">
        <v>258</v>
      </c>
      <c r="V655" t="s">
        <v>9</v>
      </c>
      <c r="X655">
        <v>1</v>
      </c>
      <c r="AE655" t="s">
        <v>462</v>
      </c>
      <c r="AF655">
        <v>-76.640466669999995</v>
      </c>
      <c r="AG655">
        <v>3.3504466669999999</v>
      </c>
      <c r="AH655">
        <v>70</v>
      </c>
      <c r="AI655">
        <v>0</v>
      </c>
      <c r="AJ655">
        <v>10</v>
      </c>
      <c r="AK655">
        <v>-76.641024999999999</v>
      </c>
      <c r="AL655">
        <v>3.34985</v>
      </c>
      <c r="AM655">
        <v>55</v>
      </c>
      <c r="AN655">
        <v>0</v>
      </c>
      <c r="AO655">
        <v>25</v>
      </c>
      <c r="AP655" t="s">
        <v>441</v>
      </c>
      <c r="AQ655" t="s">
        <v>443</v>
      </c>
    </row>
    <row r="656" spans="1:43" x14ac:dyDescent="0.2">
      <c r="A656">
        <v>2020</v>
      </c>
      <c r="B656" t="s">
        <v>10</v>
      </c>
      <c r="C656" t="s">
        <v>69</v>
      </c>
      <c r="D656" t="s">
        <v>465</v>
      </c>
      <c r="E656" t="s">
        <v>122</v>
      </c>
      <c r="F656" s="4">
        <v>44131</v>
      </c>
      <c r="G656" s="6">
        <v>0.86738425925925922</v>
      </c>
      <c r="H656">
        <v>-76.641024999999999</v>
      </c>
      <c r="I656">
        <v>3.34985</v>
      </c>
      <c r="J656">
        <v>5</v>
      </c>
      <c r="K656" t="s">
        <v>119</v>
      </c>
      <c r="L656" t="s">
        <v>463</v>
      </c>
      <c r="M656">
        <v>2369</v>
      </c>
      <c r="N656" t="b">
        <v>1</v>
      </c>
      <c r="P656">
        <f t="shared" si="3"/>
        <v>17.5</v>
      </c>
      <c r="Q656">
        <f t="shared" si="4"/>
        <v>0</v>
      </c>
      <c r="R656">
        <f t="shared" si="5"/>
        <v>62.5</v>
      </c>
      <c r="S656" t="s">
        <v>442</v>
      </c>
      <c r="T656" t="s">
        <v>258</v>
      </c>
      <c r="V656" t="s">
        <v>9</v>
      </c>
      <c r="X656">
        <v>1</v>
      </c>
      <c r="AE656" t="s">
        <v>462</v>
      </c>
      <c r="AF656">
        <v>-76.640466669999995</v>
      </c>
      <c r="AG656">
        <v>3.3504466669999999</v>
      </c>
      <c r="AH656">
        <v>70</v>
      </c>
      <c r="AI656">
        <v>0</v>
      </c>
      <c r="AJ656">
        <v>10</v>
      </c>
      <c r="AK656">
        <v>-76.641024999999999</v>
      </c>
      <c r="AL656">
        <v>3.34985</v>
      </c>
      <c r="AM656">
        <v>55</v>
      </c>
      <c r="AN656">
        <v>0</v>
      </c>
      <c r="AO656">
        <v>25</v>
      </c>
      <c r="AP656" t="s">
        <v>441</v>
      </c>
      <c r="AQ656" t="s">
        <v>443</v>
      </c>
    </row>
    <row r="657" spans="1:43" x14ac:dyDescent="0.2">
      <c r="A657">
        <v>2020</v>
      </c>
      <c r="B657" t="s">
        <v>10</v>
      </c>
      <c r="C657" t="s">
        <v>69</v>
      </c>
      <c r="D657" t="s">
        <v>465</v>
      </c>
      <c r="E657" t="s">
        <v>122</v>
      </c>
      <c r="F657" s="4">
        <v>44131</v>
      </c>
      <c r="G657" s="6">
        <v>0.86342592592592593</v>
      </c>
      <c r="H657">
        <v>-76.640929999999997</v>
      </c>
      <c r="I657">
        <v>3.349881667</v>
      </c>
      <c r="J657">
        <v>5</v>
      </c>
      <c r="K657" t="s">
        <v>119</v>
      </c>
      <c r="L657" t="s">
        <v>463</v>
      </c>
      <c r="M657">
        <v>2346</v>
      </c>
      <c r="N657" t="b">
        <v>1</v>
      </c>
      <c r="P657">
        <f t="shared" si="3"/>
        <v>17.5</v>
      </c>
      <c r="Q657">
        <f t="shared" si="4"/>
        <v>0</v>
      </c>
      <c r="R657">
        <f t="shared" si="5"/>
        <v>62.5</v>
      </c>
      <c r="S657" t="s">
        <v>442</v>
      </c>
      <c r="T657" t="s">
        <v>258</v>
      </c>
      <c r="V657" t="s">
        <v>9</v>
      </c>
      <c r="X657">
        <v>1</v>
      </c>
      <c r="AE657" t="s">
        <v>462</v>
      </c>
      <c r="AF657">
        <v>-76.640466669999995</v>
      </c>
      <c r="AG657">
        <v>3.3504466669999999</v>
      </c>
      <c r="AH657">
        <v>70</v>
      </c>
      <c r="AI657">
        <v>0</v>
      </c>
      <c r="AJ657">
        <v>10</v>
      </c>
      <c r="AK657">
        <v>-76.641024999999999</v>
      </c>
      <c r="AL657">
        <v>3.34985</v>
      </c>
      <c r="AM657">
        <v>55</v>
      </c>
      <c r="AN657">
        <v>0</v>
      </c>
      <c r="AO657">
        <v>25</v>
      </c>
      <c r="AP657" t="s">
        <v>441</v>
      </c>
      <c r="AQ657" t="s">
        <v>443</v>
      </c>
    </row>
    <row r="658" spans="1:43" x14ac:dyDescent="0.2">
      <c r="A658">
        <v>2020</v>
      </c>
      <c r="B658" t="s">
        <v>10</v>
      </c>
      <c r="C658" t="s">
        <v>69</v>
      </c>
      <c r="D658" t="s">
        <v>465</v>
      </c>
      <c r="E658" t="s">
        <v>122</v>
      </c>
      <c r="F658" s="4">
        <v>44131</v>
      </c>
      <c r="G658" s="6">
        <v>0.85564814814814816</v>
      </c>
      <c r="H658">
        <v>-76.640743330000006</v>
      </c>
      <c r="I658">
        <v>3.34998</v>
      </c>
      <c r="J658">
        <v>5</v>
      </c>
      <c r="K658" t="s">
        <v>112</v>
      </c>
      <c r="L658" t="s">
        <v>113</v>
      </c>
      <c r="M658">
        <v>2336</v>
      </c>
      <c r="N658" t="b">
        <v>1</v>
      </c>
      <c r="P658">
        <f t="shared" si="3"/>
        <v>17.5</v>
      </c>
      <c r="Q658">
        <f t="shared" si="4"/>
        <v>0</v>
      </c>
      <c r="R658">
        <f t="shared" si="5"/>
        <v>62.5</v>
      </c>
      <c r="S658" t="s">
        <v>442</v>
      </c>
      <c r="T658" t="s">
        <v>258</v>
      </c>
      <c r="V658" t="s">
        <v>9</v>
      </c>
      <c r="X658">
        <v>1</v>
      </c>
      <c r="AE658" t="s">
        <v>462</v>
      </c>
      <c r="AF658">
        <v>-76.640466669999995</v>
      </c>
      <c r="AG658">
        <v>3.3504466669999999</v>
      </c>
      <c r="AH658">
        <v>70</v>
      </c>
      <c r="AI658">
        <v>0</v>
      </c>
      <c r="AJ658">
        <v>10</v>
      </c>
      <c r="AK658">
        <v>-76.641024999999999</v>
      </c>
      <c r="AL658">
        <v>3.34985</v>
      </c>
      <c r="AM658">
        <v>55</v>
      </c>
      <c r="AN658">
        <v>0</v>
      </c>
      <c r="AO658">
        <v>25</v>
      </c>
      <c r="AP658" t="s">
        <v>441</v>
      </c>
      <c r="AQ658" t="s">
        <v>443</v>
      </c>
    </row>
    <row r="659" spans="1:43" x14ac:dyDescent="0.2">
      <c r="A659">
        <v>2020</v>
      </c>
      <c r="B659" t="s">
        <v>10</v>
      </c>
      <c r="C659" t="s">
        <v>69</v>
      </c>
      <c r="D659" t="s">
        <v>466</v>
      </c>
      <c r="E659" t="s">
        <v>127</v>
      </c>
      <c r="F659" s="4">
        <v>44131</v>
      </c>
      <c r="G659" s="6">
        <v>0.81103009259259262</v>
      </c>
      <c r="H659">
        <v>-76.63955</v>
      </c>
      <c r="I659">
        <v>3.3507016670000001</v>
      </c>
      <c r="J659">
        <v>5</v>
      </c>
      <c r="K659" t="s">
        <v>112</v>
      </c>
      <c r="L659" t="s">
        <v>113</v>
      </c>
      <c r="M659">
        <v>2377</v>
      </c>
      <c r="N659" t="b">
        <v>1</v>
      </c>
      <c r="P659">
        <f t="shared" si="3"/>
        <v>17.5</v>
      </c>
      <c r="Q659">
        <f t="shared" si="4"/>
        <v>0</v>
      </c>
      <c r="R659">
        <f t="shared" si="5"/>
        <v>70</v>
      </c>
      <c r="S659" t="s">
        <v>442</v>
      </c>
      <c r="T659" t="s">
        <v>258</v>
      </c>
      <c r="V659" t="s">
        <v>9</v>
      </c>
      <c r="X659">
        <v>1</v>
      </c>
      <c r="AE659" t="s">
        <v>440</v>
      </c>
      <c r="AF659">
        <v>-76.63955</v>
      </c>
      <c r="AG659">
        <v>3.3507016670000001</v>
      </c>
      <c r="AH659">
        <v>70</v>
      </c>
      <c r="AI659">
        <v>0</v>
      </c>
      <c r="AJ659">
        <v>25</v>
      </c>
      <c r="AK659">
        <v>-76.640238330000003</v>
      </c>
      <c r="AL659">
        <v>3.3506</v>
      </c>
      <c r="AM659">
        <v>70</v>
      </c>
      <c r="AN659">
        <v>0</v>
      </c>
      <c r="AO659">
        <v>10</v>
      </c>
      <c r="AP659" t="s">
        <v>441</v>
      </c>
      <c r="AQ659" t="s">
        <v>443</v>
      </c>
    </row>
    <row r="660" spans="1:43" x14ac:dyDescent="0.2">
      <c r="A660">
        <v>2020</v>
      </c>
      <c r="B660" t="s">
        <v>10</v>
      </c>
      <c r="C660" t="s">
        <v>69</v>
      </c>
      <c r="D660" t="s">
        <v>466</v>
      </c>
      <c r="E660" t="s">
        <v>127</v>
      </c>
      <c r="F660" s="4">
        <v>44131</v>
      </c>
      <c r="G660" s="6">
        <v>0.82748842592592597</v>
      </c>
      <c r="H660">
        <v>-76.639944999999997</v>
      </c>
      <c r="I660">
        <v>3.3506900000000002</v>
      </c>
      <c r="J660">
        <v>5</v>
      </c>
      <c r="K660" t="s">
        <v>119</v>
      </c>
      <c r="L660" t="s">
        <v>463</v>
      </c>
      <c r="M660">
        <v>2392</v>
      </c>
      <c r="N660" t="b">
        <v>1</v>
      </c>
      <c r="P660">
        <f t="shared" si="3"/>
        <v>17.5</v>
      </c>
      <c r="Q660">
        <f t="shared" si="4"/>
        <v>0</v>
      </c>
      <c r="R660">
        <f t="shared" si="5"/>
        <v>70</v>
      </c>
      <c r="S660" t="s">
        <v>442</v>
      </c>
      <c r="T660" t="s">
        <v>258</v>
      </c>
      <c r="V660" t="s">
        <v>9</v>
      </c>
      <c r="X660">
        <v>1</v>
      </c>
      <c r="AE660" t="s">
        <v>440</v>
      </c>
      <c r="AF660">
        <v>-76.63955</v>
      </c>
      <c r="AG660">
        <v>3.3507016670000001</v>
      </c>
      <c r="AH660">
        <v>70</v>
      </c>
      <c r="AI660">
        <v>0</v>
      </c>
      <c r="AJ660">
        <v>25</v>
      </c>
      <c r="AK660">
        <v>-76.640238330000003</v>
      </c>
      <c r="AL660">
        <v>3.3506</v>
      </c>
      <c r="AM660">
        <v>70</v>
      </c>
      <c r="AN660">
        <v>0</v>
      </c>
      <c r="AO660">
        <v>10</v>
      </c>
      <c r="AP660" t="s">
        <v>467</v>
      </c>
      <c r="AQ660" t="s">
        <v>443</v>
      </c>
    </row>
    <row r="661" spans="1:43" x14ac:dyDescent="0.2">
      <c r="A661">
        <v>2020</v>
      </c>
      <c r="B661" t="s">
        <v>10</v>
      </c>
      <c r="C661" t="s">
        <v>12</v>
      </c>
      <c r="D661" t="s">
        <v>192</v>
      </c>
      <c r="E661" t="s">
        <v>135</v>
      </c>
      <c r="F661" s="4">
        <v>44132</v>
      </c>
      <c r="G661" s="6">
        <v>0.89953703703703702</v>
      </c>
      <c r="H661">
        <v>-76.652640000000005</v>
      </c>
      <c r="I661">
        <v>3.3535200000000001</v>
      </c>
      <c r="J661">
        <v>5</v>
      </c>
      <c r="K661" t="s">
        <v>112</v>
      </c>
      <c r="L661" t="s">
        <v>113</v>
      </c>
      <c r="M661">
        <v>2524</v>
      </c>
      <c r="N661" t="b">
        <v>1</v>
      </c>
      <c r="P661">
        <f t="shared" si="3"/>
        <v>20</v>
      </c>
      <c r="Q661">
        <f t="shared" si="4"/>
        <v>0</v>
      </c>
      <c r="R661">
        <f t="shared" si="5"/>
        <v>85</v>
      </c>
      <c r="S661" t="s">
        <v>442</v>
      </c>
      <c r="T661" t="s">
        <v>258</v>
      </c>
      <c r="V661" t="s">
        <v>38</v>
      </c>
      <c r="X661">
        <v>1</v>
      </c>
      <c r="AE661" t="s">
        <v>462</v>
      </c>
      <c r="AF661">
        <v>-76.652640000000005</v>
      </c>
      <c r="AG661">
        <v>3.3535200000000001</v>
      </c>
      <c r="AH661">
        <v>90</v>
      </c>
      <c r="AI661">
        <v>0</v>
      </c>
      <c r="AJ661">
        <v>20</v>
      </c>
      <c r="AK661">
        <v>-76.651878330000002</v>
      </c>
      <c r="AL661">
        <v>3.3533750000000002</v>
      </c>
      <c r="AM661">
        <v>80</v>
      </c>
      <c r="AN661">
        <v>0</v>
      </c>
      <c r="AO661">
        <v>20</v>
      </c>
      <c r="AP661" t="s">
        <v>441</v>
      </c>
      <c r="AQ661" t="s">
        <v>443</v>
      </c>
    </row>
    <row r="662" spans="1:43" x14ac:dyDescent="0.2">
      <c r="A662">
        <v>2020</v>
      </c>
      <c r="B662" t="s">
        <v>10</v>
      </c>
      <c r="C662" t="s">
        <v>11</v>
      </c>
      <c r="D662" t="s">
        <v>228</v>
      </c>
      <c r="E662" t="s">
        <v>111</v>
      </c>
      <c r="F662" s="4">
        <v>44132</v>
      </c>
      <c r="G662" s="6">
        <v>0.86616898148148147</v>
      </c>
      <c r="H662">
        <v>-76.655143330000001</v>
      </c>
      <c r="I662">
        <v>3.3539916669999998</v>
      </c>
      <c r="J662">
        <v>5</v>
      </c>
      <c r="K662" t="s">
        <v>112</v>
      </c>
      <c r="L662" t="s">
        <v>113</v>
      </c>
      <c r="M662">
        <v>2567</v>
      </c>
      <c r="N662" t="b">
        <v>1</v>
      </c>
      <c r="P662">
        <f t="shared" si="3"/>
        <v>20</v>
      </c>
      <c r="Q662">
        <f t="shared" si="4"/>
        <v>0</v>
      </c>
      <c r="R662">
        <f t="shared" si="5"/>
        <v>40</v>
      </c>
      <c r="S662" t="s">
        <v>442</v>
      </c>
      <c r="T662" t="s">
        <v>258</v>
      </c>
      <c r="V662" t="s">
        <v>38</v>
      </c>
      <c r="X662">
        <v>1</v>
      </c>
      <c r="AE662" t="s">
        <v>438</v>
      </c>
      <c r="AF662">
        <v>-76.655874999999995</v>
      </c>
      <c r="AG662">
        <v>3.354568333</v>
      </c>
      <c r="AH662">
        <v>40</v>
      </c>
      <c r="AI662">
        <v>0</v>
      </c>
      <c r="AJ662">
        <v>25</v>
      </c>
      <c r="AK662">
        <v>-76.655143330000001</v>
      </c>
      <c r="AL662">
        <v>3.3539916669999998</v>
      </c>
      <c r="AM662">
        <v>40</v>
      </c>
      <c r="AN662">
        <v>0</v>
      </c>
      <c r="AO662">
        <v>15</v>
      </c>
      <c r="AP662" t="s">
        <v>441</v>
      </c>
      <c r="AQ662" t="s">
        <v>443</v>
      </c>
    </row>
    <row r="663" spans="1:43" x14ac:dyDescent="0.2">
      <c r="A663">
        <v>2020</v>
      </c>
      <c r="B663" t="s">
        <v>10</v>
      </c>
      <c r="C663" t="s">
        <v>11</v>
      </c>
      <c r="D663" t="s">
        <v>228</v>
      </c>
      <c r="E663" t="s">
        <v>111</v>
      </c>
      <c r="F663" s="4">
        <v>44132</v>
      </c>
      <c r="G663" s="6">
        <v>0.85116898148148146</v>
      </c>
      <c r="H663">
        <v>-76.655731669999994</v>
      </c>
      <c r="I663">
        <v>3.3544433329999999</v>
      </c>
      <c r="J663">
        <v>5</v>
      </c>
      <c r="K663" t="s">
        <v>119</v>
      </c>
      <c r="L663" t="s">
        <v>113</v>
      </c>
      <c r="M663">
        <v>2592</v>
      </c>
      <c r="N663" t="b">
        <v>1</v>
      </c>
      <c r="P663">
        <f t="shared" si="3"/>
        <v>20</v>
      </c>
      <c r="Q663">
        <f t="shared" si="4"/>
        <v>0</v>
      </c>
      <c r="R663">
        <f t="shared" si="5"/>
        <v>40</v>
      </c>
      <c r="S663" t="s">
        <v>442</v>
      </c>
      <c r="T663" t="s">
        <v>258</v>
      </c>
      <c r="V663" t="s">
        <v>38</v>
      </c>
      <c r="X663">
        <v>1</v>
      </c>
      <c r="AE663" t="s">
        <v>438</v>
      </c>
      <c r="AF663">
        <v>-76.655874999999995</v>
      </c>
      <c r="AG663">
        <v>3.354568333</v>
      </c>
      <c r="AH663">
        <v>40</v>
      </c>
      <c r="AI663">
        <v>0</v>
      </c>
      <c r="AJ663">
        <v>25</v>
      </c>
      <c r="AK663">
        <v>-76.655143330000001</v>
      </c>
      <c r="AL663">
        <v>3.3539916669999998</v>
      </c>
      <c r="AM663">
        <v>40</v>
      </c>
      <c r="AN663">
        <v>0</v>
      </c>
      <c r="AO663">
        <v>15</v>
      </c>
      <c r="AP663" t="s">
        <v>441</v>
      </c>
      <c r="AQ663" t="s">
        <v>443</v>
      </c>
    </row>
    <row r="664" spans="1:43" x14ac:dyDescent="0.2">
      <c r="A664">
        <v>2020</v>
      </c>
      <c r="B664" t="s">
        <v>10</v>
      </c>
      <c r="C664" t="s">
        <v>11</v>
      </c>
      <c r="D664" t="s">
        <v>228</v>
      </c>
      <c r="E664" t="s">
        <v>111</v>
      </c>
      <c r="F664" s="4">
        <v>44132</v>
      </c>
      <c r="G664" s="6">
        <v>0.85766203703703703</v>
      </c>
      <c r="H664">
        <v>-76.655640000000005</v>
      </c>
      <c r="I664">
        <v>3.3542149999999999</v>
      </c>
      <c r="J664">
        <v>5</v>
      </c>
      <c r="K664" t="s">
        <v>119</v>
      </c>
      <c r="L664" t="s">
        <v>463</v>
      </c>
      <c r="M664">
        <v>2569</v>
      </c>
      <c r="N664" t="b">
        <v>1</v>
      </c>
      <c r="P664">
        <f t="shared" si="3"/>
        <v>20</v>
      </c>
      <c r="Q664">
        <f t="shared" si="4"/>
        <v>0</v>
      </c>
      <c r="R664">
        <f t="shared" si="5"/>
        <v>40</v>
      </c>
      <c r="S664" t="s">
        <v>442</v>
      </c>
      <c r="T664" t="s">
        <v>258</v>
      </c>
      <c r="V664" t="s">
        <v>38</v>
      </c>
      <c r="X664">
        <v>1</v>
      </c>
      <c r="AE664" t="s">
        <v>438</v>
      </c>
      <c r="AF664">
        <v>-76.655874999999995</v>
      </c>
      <c r="AG664">
        <v>3.354568333</v>
      </c>
      <c r="AH664">
        <v>40</v>
      </c>
      <c r="AI664">
        <v>0</v>
      </c>
      <c r="AJ664">
        <v>25</v>
      </c>
      <c r="AK664">
        <v>-76.655143330000001</v>
      </c>
      <c r="AL664">
        <v>3.3539916669999998</v>
      </c>
      <c r="AM664">
        <v>40</v>
      </c>
      <c r="AN664">
        <v>0</v>
      </c>
      <c r="AO664">
        <v>15</v>
      </c>
      <c r="AP664" t="s">
        <v>441</v>
      </c>
      <c r="AQ664" t="s">
        <v>443</v>
      </c>
    </row>
    <row r="665" spans="1:43" x14ac:dyDescent="0.2">
      <c r="A665">
        <v>2020</v>
      </c>
      <c r="B665" t="s">
        <v>10</v>
      </c>
      <c r="C665" t="s">
        <v>12</v>
      </c>
      <c r="D665" t="s">
        <v>189</v>
      </c>
      <c r="E665" t="s">
        <v>157</v>
      </c>
      <c r="F665" s="4">
        <v>44132</v>
      </c>
      <c r="G665" s="6">
        <v>0.89043981481481482</v>
      </c>
      <c r="H665">
        <v>-76.653121670000004</v>
      </c>
      <c r="I665">
        <v>3.3533683330000001</v>
      </c>
      <c r="J665">
        <v>5</v>
      </c>
      <c r="K665" t="s">
        <v>119</v>
      </c>
      <c r="L665" t="s">
        <v>463</v>
      </c>
      <c r="M665">
        <v>2525</v>
      </c>
      <c r="N665" t="b">
        <v>0</v>
      </c>
      <c r="O665" t="b">
        <v>1</v>
      </c>
      <c r="P665">
        <f t="shared" si="3"/>
        <v>18.5</v>
      </c>
      <c r="Q665">
        <f t="shared" si="4"/>
        <v>0</v>
      </c>
      <c r="R665">
        <f t="shared" si="5"/>
        <v>75</v>
      </c>
      <c r="S665" t="s">
        <v>442</v>
      </c>
      <c r="T665" t="s">
        <v>447</v>
      </c>
      <c r="V665" t="s">
        <v>38</v>
      </c>
      <c r="X665">
        <v>1</v>
      </c>
      <c r="AE665" t="s">
        <v>460</v>
      </c>
      <c r="AF665">
        <v>-76.653561670000002</v>
      </c>
      <c r="AG665">
        <v>3.3533783330000002</v>
      </c>
      <c r="AH665">
        <v>70</v>
      </c>
      <c r="AI665">
        <v>0</v>
      </c>
      <c r="AJ665">
        <v>25</v>
      </c>
      <c r="AK665">
        <v>-76.652906669999993</v>
      </c>
      <c r="AL665">
        <v>3.3534250000000001</v>
      </c>
      <c r="AM665">
        <v>80</v>
      </c>
      <c r="AN665">
        <v>0</v>
      </c>
      <c r="AO665">
        <v>12</v>
      </c>
      <c r="AP665" t="s">
        <v>441</v>
      </c>
      <c r="AQ665" t="s">
        <v>443</v>
      </c>
    </row>
    <row r="666" spans="1:43" x14ac:dyDescent="0.2">
      <c r="A666">
        <v>2020</v>
      </c>
      <c r="B666" t="s">
        <v>10</v>
      </c>
      <c r="C666" t="s">
        <v>12</v>
      </c>
      <c r="D666" t="s">
        <v>189</v>
      </c>
      <c r="E666" t="s">
        <v>157</v>
      </c>
      <c r="F666" s="4">
        <v>44132</v>
      </c>
      <c r="G666" s="6">
        <v>0.8796180555555555</v>
      </c>
      <c r="H666">
        <v>-76.653459999999995</v>
      </c>
      <c r="I666">
        <v>3.3533516670000001</v>
      </c>
      <c r="J666">
        <v>5</v>
      </c>
      <c r="K666" t="s">
        <v>119</v>
      </c>
      <c r="L666" t="s">
        <v>463</v>
      </c>
      <c r="M666">
        <v>2541</v>
      </c>
      <c r="N666" t="b">
        <v>1</v>
      </c>
      <c r="P666">
        <f t="shared" si="3"/>
        <v>18.5</v>
      </c>
      <c r="Q666">
        <f t="shared" si="4"/>
        <v>0</v>
      </c>
      <c r="R666">
        <f t="shared" si="5"/>
        <v>75</v>
      </c>
      <c r="S666" t="s">
        <v>442</v>
      </c>
      <c r="T666" t="s">
        <v>258</v>
      </c>
      <c r="V666" t="s">
        <v>38</v>
      </c>
      <c r="X666">
        <v>1</v>
      </c>
      <c r="AE666" t="s">
        <v>460</v>
      </c>
      <c r="AF666">
        <v>-76.653561670000002</v>
      </c>
      <c r="AG666">
        <v>3.3533783330000002</v>
      </c>
      <c r="AH666">
        <v>70</v>
      </c>
      <c r="AI666">
        <v>0</v>
      </c>
      <c r="AJ666">
        <v>25</v>
      </c>
      <c r="AK666">
        <v>-76.652906669999993</v>
      </c>
      <c r="AL666">
        <v>3.3534250000000001</v>
      </c>
      <c r="AM666">
        <v>80</v>
      </c>
      <c r="AN666">
        <v>0</v>
      </c>
      <c r="AO666">
        <v>12</v>
      </c>
      <c r="AP666" t="s">
        <v>441</v>
      </c>
      <c r="AQ666" t="s">
        <v>443</v>
      </c>
    </row>
    <row r="667" spans="1:43" x14ac:dyDescent="0.2">
      <c r="A667">
        <v>2020</v>
      </c>
      <c r="B667" t="s">
        <v>10</v>
      </c>
      <c r="C667" t="s">
        <v>12</v>
      </c>
      <c r="D667" t="s">
        <v>189</v>
      </c>
      <c r="E667" t="s">
        <v>157</v>
      </c>
      <c r="F667" s="4">
        <v>44132</v>
      </c>
      <c r="G667" s="6">
        <v>0.8941203703703704</v>
      </c>
      <c r="H667">
        <v>-76.652936670000003</v>
      </c>
      <c r="I667">
        <v>3.3533466669999998</v>
      </c>
      <c r="J667">
        <v>5</v>
      </c>
      <c r="K667" t="s">
        <v>112</v>
      </c>
      <c r="L667" t="s">
        <v>113</v>
      </c>
      <c r="M667">
        <v>2525</v>
      </c>
      <c r="N667" t="b">
        <v>1</v>
      </c>
      <c r="P667">
        <f t="shared" si="3"/>
        <v>18.5</v>
      </c>
      <c r="Q667">
        <f t="shared" si="4"/>
        <v>0</v>
      </c>
      <c r="R667">
        <f t="shared" si="5"/>
        <v>75</v>
      </c>
      <c r="S667" t="s">
        <v>442</v>
      </c>
      <c r="T667" t="s">
        <v>258</v>
      </c>
      <c r="V667" t="s">
        <v>9</v>
      </c>
      <c r="X667">
        <v>1</v>
      </c>
      <c r="AE667" t="s">
        <v>460</v>
      </c>
      <c r="AF667">
        <v>-76.653561670000002</v>
      </c>
      <c r="AG667">
        <v>3.3533783330000002</v>
      </c>
      <c r="AH667">
        <v>70</v>
      </c>
      <c r="AI667">
        <v>0</v>
      </c>
      <c r="AJ667">
        <v>25</v>
      </c>
      <c r="AK667">
        <v>-76.652906669999993</v>
      </c>
      <c r="AL667">
        <v>3.3534250000000001</v>
      </c>
      <c r="AM667">
        <v>80</v>
      </c>
      <c r="AN667">
        <v>0</v>
      </c>
      <c r="AO667">
        <v>12</v>
      </c>
      <c r="AP667" t="s">
        <v>467</v>
      </c>
      <c r="AQ667" t="s">
        <v>244</v>
      </c>
    </row>
    <row r="668" spans="1:43" x14ac:dyDescent="0.2">
      <c r="A668">
        <v>2020</v>
      </c>
      <c r="B668" t="s">
        <v>10</v>
      </c>
      <c r="C668" t="s">
        <v>12</v>
      </c>
      <c r="D668" t="s">
        <v>189</v>
      </c>
      <c r="E668" t="s">
        <v>157</v>
      </c>
      <c r="F668" s="4">
        <v>44132</v>
      </c>
      <c r="G668" s="6">
        <v>0.88800925925925922</v>
      </c>
      <c r="H668">
        <v>-76.653148329999993</v>
      </c>
      <c r="I668">
        <v>3.3533916669999999</v>
      </c>
      <c r="J668">
        <v>5</v>
      </c>
      <c r="K668" t="s">
        <v>112</v>
      </c>
      <c r="L668" t="s">
        <v>113</v>
      </c>
      <c r="M668">
        <v>2525</v>
      </c>
      <c r="N668" t="b">
        <v>1</v>
      </c>
      <c r="P668">
        <f t="shared" si="3"/>
        <v>18.5</v>
      </c>
      <c r="Q668">
        <f t="shared" si="4"/>
        <v>0</v>
      </c>
      <c r="R668">
        <f t="shared" si="5"/>
        <v>75</v>
      </c>
      <c r="S668" t="s">
        <v>458</v>
      </c>
      <c r="T668" t="s">
        <v>258</v>
      </c>
      <c r="V668" t="s">
        <v>38</v>
      </c>
      <c r="X668">
        <v>1</v>
      </c>
      <c r="AE668" t="s">
        <v>460</v>
      </c>
      <c r="AF668">
        <v>-76.653561670000002</v>
      </c>
      <c r="AG668">
        <v>3.3533783330000002</v>
      </c>
      <c r="AH668">
        <v>70</v>
      </c>
      <c r="AI668">
        <v>0</v>
      </c>
      <c r="AJ668">
        <v>25</v>
      </c>
      <c r="AK668">
        <v>-76.652906669999993</v>
      </c>
      <c r="AL668">
        <v>3.3534250000000001</v>
      </c>
      <c r="AM668">
        <v>80</v>
      </c>
      <c r="AN668">
        <v>0</v>
      </c>
      <c r="AO668">
        <v>12</v>
      </c>
      <c r="AP668" t="s">
        <v>441</v>
      </c>
      <c r="AQ668" t="s">
        <v>443</v>
      </c>
    </row>
    <row r="669" spans="1:43" x14ac:dyDescent="0.2">
      <c r="A669">
        <v>2020</v>
      </c>
      <c r="B669" t="s">
        <v>10</v>
      </c>
      <c r="C669" t="s">
        <v>12</v>
      </c>
      <c r="D669" t="s">
        <v>189</v>
      </c>
      <c r="E669" t="s">
        <v>157</v>
      </c>
      <c r="F669" s="4">
        <v>44132</v>
      </c>
      <c r="G669" s="6">
        <v>0.87402777777777774</v>
      </c>
      <c r="H669">
        <v>-76.653561670000002</v>
      </c>
      <c r="I669">
        <v>3.3533783330000002</v>
      </c>
      <c r="J669">
        <v>5</v>
      </c>
      <c r="K669" t="s">
        <v>119</v>
      </c>
      <c r="L669" t="s">
        <v>113</v>
      </c>
      <c r="M669">
        <v>2542</v>
      </c>
      <c r="N669" t="b">
        <v>1</v>
      </c>
      <c r="P669">
        <f t="shared" si="3"/>
        <v>18.5</v>
      </c>
      <c r="Q669">
        <f t="shared" si="4"/>
        <v>0</v>
      </c>
      <c r="R669">
        <f t="shared" si="5"/>
        <v>75</v>
      </c>
      <c r="S669" t="s">
        <v>442</v>
      </c>
      <c r="T669" t="s">
        <v>258</v>
      </c>
      <c r="V669" t="s">
        <v>38</v>
      </c>
      <c r="X669">
        <v>1</v>
      </c>
      <c r="AE669" t="s">
        <v>460</v>
      </c>
      <c r="AF669">
        <v>-76.653561670000002</v>
      </c>
      <c r="AG669">
        <v>3.3533783330000002</v>
      </c>
      <c r="AH669">
        <v>70</v>
      </c>
      <c r="AI669">
        <v>0</v>
      </c>
      <c r="AJ669">
        <v>25</v>
      </c>
      <c r="AK669">
        <v>-76.652906669999993</v>
      </c>
      <c r="AL669">
        <v>3.3534250000000001</v>
      </c>
      <c r="AM669">
        <v>80</v>
      </c>
      <c r="AN669">
        <v>0</v>
      </c>
      <c r="AO669">
        <v>12</v>
      </c>
      <c r="AP669" t="s">
        <v>467</v>
      </c>
      <c r="AQ669" t="s">
        <v>443</v>
      </c>
    </row>
    <row r="670" spans="1:43" x14ac:dyDescent="0.2">
      <c r="A670">
        <v>2020</v>
      </c>
      <c r="B670" t="s">
        <v>10</v>
      </c>
      <c r="C670" t="s">
        <v>11</v>
      </c>
      <c r="D670" t="s">
        <v>182</v>
      </c>
      <c r="E670" t="s">
        <v>127</v>
      </c>
      <c r="F670" s="4">
        <v>44132</v>
      </c>
      <c r="G670" s="6">
        <v>0.78991898148148143</v>
      </c>
      <c r="H670">
        <v>-76.656364999999994</v>
      </c>
      <c r="I670">
        <v>3.3554216669999999</v>
      </c>
      <c r="J670">
        <v>5</v>
      </c>
      <c r="K670" t="s">
        <v>112</v>
      </c>
      <c r="L670" t="s">
        <v>113</v>
      </c>
      <c r="M670">
        <v>2563</v>
      </c>
      <c r="N670" t="b">
        <v>0</v>
      </c>
      <c r="O670" t="b">
        <v>1</v>
      </c>
      <c r="P670">
        <f t="shared" si="3"/>
        <v>17.5</v>
      </c>
      <c r="Q670">
        <f t="shared" si="4"/>
        <v>1.6</v>
      </c>
      <c r="R670">
        <f t="shared" si="5"/>
        <v>55</v>
      </c>
      <c r="S670" t="s">
        <v>442</v>
      </c>
      <c r="T670" t="s">
        <v>447</v>
      </c>
      <c r="V670" t="s">
        <v>38</v>
      </c>
      <c r="X670">
        <v>1</v>
      </c>
      <c r="AE670" t="s">
        <v>462</v>
      </c>
      <c r="AF670">
        <v>-76.656536669999994</v>
      </c>
      <c r="AG670">
        <v>3.3552016670000002</v>
      </c>
      <c r="AH670">
        <v>40</v>
      </c>
      <c r="AI670">
        <v>1.5</v>
      </c>
      <c r="AJ670">
        <v>20</v>
      </c>
      <c r="AK670">
        <v>-76.656246670000002</v>
      </c>
      <c r="AL670">
        <v>3.3554300000000001</v>
      </c>
      <c r="AM670">
        <v>70</v>
      </c>
      <c r="AN670">
        <v>1.7</v>
      </c>
      <c r="AO670">
        <v>15</v>
      </c>
      <c r="AP670" t="s">
        <v>441</v>
      </c>
      <c r="AQ670" t="s">
        <v>443</v>
      </c>
    </row>
    <row r="671" spans="1:43" x14ac:dyDescent="0.2">
      <c r="A671">
        <v>2020</v>
      </c>
      <c r="B671" t="s">
        <v>10</v>
      </c>
      <c r="C671" t="s">
        <v>11</v>
      </c>
      <c r="D671" t="s">
        <v>186</v>
      </c>
      <c r="E671" t="s">
        <v>122</v>
      </c>
      <c r="F671" s="4">
        <v>44132</v>
      </c>
      <c r="G671" s="6">
        <v>0.80862268518518521</v>
      </c>
      <c r="H671">
        <v>-76.656459999999996</v>
      </c>
      <c r="I671">
        <v>3.3551099999999998</v>
      </c>
      <c r="J671">
        <v>5</v>
      </c>
      <c r="K671" t="s">
        <v>119</v>
      </c>
      <c r="L671" t="s">
        <v>463</v>
      </c>
      <c r="M671">
        <v>2582</v>
      </c>
      <c r="N671" t="b">
        <v>1</v>
      </c>
      <c r="P671">
        <f t="shared" si="3"/>
        <v>22.5</v>
      </c>
      <c r="Q671">
        <f t="shared" si="4"/>
        <v>0</v>
      </c>
      <c r="R671">
        <f t="shared" si="5"/>
        <v>35</v>
      </c>
      <c r="S671" t="s">
        <v>442</v>
      </c>
      <c r="T671" t="s">
        <v>258</v>
      </c>
      <c r="V671" t="s">
        <v>38</v>
      </c>
      <c r="X671">
        <v>1</v>
      </c>
      <c r="AE671" t="s">
        <v>462</v>
      </c>
      <c r="AF671">
        <v>-76.656631669999996</v>
      </c>
      <c r="AG671">
        <v>3.3551383330000002</v>
      </c>
      <c r="AH671">
        <v>30</v>
      </c>
      <c r="AI671">
        <v>0</v>
      </c>
      <c r="AJ671">
        <v>20</v>
      </c>
      <c r="AK671">
        <v>-76.655793329999995</v>
      </c>
      <c r="AL671">
        <v>3.3546233330000002</v>
      </c>
      <c r="AM671">
        <v>40</v>
      </c>
      <c r="AN671">
        <v>0</v>
      </c>
      <c r="AO671">
        <v>25</v>
      </c>
      <c r="AP671" t="s">
        <v>441</v>
      </c>
      <c r="AQ671" t="s">
        <v>443</v>
      </c>
    </row>
    <row r="672" spans="1:43" x14ac:dyDescent="0.2">
      <c r="A672">
        <v>2020</v>
      </c>
      <c r="B672" t="s">
        <v>10</v>
      </c>
      <c r="C672" t="s">
        <v>11</v>
      </c>
      <c r="D672" t="s">
        <v>186</v>
      </c>
      <c r="E672" t="s">
        <v>122</v>
      </c>
      <c r="F672" s="4">
        <v>44132</v>
      </c>
      <c r="G672" s="6">
        <v>0.82715277777777774</v>
      </c>
      <c r="H672">
        <v>-76.656108329999995</v>
      </c>
      <c r="I672">
        <v>3.3549099999999998</v>
      </c>
      <c r="J672">
        <v>5</v>
      </c>
      <c r="K672" t="s">
        <v>119</v>
      </c>
      <c r="L672" t="s">
        <v>113</v>
      </c>
      <c r="M672">
        <v>2581</v>
      </c>
      <c r="N672" t="b">
        <v>1</v>
      </c>
      <c r="P672">
        <f t="shared" si="3"/>
        <v>22.5</v>
      </c>
      <c r="Q672">
        <f t="shared" si="4"/>
        <v>0</v>
      </c>
      <c r="R672">
        <f t="shared" si="5"/>
        <v>35</v>
      </c>
      <c r="S672" t="s">
        <v>442</v>
      </c>
      <c r="T672" t="s">
        <v>258</v>
      </c>
      <c r="V672" t="s">
        <v>59</v>
      </c>
      <c r="X672">
        <v>1</v>
      </c>
      <c r="AE672" t="s">
        <v>462</v>
      </c>
      <c r="AF672">
        <v>-76.656631669999996</v>
      </c>
      <c r="AG672">
        <v>3.3551383330000002</v>
      </c>
      <c r="AH672">
        <v>30</v>
      </c>
      <c r="AI672">
        <v>0</v>
      </c>
      <c r="AJ672">
        <v>20</v>
      </c>
      <c r="AK672">
        <v>-76.655793329999995</v>
      </c>
      <c r="AL672">
        <v>3.3546233330000002</v>
      </c>
      <c r="AM672">
        <v>40</v>
      </c>
      <c r="AN672">
        <v>0</v>
      </c>
      <c r="AO672">
        <v>25</v>
      </c>
      <c r="AP672" t="s">
        <v>441</v>
      </c>
      <c r="AQ672" t="s">
        <v>443</v>
      </c>
    </row>
    <row r="673" spans="1:43" x14ac:dyDescent="0.2">
      <c r="A673">
        <v>2020</v>
      </c>
      <c r="B673" t="s">
        <v>10</v>
      </c>
      <c r="C673" t="s">
        <v>11</v>
      </c>
      <c r="D673" t="s">
        <v>186</v>
      </c>
      <c r="E673" t="s">
        <v>122</v>
      </c>
      <c r="F673" s="4">
        <v>44132</v>
      </c>
      <c r="G673" s="6">
        <v>0.83524305555555556</v>
      </c>
      <c r="H673">
        <v>-76.655921669999998</v>
      </c>
      <c r="I673">
        <v>3.354761667</v>
      </c>
      <c r="J673">
        <v>5</v>
      </c>
      <c r="K673" t="s">
        <v>112</v>
      </c>
      <c r="L673" t="s">
        <v>455</v>
      </c>
      <c r="M673">
        <v>2587</v>
      </c>
      <c r="N673" t="b">
        <v>1</v>
      </c>
      <c r="P673">
        <f t="shared" si="3"/>
        <v>22.5</v>
      </c>
      <c r="Q673">
        <f t="shared" si="4"/>
        <v>0</v>
      </c>
      <c r="R673">
        <f t="shared" si="5"/>
        <v>35</v>
      </c>
      <c r="S673" t="s">
        <v>442</v>
      </c>
      <c r="T673" t="s">
        <v>258</v>
      </c>
      <c r="V673" t="s">
        <v>38</v>
      </c>
      <c r="X673">
        <v>1</v>
      </c>
      <c r="AE673" t="s">
        <v>462</v>
      </c>
      <c r="AF673">
        <v>-76.656631669999996</v>
      </c>
      <c r="AG673">
        <v>3.3551383330000002</v>
      </c>
      <c r="AH673">
        <v>30</v>
      </c>
      <c r="AI673">
        <v>0</v>
      </c>
      <c r="AJ673">
        <v>20</v>
      </c>
      <c r="AK673">
        <v>-76.655793329999995</v>
      </c>
      <c r="AL673">
        <v>3.3546233330000002</v>
      </c>
      <c r="AM673">
        <v>40</v>
      </c>
      <c r="AN673">
        <v>0</v>
      </c>
      <c r="AO673">
        <v>25</v>
      </c>
      <c r="AP673" t="s">
        <v>441</v>
      </c>
      <c r="AQ673" t="s">
        <v>443</v>
      </c>
    </row>
    <row r="674" spans="1:43" x14ac:dyDescent="0.2">
      <c r="A674">
        <v>2020</v>
      </c>
      <c r="B674" t="s">
        <v>10</v>
      </c>
      <c r="C674" t="s">
        <v>11</v>
      </c>
      <c r="D674" t="s">
        <v>186</v>
      </c>
      <c r="E674" t="s">
        <v>122</v>
      </c>
      <c r="F674" s="4">
        <v>44132</v>
      </c>
      <c r="G674" s="6">
        <v>0.83524305555555556</v>
      </c>
      <c r="H674">
        <v>-76.655921669999998</v>
      </c>
      <c r="I674">
        <v>3.354761667</v>
      </c>
      <c r="J674">
        <v>5</v>
      </c>
      <c r="K674" t="s">
        <v>112</v>
      </c>
      <c r="L674" t="s">
        <v>455</v>
      </c>
      <c r="M674">
        <v>2591</v>
      </c>
      <c r="N674" t="b">
        <v>1</v>
      </c>
      <c r="P674">
        <f t="shared" si="3"/>
        <v>22.5</v>
      </c>
      <c r="Q674">
        <f t="shared" si="4"/>
        <v>0</v>
      </c>
      <c r="R674">
        <f t="shared" si="5"/>
        <v>35</v>
      </c>
      <c r="S674" t="s">
        <v>442</v>
      </c>
      <c r="T674" t="s">
        <v>258</v>
      </c>
      <c r="V674" t="s">
        <v>9</v>
      </c>
      <c r="X674">
        <v>1</v>
      </c>
      <c r="AE674" t="s">
        <v>462</v>
      </c>
      <c r="AF674">
        <v>-76.656631669999996</v>
      </c>
      <c r="AG674">
        <v>3.3551383330000002</v>
      </c>
      <c r="AH674">
        <v>30</v>
      </c>
      <c r="AI674">
        <v>0</v>
      </c>
      <c r="AJ674">
        <v>20</v>
      </c>
      <c r="AK674">
        <v>-76.655793329999995</v>
      </c>
      <c r="AL674">
        <v>3.3546233330000002</v>
      </c>
      <c r="AM674">
        <v>40</v>
      </c>
      <c r="AN674">
        <v>0</v>
      </c>
      <c r="AO674">
        <v>25</v>
      </c>
      <c r="AP674" t="s">
        <v>448</v>
      </c>
      <c r="AQ674" t="s">
        <v>244</v>
      </c>
    </row>
    <row r="675" spans="1:43" x14ac:dyDescent="0.2">
      <c r="A675">
        <v>2020</v>
      </c>
      <c r="B675" t="s">
        <v>10</v>
      </c>
      <c r="C675" t="s">
        <v>11</v>
      </c>
      <c r="D675" t="s">
        <v>186</v>
      </c>
      <c r="E675" t="s">
        <v>122</v>
      </c>
      <c r="F675" s="4">
        <v>44132</v>
      </c>
      <c r="G675" s="6">
        <v>0.81841435185185185</v>
      </c>
      <c r="H675">
        <v>-76.656270000000006</v>
      </c>
      <c r="I675">
        <v>3.3548766670000001</v>
      </c>
      <c r="J675">
        <v>5</v>
      </c>
      <c r="K675" t="s">
        <v>119</v>
      </c>
      <c r="L675" t="s">
        <v>463</v>
      </c>
      <c r="M675">
        <v>2551</v>
      </c>
      <c r="N675" t="b">
        <v>1</v>
      </c>
      <c r="P675">
        <f t="shared" si="3"/>
        <v>22.5</v>
      </c>
      <c r="Q675">
        <f t="shared" si="4"/>
        <v>0</v>
      </c>
      <c r="R675">
        <f t="shared" si="5"/>
        <v>35</v>
      </c>
      <c r="S675" t="s">
        <v>458</v>
      </c>
      <c r="T675" t="s">
        <v>258</v>
      </c>
      <c r="V675" t="s">
        <v>38</v>
      </c>
      <c r="X675">
        <v>1</v>
      </c>
      <c r="AE675" t="s">
        <v>462</v>
      </c>
      <c r="AF675">
        <v>-76.656631669999996</v>
      </c>
      <c r="AG675">
        <v>3.3551383330000002</v>
      </c>
      <c r="AH675">
        <v>30</v>
      </c>
      <c r="AI675">
        <v>0</v>
      </c>
      <c r="AJ675">
        <v>20</v>
      </c>
      <c r="AK675">
        <v>-76.655793329999995</v>
      </c>
      <c r="AL675">
        <v>3.3546233330000002</v>
      </c>
      <c r="AM675">
        <v>40</v>
      </c>
      <c r="AN675">
        <v>0</v>
      </c>
      <c r="AO675">
        <v>25</v>
      </c>
      <c r="AP675" t="s">
        <v>441</v>
      </c>
      <c r="AQ675" t="s">
        <v>443</v>
      </c>
    </row>
    <row r="676" spans="1:43" x14ac:dyDescent="0.2">
      <c r="A676">
        <v>2020</v>
      </c>
      <c r="B676" t="s">
        <v>10</v>
      </c>
      <c r="C676" t="s">
        <v>11</v>
      </c>
      <c r="D676" t="s">
        <v>186</v>
      </c>
      <c r="E676" t="s">
        <v>122</v>
      </c>
      <c r="F676" s="4">
        <v>44132</v>
      </c>
      <c r="G676" s="6">
        <v>0.83042824074074073</v>
      </c>
      <c r="H676">
        <v>-76.656088330000003</v>
      </c>
      <c r="I676">
        <v>3.354873333</v>
      </c>
      <c r="J676">
        <v>5</v>
      </c>
      <c r="K676" t="s">
        <v>112</v>
      </c>
      <c r="L676" t="s">
        <v>113</v>
      </c>
      <c r="M676">
        <v>2578</v>
      </c>
      <c r="N676" t="b">
        <v>1</v>
      </c>
      <c r="P676">
        <f t="shared" si="3"/>
        <v>22.5</v>
      </c>
      <c r="Q676">
        <f t="shared" si="4"/>
        <v>0</v>
      </c>
      <c r="R676">
        <f t="shared" si="5"/>
        <v>35</v>
      </c>
      <c r="S676" t="s">
        <v>442</v>
      </c>
      <c r="T676" t="s">
        <v>258</v>
      </c>
      <c r="V676" t="s">
        <v>38</v>
      </c>
      <c r="X676">
        <v>1</v>
      </c>
      <c r="AE676" t="s">
        <v>462</v>
      </c>
      <c r="AF676">
        <v>-76.656631669999996</v>
      </c>
      <c r="AG676">
        <v>3.3551383330000002</v>
      </c>
      <c r="AH676">
        <v>30</v>
      </c>
      <c r="AI676">
        <v>0</v>
      </c>
      <c r="AJ676">
        <v>20</v>
      </c>
      <c r="AK676">
        <v>-76.655793329999995</v>
      </c>
      <c r="AL676">
        <v>3.3546233330000002</v>
      </c>
      <c r="AM676">
        <v>40</v>
      </c>
      <c r="AN676">
        <v>0</v>
      </c>
      <c r="AO676">
        <v>25</v>
      </c>
      <c r="AP676" t="s">
        <v>441</v>
      </c>
      <c r="AQ676" t="s">
        <v>443</v>
      </c>
    </row>
    <row r="677" spans="1:43" x14ac:dyDescent="0.2">
      <c r="A677">
        <v>2020</v>
      </c>
      <c r="B677" t="s">
        <v>10</v>
      </c>
      <c r="C677" t="s">
        <v>14</v>
      </c>
      <c r="D677" t="s">
        <v>225</v>
      </c>
      <c r="E677" t="s">
        <v>135</v>
      </c>
      <c r="F677" s="4">
        <v>44130</v>
      </c>
      <c r="G677" s="6">
        <v>0.82950231481481485</v>
      </c>
      <c r="H677">
        <v>-76.644868329999994</v>
      </c>
      <c r="I677">
        <v>3.3497633329999998</v>
      </c>
      <c r="J677">
        <v>5</v>
      </c>
      <c r="P677">
        <f t="shared" si="3"/>
        <v>4</v>
      </c>
      <c r="Q677">
        <f t="shared" si="4"/>
        <v>0</v>
      </c>
      <c r="R677">
        <f t="shared" si="5"/>
        <v>15</v>
      </c>
      <c r="V677" t="s">
        <v>47</v>
      </c>
      <c r="W677" t="s">
        <v>452</v>
      </c>
      <c r="X677">
        <v>0</v>
      </c>
      <c r="AD677" t="s">
        <v>468</v>
      </c>
      <c r="AE677" t="s">
        <v>459</v>
      </c>
      <c r="AF677">
        <v>-76.644678330000005</v>
      </c>
      <c r="AG677">
        <v>3.349678333</v>
      </c>
      <c r="AH677">
        <v>15</v>
      </c>
      <c r="AI677">
        <v>0</v>
      </c>
      <c r="AJ677">
        <v>3</v>
      </c>
      <c r="AK677">
        <v>-76.645466670000005</v>
      </c>
      <c r="AL677">
        <v>3.3496549999999998</v>
      </c>
      <c r="AM677">
        <v>15</v>
      </c>
      <c r="AN677">
        <v>0</v>
      </c>
      <c r="AO677">
        <v>5</v>
      </c>
    </row>
    <row r="678" spans="1:43" x14ac:dyDescent="0.2">
      <c r="A678">
        <v>2020</v>
      </c>
      <c r="B678" t="s">
        <v>10</v>
      </c>
      <c r="C678" t="s">
        <v>13</v>
      </c>
      <c r="D678" t="s">
        <v>177</v>
      </c>
      <c r="E678" t="s">
        <v>111</v>
      </c>
      <c r="F678" s="4">
        <v>44130</v>
      </c>
      <c r="G678" s="6">
        <v>0.80886574074074069</v>
      </c>
      <c r="H678">
        <v>-76.643860000000004</v>
      </c>
      <c r="I678">
        <v>3.3496633330000001</v>
      </c>
      <c r="J678">
        <v>5</v>
      </c>
      <c r="K678" t="s">
        <v>119</v>
      </c>
      <c r="L678" t="s">
        <v>113</v>
      </c>
      <c r="M678">
        <v>2453</v>
      </c>
      <c r="N678" t="b">
        <v>1</v>
      </c>
      <c r="P678">
        <f t="shared" si="3"/>
        <v>20</v>
      </c>
      <c r="Q678">
        <f t="shared" si="4"/>
        <v>0</v>
      </c>
      <c r="R678">
        <f t="shared" si="5"/>
        <v>15</v>
      </c>
      <c r="S678" t="s">
        <v>442</v>
      </c>
      <c r="T678" t="s">
        <v>145</v>
      </c>
      <c r="V678" t="s">
        <v>36</v>
      </c>
      <c r="X678">
        <v>2</v>
      </c>
      <c r="AE678" t="s">
        <v>469</v>
      </c>
      <c r="AF678">
        <v>-76.643439999999998</v>
      </c>
      <c r="AG678">
        <v>3.3497266670000001</v>
      </c>
      <c r="AH678">
        <v>20</v>
      </c>
      <c r="AI678">
        <v>0</v>
      </c>
      <c r="AJ678">
        <v>20</v>
      </c>
      <c r="AK678">
        <v>-76.644321669999997</v>
      </c>
      <c r="AL678">
        <v>3.3495866670000001</v>
      </c>
      <c r="AM678">
        <v>10</v>
      </c>
      <c r="AN678">
        <v>0</v>
      </c>
      <c r="AO678">
        <v>20</v>
      </c>
      <c r="AP678" t="s">
        <v>441</v>
      </c>
      <c r="AQ678" t="s">
        <v>443</v>
      </c>
    </row>
    <row r="679" spans="1:43" x14ac:dyDescent="0.2">
      <c r="A679">
        <v>2020</v>
      </c>
      <c r="B679" t="s">
        <v>10</v>
      </c>
      <c r="C679" t="s">
        <v>12</v>
      </c>
      <c r="D679" t="s">
        <v>347</v>
      </c>
      <c r="E679" t="s">
        <v>127</v>
      </c>
      <c r="F679" s="4">
        <v>44133</v>
      </c>
      <c r="G679" s="6">
        <v>0.85291666666666666</v>
      </c>
      <c r="H679">
        <v>-76.650318330000005</v>
      </c>
      <c r="I679">
        <v>3.3529366669999998</v>
      </c>
      <c r="J679">
        <v>5</v>
      </c>
      <c r="K679" t="s">
        <v>112</v>
      </c>
      <c r="L679" t="s">
        <v>113</v>
      </c>
      <c r="M679">
        <v>2490</v>
      </c>
      <c r="N679" t="b">
        <v>1</v>
      </c>
      <c r="P679">
        <f t="shared" si="3"/>
        <v>22.5</v>
      </c>
      <c r="Q679">
        <f t="shared" si="4"/>
        <v>0</v>
      </c>
      <c r="R679">
        <f t="shared" si="5"/>
        <v>80</v>
      </c>
      <c r="S679" t="s">
        <v>458</v>
      </c>
      <c r="T679" t="s">
        <v>145</v>
      </c>
      <c r="V679" t="s">
        <v>38</v>
      </c>
      <c r="X679">
        <v>1</v>
      </c>
      <c r="AE679" t="s">
        <v>470</v>
      </c>
      <c r="AF679">
        <v>-76.649778330000004</v>
      </c>
      <c r="AG679">
        <v>3.3526433330000001</v>
      </c>
      <c r="AH679">
        <v>70</v>
      </c>
      <c r="AI679">
        <v>0</v>
      </c>
      <c r="AJ679">
        <v>25</v>
      </c>
      <c r="AK679">
        <v>-76.650318330000005</v>
      </c>
      <c r="AL679">
        <v>3.3529366669999998</v>
      </c>
      <c r="AM679">
        <v>90</v>
      </c>
      <c r="AN679">
        <v>0</v>
      </c>
      <c r="AO679">
        <v>20</v>
      </c>
      <c r="AP679" t="s">
        <v>441</v>
      </c>
      <c r="AQ679" t="s">
        <v>443</v>
      </c>
    </row>
    <row r="680" spans="1:43" x14ac:dyDescent="0.2">
      <c r="A680">
        <v>2020</v>
      </c>
      <c r="B680" t="s">
        <v>10</v>
      </c>
      <c r="C680" t="s">
        <v>12</v>
      </c>
      <c r="D680" t="s">
        <v>347</v>
      </c>
      <c r="E680" t="s">
        <v>127</v>
      </c>
      <c r="F680" s="4">
        <v>44133</v>
      </c>
      <c r="G680" s="6">
        <v>0.84859953703703705</v>
      </c>
      <c r="H680">
        <v>-76.650099999999995</v>
      </c>
      <c r="I680">
        <v>3.3528916670000002</v>
      </c>
      <c r="J680">
        <v>5</v>
      </c>
      <c r="K680" t="s">
        <v>112</v>
      </c>
      <c r="L680" t="s">
        <v>113</v>
      </c>
      <c r="M680">
        <v>2490</v>
      </c>
      <c r="N680" t="b">
        <v>1</v>
      </c>
      <c r="P680">
        <f t="shared" si="3"/>
        <v>22.5</v>
      </c>
      <c r="Q680">
        <f t="shared" si="4"/>
        <v>0</v>
      </c>
      <c r="R680">
        <f t="shared" si="5"/>
        <v>80</v>
      </c>
      <c r="S680" t="s">
        <v>458</v>
      </c>
      <c r="T680" t="s">
        <v>145</v>
      </c>
      <c r="V680" t="s">
        <v>9</v>
      </c>
      <c r="X680">
        <v>1</v>
      </c>
      <c r="AE680" t="s">
        <v>470</v>
      </c>
      <c r="AF680">
        <v>-76.649778330000004</v>
      </c>
      <c r="AG680">
        <v>3.3526433330000001</v>
      </c>
      <c r="AH680">
        <v>70</v>
      </c>
      <c r="AI680">
        <v>0</v>
      </c>
      <c r="AJ680">
        <v>25</v>
      </c>
      <c r="AK680">
        <v>-76.650318330000005</v>
      </c>
      <c r="AL680">
        <v>3.3529366669999998</v>
      </c>
      <c r="AM680">
        <v>90</v>
      </c>
      <c r="AN680">
        <v>0</v>
      </c>
      <c r="AO680">
        <v>20</v>
      </c>
      <c r="AP680" t="s">
        <v>441</v>
      </c>
      <c r="AQ680" t="s">
        <v>443</v>
      </c>
    </row>
    <row r="681" spans="1:43" x14ac:dyDescent="0.2">
      <c r="A681">
        <v>2020</v>
      </c>
      <c r="B681" t="s">
        <v>10</v>
      </c>
      <c r="C681" t="s">
        <v>12</v>
      </c>
      <c r="D681" t="s">
        <v>347</v>
      </c>
      <c r="E681" t="s">
        <v>127</v>
      </c>
      <c r="F681" s="4">
        <v>44133</v>
      </c>
      <c r="G681" s="6">
        <v>0.84092592592592597</v>
      </c>
      <c r="H681">
        <v>-76.649886670000001</v>
      </c>
      <c r="I681">
        <v>3.352773333</v>
      </c>
      <c r="J681">
        <v>5</v>
      </c>
      <c r="K681" t="s">
        <v>119</v>
      </c>
      <c r="L681" t="s">
        <v>463</v>
      </c>
      <c r="M681">
        <v>2479</v>
      </c>
      <c r="N681" t="b">
        <v>1</v>
      </c>
      <c r="P681">
        <f t="shared" si="3"/>
        <v>22.5</v>
      </c>
      <c r="Q681">
        <f t="shared" si="4"/>
        <v>0</v>
      </c>
      <c r="R681">
        <f t="shared" si="5"/>
        <v>80</v>
      </c>
      <c r="S681" t="s">
        <v>442</v>
      </c>
      <c r="T681" t="s">
        <v>145</v>
      </c>
      <c r="V681" t="s">
        <v>38</v>
      </c>
      <c r="X681">
        <v>1</v>
      </c>
      <c r="AE681" t="s">
        <v>470</v>
      </c>
      <c r="AF681">
        <v>-76.649778330000004</v>
      </c>
      <c r="AG681">
        <v>3.3526433330000001</v>
      </c>
      <c r="AH681">
        <v>70</v>
      </c>
      <c r="AI681">
        <v>0</v>
      </c>
      <c r="AJ681">
        <v>25</v>
      </c>
      <c r="AK681">
        <v>-76.650318330000005</v>
      </c>
      <c r="AL681">
        <v>3.3529366669999998</v>
      </c>
      <c r="AM681">
        <v>90</v>
      </c>
      <c r="AN681">
        <v>0</v>
      </c>
      <c r="AO681">
        <v>20</v>
      </c>
      <c r="AP681" t="s">
        <v>441</v>
      </c>
      <c r="AQ681" t="s">
        <v>443</v>
      </c>
    </row>
    <row r="682" spans="1:43" x14ac:dyDescent="0.2">
      <c r="A682">
        <v>2020</v>
      </c>
      <c r="B682" t="s">
        <v>10</v>
      </c>
      <c r="C682" t="s">
        <v>12</v>
      </c>
      <c r="D682" t="s">
        <v>471</v>
      </c>
      <c r="E682" t="s">
        <v>122</v>
      </c>
      <c r="F682" s="4">
        <v>44133</v>
      </c>
      <c r="G682" s="6">
        <v>0.82103009259259263</v>
      </c>
      <c r="H682">
        <v>-76.648966669999993</v>
      </c>
      <c r="I682">
        <v>3.3527550000000002</v>
      </c>
      <c r="J682">
        <v>5</v>
      </c>
      <c r="K682" t="s">
        <v>112</v>
      </c>
      <c r="L682" t="s">
        <v>455</v>
      </c>
      <c r="M682">
        <v>2463</v>
      </c>
      <c r="N682" t="b">
        <v>1</v>
      </c>
      <c r="P682">
        <f t="shared" si="3"/>
        <v>22.5</v>
      </c>
      <c r="Q682">
        <f t="shared" si="4"/>
        <v>0</v>
      </c>
      <c r="R682">
        <f t="shared" si="5"/>
        <v>75</v>
      </c>
      <c r="S682" t="s">
        <v>442</v>
      </c>
      <c r="T682" t="s">
        <v>145</v>
      </c>
      <c r="V682" t="s">
        <v>9</v>
      </c>
      <c r="X682">
        <v>1</v>
      </c>
      <c r="AE682" t="s">
        <v>456</v>
      </c>
      <c r="AF682">
        <v>-76.648538329999994</v>
      </c>
      <c r="AG682">
        <v>3.3525749999999999</v>
      </c>
      <c r="AH682">
        <v>80</v>
      </c>
      <c r="AI682">
        <v>0</v>
      </c>
      <c r="AJ682">
        <v>30</v>
      </c>
      <c r="AK682">
        <v>-76.649286669999995</v>
      </c>
      <c r="AL682">
        <v>3.352766667</v>
      </c>
      <c r="AM682">
        <v>70</v>
      </c>
      <c r="AN682">
        <v>0</v>
      </c>
      <c r="AO682">
        <v>15</v>
      </c>
      <c r="AP682" t="s">
        <v>441</v>
      </c>
      <c r="AQ682" t="s">
        <v>443</v>
      </c>
    </row>
    <row r="683" spans="1:43" x14ac:dyDescent="0.2">
      <c r="A683">
        <v>2020</v>
      </c>
      <c r="B683" t="s">
        <v>10</v>
      </c>
      <c r="C683" t="s">
        <v>12</v>
      </c>
      <c r="D683" t="s">
        <v>471</v>
      </c>
      <c r="E683" t="s">
        <v>122</v>
      </c>
      <c r="F683" s="4">
        <v>44133</v>
      </c>
      <c r="G683" s="6">
        <v>0.81034722222222222</v>
      </c>
      <c r="H683">
        <v>-76.648664999999994</v>
      </c>
      <c r="I683">
        <v>3.3525</v>
      </c>
      <c r="J683">
        <v>5</v>
      </c>
      <c r="K683" t="s">
        <v>112</v>
      </c>
      <c r="L683" t="s">
        <v>113</v>
      </c>
      <c r="M683">
        <v>2460</v>
      </c>
      <c r="N683" t="b">
        <v>1</v>
      </c>
      <c r="P683">
        <f t="shared" si="3"/>
        <v>22.5</v>
      </c>
      <c r="Q683">
        <f t="shared" si="4"/>
        <v>0</v>
      </c>
      <c r="R683">
        <f t="shared" si="5"/>
        <v>75</v>
      </c>
      <c r="S683" t="s">
        <v>442</v>
      </c>
      <c r="T683" t="s">
        <v>145</v>
      </c>
      <c r="V683" t="s">
        <v>9</v>
      </c>
      <c r="X683">
        <v>1</v>
      </c>
      <c r="AE683" t="s">
        <v>456</v>
      </c>
      <c r="AF683">
        <v>-76.648538329999994</v>
      </c>
      <c r="AG683">
        <v>3.3525749999999999</v>
      </c>
      <c r="AH683">
        <v>80</v>
      </c>
      <c r="AI683">
        <v>0</v>
      </c>
      <c r="AJ683">
        <v>30</v>
      </c>
      <c r="AK683">
        <v>-76.649286669999995</v>
      </c>
      <c r="AL683">
        <v>3.352766667</v>
      </c>
      <c r="AM683">
        <v>70</v>
      </c>
      <c r="AN683">
        <v>0</v>
      </c>
      <c r="AO683">
        <v>15</v>
      </c>
      <c r="AP683" t="s">
        <v>441</v>
      </c>
      <c r="AQ683" t="s">
        <v>443</v>
      </c>
    </row>
    <row r="684" spans="1:43" x14ac:dyDescent="0.2">
      <c r="A684">
        <v>2020</v>
      </c>
      <c r="B684" t="s">
        <v>10</v>
      </c>
      <c r="C684" t="s">
        <v>12</v>
      </c>
      <c r="D684" t="s">
        <v>472</v>
      </c>
      <c r="E684" t="s">
        <v>111</v>
      </c>
      <c r="F684" s="4">
        <v>44133</v>
      </c>
      <c r="G684" s="6">
        <v>0.79084490740740743</v>
      </c>
      <c r="H684">
        <v>-76.647970000000001</v>
      </c>
      <c r="I684">
        <v>3.3523483330000001</v>
      </c>
      <c r="J684">
        <v>5</v>
      </c>
      <c r="K684" t="s">
        <v>112</v>
      </c>
      <c r="L684" t="s">
        <v>113</v>
      </c>
      <c r="M684">
        <v>2445</v>
      </c>
      <c r="N684" t="b">
        <v>1</v>
      </c>
      <c r="P684">
        <f t="shared" si="3"/>
        <v>27.5</v>
      </c>
      <c r="Q684">
        <f t="shared" si="4"/>
        <v>0</v>
      </c>
      <c r="R684">
        <f t="shared" si="5"/>
        <v>70</v>
      </c>
      <c r="S684" t="s">
        <v>442</v>
      </c>
      <c r="T684" t="s">
        <v>145</v>
      </c>
      <c r="V684" t="s">
        <v>9</v>
      </c>
      <c r="X684">
        <v>1</v>
      </c>
      <c r="AE684" t="s">
        <v>456</v>
      </c>
      <c r="AF684">
        <v>-76.647970000000001</v>
      </c>
      <c r="AG684">
        <v>3.3523483330000001</v>
      </c>
      <c r="AH684">
        <v>60</v>
      </c>
      <c r="AI684">
        <v>0</v>
      </c>
      <c r="AJ684">
        <v>25</v>
      </c>
      <c r="AK684">
        <v>-76.648508329999999</v>
      </c>
      <c r="AL684">
        <v>3.3525716669999999</v>
      </c>
      <c r="AM684">
        <v>80</v>
      </c>
      <c r="AN684">
        <v>0</v>
      </c>
      <c r="AO684">
        <v>30</v>
      </c>
      <c r="AP684" t="s">
        <v>467</v>
      </c>
      <c r="AQ684" t="s">
        <v>244</v>
      </c>
    </row>
    <row r="685" spans="1:43" x14ac:dyDescent="0.2">
      <c r="A685">
        <v>2020</v>
      </c>
      <c r="B685" t="s">
        <v>10</v>
      </c>
      <c r="C685" t="s">
        <v>12</v>
      </c>
      <c r="D685" t="s">
        <v>472</v>
      </c>
      <c r="E685" t="s">
        <v>111</v>
      </c>
      <c r="F685" s="4">
        <v>44133</v>
      </c>
      <c r="G685" s="6">
        <v>0.79940972222222217</v>
      </c>
      <c r="H685">
        <v>-76.648193329999998</v>
      </c>
      <c r="I685">
        <v>3.3524383329999998</v>
      </c>
      <c r="J685">
        <v>5</v>
      </c>
      <c r="K685" t="s">
        <v>119</v>
      </c>
      <c r="L685" t="s">
        <v>113</v>
      </c>
      <c r="M685">
        <v>2461</v>
      </c>
      <c r="N685" t="b">
        <v>1</v>
      </c>
      <c r="P685">
        <f t="shared" si="3"/>
        <v>27.5</v>
      </c>
      <c r="Q685">
        <f t="shared" si="4"/>
        <v>0</v>
      </c>
      <c r="R685">
        <f t="shared" si="5"/>
        <v>70</v>
      </c>
      <c r="S685" t="s">
        <v>442</v>
      </c>
      <c r="T685" t="s">
        <v>145</v>
      </c>
      <c r="V685" t="s">
        <v>38</v>
      </c>
      <c r="X685">
        <v>1</v>
      </c>
      <c r="AE685" t="s">
        <v>456</v>
      </c>
      <c r="AF685">
        <v>-76.647970000000001</v>
      </c>
      <c r="AG685">
        <v>3.3523483330000001</v>
      </c>
      <c r="AH685">
        <v>60</v>
      </c>
      <c r="AI685">
        <v>0</v>
      </c>
      <c r="AJ685">
        <v>25</v>
      </c>
      <c r="AK685">
        <v>-76.648508329999999</v>
      </c>
      <c r="AL685">
        <v>3.3525716669999999</v>
      </c>
      <c r="AM685">
        <v>80</v>
      </c>
      <c r="AN685">
        <v>0</v>
      </c>
      <c r="AO685">
        <v>30</v>
      </c>
      <c r="AP685" t="s">
        <v>441</v>
      </c>
      <c r="AQ685" t="s">
        <v>443</v>
      </c>
    </row>
    <row r="686" spans="1:43" x14ac:dyDescent="0.2">
      <c r="A686">
        <v>2020</v>
      </c>
      <c r="B686" t="s">
        <v>21</v>
      </c>
      <c r="C686" t="s">
        <v>66</v>
      </c>
      <c r="D686" t="s">
        <v>272</v>
      </c>
      <c r="E686" t="s">
        <v>127</v>
      </c>
      <c r="F686" s="4">
        <v>44154</v>
      </c>
      <c r="G686" s="6">
        <v>0.81145833333333328</v>
      </c>
      <c r="H686">
        <v>-76.725399999999993</v>
      </c>
      <c r="I686">
        <v>3.4996316670000001</v>
      </c>
      <c r="J686">
        <v>5</v>
      </c>
      <c r="K686" t="s">
        <v>119</v>
      </c>
      <c r="L686" t="s">
        <v>120</v>
      </c>
      <c r="M686">
        <v>1796</v>
      </c>
      <c r="N686" t="b">
        <v>1</v>
      </c>
      <c r="P686">
        <f t="shared" si="3"/>
        <v>3</v>
      </c>
      <c r="Q686">
        <f t="shared" si="4"/>
        <v>0</v>
      </c>
      <c r="R686">
        <f t="shared" si="5"/>
        <v>27.5</v>
      </c>
      <c r="S686" t="s">
        <v>442</v>
      </c>
      <c r="T686" t="s">
        <v>145</v>
      </c>
      <c r="V686" t="s">
        <v>8</v>
      </c>
      <c r="X686">
        <v>1</v>
      </c>
      <c r="AE686" t="s">
        <v>444</v>
      </c>
      <c r="AF686">
        <v>-76.725200000000001</v>
      </c>
      <c r="AG686">
        <v>3.4997050000000001</v>
      </c>
      <c r="AH686">
        <v>40</v>
      </c>
      <c r="AI686">
        <v>0</v>
      </c>
      <c r="AJ686">
        <v>2</v>
      </c>
      <c r="AK686">
        <v>-76.725943330000007</v>
      </c>
      <c r="AL686">
        <v>3.4992666670000001</v>
      </c>
      <c r="AM686">
        <v>15</v>
      </c>
      <c r="AN686">
        <v>0</v>
      </c>
      <c r="AO686">
        <v>4</v>
      </c>
      <c r="AP686" t="s">
        <v>467</v>
      </c>
      <c r="AQ686" t="s">
        <v>443</v>
      </c>
    </row>
    <row r="687" spans="1:43" x14ac:dyDescent="0.2">
      <c r="A687">
        <v>2020</v>
      </c>
      <c r="B687" t="s">
        <v>21</v>
      </c>
      <c r="C687" t="s">
        <v>66</v>
      </c>
      <c r="D687" t="s">
        <v>252</v>
      </c>
      <c r="E687" t="s">
        <v>111</v>
      </c>
      <c r="F687" s="4">
        <v>44154</v>
      </c>
      <c r="G687" s="6">
        <v>0.88181712962962966</v>
      </c>
      <c r="H687">
        <v>-76.726316670000003</v>
      </c>
      <c r="I687">
        <v>3.50007</v>
      </c>
      <c r="J687">
        <v>5</v>
      </c>
      <c r="K687" t="s">
        <v>112</v>
      </c>
      <c r="L687" t="s">
        <v>113</v>
      </c>
      <c r="M687">
        <v>1789</v>
      </c>
      <c r="N687" t="b">
        <v>1</v>
      </c>
      <c r="P687">
        <f t="shared" si="3"/>
        <v>9</v>
      </c>
      <c r="Q687">
        <f t="shared" si="4"/>
        <v>1</v>
      </c>
      <c r="R687">
        <f t="shared" si="5"/>
        <v>17.5</v>
      </c>
      <c r="S687" t="s">
        <v>442</v>
      </c>
      <c r="T687" t="s">
        <v>447</v>
      </c>
      <c r="V687" t="s">
        <v>9</v>
      </c>
      <c r="X687">
        <v>1</v>
      </c>
      <c r="AE687" t="s">
        <v>444</v>
      </c>
      <c r="AF687">
        <v>-76.726161669999996</v>
      </c>
      <c r="AG687">
        <v>3.4999899999999999</v>
      </c>
      <c r="AH687">
        <v>25</v>
      </c>
      <c r="AI687">
        <v>0</v>
      </c>
      <c r="AJ687">
        <v>10</v>
      </c>
      <c r="AK687">
        <v>-76.726786669999996</v>
      </c>
      <c r="AL687">
        <v>3.5004633329999999</v>
      </c>
      <c r="AM687">
        <v>10</v>
      </c>
      <c r="AN687">
        <v>2</v>
      </c>
      <c r="AO687">
        <v>8</v>
      </c>
      <c r="AP687" t="s">
        <v>441</v>
      </c>
      <c r="AQ687" t="s">
        <v>443</v>
      </c>
    </row>
    <row r="688" spans="1:43" x14ac:dyDescent="0.2">
      <c r="A688">
        <v>2020</v>
      </c>
      <c r="B688" t="s">
        <v>21</v>
      </c>
      <c r="C688" t="s">
        <v>66</v>
      </c>
      <c r="D688" t="s">
        <v>252</v>
      </c>
      <c r="E688" t="s">
        <v>111</v>
      </c>
      <c r="F688" s="4">
        <v>44154</v>
      </c>
      <c r="G688" s="6">
        <v>0.88504629629629628</v>
      </c>
      <c r="H688">
        <v>-76.726448329999997</v>
      </c>
      <c r="I688">
        <v>3.4999116670000001</v>
      </c>
      <c r="J688">
        <v>5</v>
      </c>
      <c r="K688" t="s">
        <v>119</v>
      </c>
      <c r="L688" t="s">
        <v>120</v>
      </c>
      <c r="M688">
        <v>1789</v>
      </c>
      <c r="N688" t="b">
        <v>1</v>
      </c>
      <c r="P688">
        <f t="shared" si="3"/>
        <v>9</v>
      </c>
      <c r="Q688">
        <f t="shared" si="4"/>
        <v>1</v>
      </c>
      <c r="R688">
        <f t="shared" si="5"/>
        <v>17.5</v>
      </c>
      <c r="S688" t="s">
        <v>442</v>
      </c>
      <c r="T688" t="s">
        <v>145</v>
      </c>
      <c r="V688" t="s">
        <v>9</v>
      </c>
      <c r="X688">
        <v>1</v>
      </c>
      <c r="AE688" t="s">
        <v>444</v>
      </c>
      <c r="AF688">
        <v>-76.726161669999996</v>
      </c>
      <c r="AG688">
        <v>3.4999899999999999</v>
      </c>
      <c r="AH688">
        <v>25</v>
      </c>
      <c r="AI688">
        <v>0</v>
      </c>
      <c r="AJ688">
        <v>10</v>
      </c>
      <c r="AK688">
        <v>-76.726786669999996</v>
      </c>
      <c r="AL688">
        <v>3.5004633329999999</v>
      </c>
      <c r="AM688">
        <v>10</v>
      </c>
      <c r="AN688">
        <v>2</v>
      </c>
      <c r="AO688">
        <v>8</v>
      </c>
      <c r="AP688" t="s">
        <v>441</v>
      </c>
      <c r="AQ688" t="s">
        <v>443</v>
      </c>
    </row>
    <row r="689" spans="1:43" x14ac:dyDescent="0.2">
      <c r="A689">
        <v>2020</v>
      </c>
      <c r="B689" t="s">
        <v>21</v>
      </c>
      <c r="C689" t="s">
        <v>66</v>
      </c>
      <c r="D689" t="s">
        <v>252</v>
      </c>
      <c r="E689" t="s">
        <v>111</v>
      </c>
      <c r="F689" s="4">
        <v>44154</v>
      </c>
      <c r="G689" s="6">
        <v>0.89293981481481477</v>
      </c>
      <c r="H689">
        <v>-76.726429999999993</v>
      </c>
      <c r="I689">
        <v>3.5000200000000001</v>
      </c>
      <c r="J689">
        <v>5</v>
      </c>
      <c r="K689" t="s">
        <v>119</v>
      </c>
      <c r="L689" t="s">
        <v>120</v>
      </c>
      <c r="M689">
        <v>1787</v>
      </c>
      <c r="N689" t="b">
        <v>1</v>
      </c>
      <c r="P689">
        <f t="shared" si="3"/>
        <v>9</v>
      </c>
      <c r="Q689">
        <f t="shared" si="4"/>
        <v>1</v>
      </c>
      <c r="R689">
        <f t="shared" si="5"/>
        <v>17.5</v>
      </c>
      <c r="S689" t="s">
        <v>442</v>
      </c>
      <c r="T689" t="s">
        <v>145</v>
      </c>
      <c r="V689" t="s">
        <v>9</v>
      </c>
      <c r="X689">
        <v>1</v>
      </c>
      <c r="AE689" t="s">
        <v>444</v>
      </c>
      <c r="AF689">
        <v>-76.726161669999996</v>
      </c>
      <c r="AG689">
        <v>3.4999899999999999</v>
      </c>
      <c r="AH689">
        <v>25</v>
      </c>
      <c r="AI689">
        <v>0</v>
      </c>
      <c r="AJ689">
        <v>10</v>
      </c>
      <c r="AK689">
        <v>-76.726786669999996</v>
      </c>
      <c r="AL689">
        <v>3.5004633329999999</v>
      </c>
      <c r="AM689">
        <v>10</v>
      </c>
      <c r="AN689">
        <v>2</v>
      </c>
      <c r="AO689">
        <v>8</v>
      </c>
      <c r="AP689" t="s">
        <v>441</v>
      </c>
      <c r="AQ689" t="s">
        <v>443</v>
      </c>
    </row>
    <row r="690" spans="1:43" x14ac:dyDescent="0.2">
      <c r="A690">
        <v>2020</v>
      </c>
      <c r="B690" t="s">
        <v>21</v>
      </c>
      <c r="C690" t="s">
        <v>66</v>
      </c>
      <c r="D690" t="s">
        <v>252</v>
      </c>
      <c r="E690" t="s">
        <v>111</v>
      </c>
      <c r="F690" s="4">
        <v>44154</v>
      </c>
      <c r="G690" s="6">
        <v>0.91312499999999996</v>
      </c>
      <c r="H690">
        <v>-76.726786669999996</v>
      </c>
      <c r="I690">
        <v>3.5004633329999999</v>
      </c>
      <c r="J690">
        <v>5</v>
      </c>
      <c r="K690" t="s">
        <v>119</v>
      </c>
      <c r="L690" t="s">
        <v>113</v>
      </c>
      <c r="M690">
        <v>1789</v>
      </c>
      <c r="N690" t="b">
        <v>0</v>
      </c>
      <c r="O690" t="b">
        <v>1</v>
      </c>
      <c r="P690">
        <f t="shared" si="3"/>
        <v>9</v>
      </c>
      <c r="Q690">
        <f t="shared" si="4"/>
        <v>1</v>
      </c>
      <c r="R690">
        <f t="shared" si="5"/>
        <v>17.5</v>
      </c>
      <c r="S690" t="s">
        <v>442</v>
      </c>
      <c r="T690" t="s">
        <v>447</v>
      </c>
      <c r="V690" t="s">
        <v>3</v>
      </c>
      <c r="X690">
        <v>2</v>
      </c>
      <c r="AE690" t="s">
        <v>444</v>
      </c>
      <c r="AF690">
        <v>-76.726161669999996</v>
      </c>
      <c r="AG690">
        <v>3.4999899999999999</v>
      </c>
      <c r="AH690">
        <v>25</v>
      </c>
      <c r="AI690">
        <v>0</v>
      </c>
      <c r="AJ690">
        <v>10</v>
      </c>
      <c r="AK690">
        <v>-76.726786669999996</v>
      </c>
      <c r="AL690">
        <v>3.5004633329999999</v>
      </c>
      <c r="AM690">
        <v>10</v>
      </c>
      <c r="AN690">
        <v>2</v>
      </c>
      <c r="AO690">
        <v>8</v>
      </c>
      <c r="AP690" t="s">
        <v>467</v>
      </c>
      <c r="AQ690" t="s">
        <v>244</v>
      </c>
    </row>
    <row r="691" spans="1:43" x14ac:dyDescent="0.2">
      <c r="A691">
        <v>2020</v>
      </c>
      <c r="B691" t="s">
        <v>21</v>
      </c>
      <c r="C691" t="s">
        <v>66</v>
      </c>
      <c r="D691" t="s">
        <v>252</v>
      </c>
      <c r="E691" t="s">
        <v>111</v>
      </c>
      <c r="F691" s="4">
        <v>44154</v>
      </c>
      <c r="G691" s="6">
        <v>0.89881944444444439</v>
      </c>
      <c r="H691">
        <v>-76.726566669999997</v>
      </c>
      <c r="I691">
        <v>3.5001483329999998</v>
      </c>
      <c r="J691">
        <v>5</v>
      </c>
      <c r="K691" t="s">
        <v>112</v>
      </c>
      <c r="L691" t="s">
        <v>113</v>
      </c>
      <c r="M691">
        <v>1789</v>
      </c>
      <c r="N691" t="b">
        <v>0</v>
      </c>
      <c r="O691" t="b">
        <v>1</v>
      </c>
      <c r="P691">
        <f t="shared" si="3"/>
        <v>9</v>
      </c>
      <c r="Q691">
        <f t="shared" si="4"/>
        <v>1</v>
      </c>
      <c r="R691">
        <f t="shared" si="5"/>
        <v>17.5</v>
      </c>
      <c r="S691" t="s">
        <v>442</v>
      </c>
      <c r="T691" t="s">
        <v>447</v>
      </c>
      <c r="V691" t="s">
        <v>3</v>
      </c>
      <c r="X691">
        <v>2</v>
      </c>
      <c r="AE691" t="s">
        <v>444</v>
      </c>
      <c r="AF691">
        <v>-76.726161669999996</v>
      </c>
      <c r="AG691">
        <v>3.4999899999999999</v>
      </c>
      <c r="AH691">
        <v>25</v>
      </c>
      <c r="AI691">
        <v>0</v>
      </c>
      <c r="AJ691">
        <v>10</v>
      </c>
      <c r="AK691">
        <v>-76.726786669999996</v>
      </c>
      <c r="AL691">
        <v>3.5004633329999999</v>
      </c>
      <c r="AM691">
        <v>10</v>
      </c>
      <c r="AN691">
        <v>2</v>
      </c>
      <c r="AO691">
        <v>8</v>
      </c>
      <c r="AP691" t="s">
        <v>467</v>
      </c>
      <c r="AQ691" t="s">
        <v>244</v>
      </c>
    </row>
    <row r="692" spans="1:43" x14ac:dyDescent="0.2">
      <c r="A692">
        <v>2020</v>
      </c>
      <c r="B692" t="s">
        <v>21</v>
      </c>
      <c r="C692" t="s">
        <v>66</v>
      </c>
      <c r="D692" t="s">
        <v>252</v>
      </c>
      <c r="E692" t="s">
        <v>111</v>
      </c>
      <c r="F692" s="4">
        <v>44154</v>
      </c>
      <c r="G692" s="6">
        <v>0.89881944444444439</v>
      </c>
      <c r="H692">
        <v>-76.726566669999997</v>
      </c>
      <c r="I692">
        <v>3.5001483329999998</v>
      </c>
      <c r="J692">
        <v>5</v>
      </c>
      <c r="K692" t="s">
        <v>119</v>
      </c>
      <c r="L692" t="s">
        <v>120</v>
      </c>
      <c r="M692">
        <v>1812</v>
      </c>
      <c r="N692" t="b">
        <v>0</v>
      </c>
      <c r="O692" t="b">
        <v>1</v>
      </c>
      <c r="P692">
        <f t="shared" si="3"/>
        <v>9</v>
      </c>
      <c r="Q692">
        <f t="shared" si="4"/>
        <v>1</v>
      </c>
      <c r="R692">
        <f t="shared" si="5"/>
        <v>17.5</v>
      </c>
      <c r="S692" t="s">
        <v>442</v>
      </c>
      <c r="T692" t="s">
        <v>447</v>
      </c>
      <c r="V692" t="s">
        <v>40</v>
      </c>
      <c r="X692">
        <v>1</v>
      </c>
      <c r="AE692" t="s">
        <v>444</v>
      </c>
      <c r="AF692">
        <v>-76.726161669999996</v>
      </c>
      <c r="AG692">
        <v>3.4999899999999999</v>
      </c>
      <c r="AH692">
        <v>25</v>
      </c>
      <c r="AI692">
        <v>0</v>
      </c>
      <c r="AJ692">
        <v>10</v>
      </c>
      <c r="AK692">
        <v>-76.726786669999996</v>
      </c>
      <c r="AL692">
        <v>3.5004633329999999</v>
      </c>
      <c r="AM692">
        <v>10</v>
      </c>
      <c r="AN692">
        <v>2</v>
      </c>
      <c r="AO692">
        <v>8</v>
      </c>
      <c r="AP692" t="s">
        <v>441</v>
      </c>
      <c r="AQ692" t="s">
        <v>443</v>
      </c>
    </row>
    <row r="693" spans="1:43" x14ac:dyDescent="0.2">
      <c r="A693">
        <v>2020</v>
      </c>
      <c r="B693" t="s">
        <v>21</v>
      </c>
      <c r="C693" t="s">
        <v>66</v>
      </c>
      <c r="D693" t="s">
        <v>250</v>
      </c>
      <c r="E693" t="s">
        <v>122</v>
      </c>
      <c r="F693" s="4">
        <v>44154</v>
      </c>
      <c r="G693" s="6">
        <v>0.83765046296296297</v>
      </c>
      <c r="H693">
        <v>-76.726029999999994</v>
      </c>
      <c r="I693">
        <v>3.4991366670000001</v>
      </c>
      <c r="J693">
        <v>5</v>
      </c>
      <c r="K693" t="s">
        <v>119</v>
      </c>
      <c r="L693" t="s">
        <v>113</v>
      </c>
      <c r="M693">
        <v>1789</v>
      </c>
      <c r="N693" t="b">
        <v>0</v>
      </c>
      <c r="O693" t="b">
        <v>1</v>
      </c>
      <c r="P693">
        <f t="shared" si="3"/>
        <v>17.5</v>
      </c>
      <c r="Q693">
        <f t="shared" si="4"/>
        <v>3</v>
      </c>
      <c r="R693">
        <f t="shared" si="5"/>
        <v>5</v>
      </c>
      <c r="S693" t="s">
        <v>442</v>
      </c>
      <c r="T693" t="s">
        <v>447</v>
      </c>
      <c r="V693" t="s">
        <v>3</v>
      </c>
      <c r="X693">
        <v>3</v>
      </c>
      <c r="AE693" t="s">
        <v>444</v>
      </c>
      <c r="AF693">
        <v>-76.725999999999999</v>
      </c>
      <c r="AG693">
        <v>3.4991966670000001</v>
      </c>
      <c r="AH693">
        <v>5</v>
      </c>
      <c r="AI693">
        <v>3</v>
      </c>
      <c r="AJ693">
        <v>25</v>
      </c>
      <c r="AK693">
        <v>-76.726098329999999</v>
      </c>
      <c r="AL693">
        <v>3.4999349999999998</v>
      </c>
      <c r="AM693">
        <v>5</v>
      </c>
      <c r="AN693">
        <v>3</v>
      </c>
      <c r="AO693">
        <v>10</v>
      </c>
      <c r="AP693" t="s">
        <v>467</v>
      </c>
      <c r="AQ693" t="s">
        <v>244</v>
      </c>
    </row>
    <row r="694" spans="1:43" x14ac:dyDescent="0.2">
      <c r="A694">
        <v>2020</v>
      </c>
      <c r="B694" t="s">
        <v>21</v>
      </c>
      <c r="C694" t="s">
        <v>66</v>
      </c>
      <c r="D694" t="s">
        <v>250</v>
      </c>
      <c r="E694" t="s">
        <v>122</v>
      </c>
      <c r="F694" s="4">
        <v>44154</v>
      </c>
      <c r="G694" s="6">
        <v>0.86656250000000001</v>
      </c>
      <c r="H694">
        <v>-76.726238330000001</v>
      </c>
      <c r="I694">
        <v>3.4998749999999998</v>
      </c>
      <c r="J694">
        <v>5</v>
      </c>
      <c r="K694" t="s">
        <v>119</v>
      </c>
      <c r="L694" t="s">
        <v>113</v>
      </c>
      <c r="M694">
        <v>1819</v>
      </c>
      <c r="N694" t="b">
        <v>0</v>
      </c>
      <c r="O694" t="b">
        <v>1</v>
      </c>
      <c r="P694">
        <f t="shared" si="3"/>
        <v>17.5</v>
      </c>
      <c r="Q694">
        <f t="shared" si="4"/>
        <v>3</v>
      </c>
      <c r="R694">
        <f t="shared" si="5"/>
        <v>5</v>
      </c>
      <c r="S694" t="s">
        <v>442</v>
      </c>
      <c r="T694" t="s">
        <v>447</v>
      </c>
      <c r="V694" t="s">
        <v>9</v>
      </c>
      <c r="X694">
        <v>1</v>
      </c>
      <c r="AE694" t="s">
        <v>444</v>
      </c>
      <c r="AF694">
        <v>-76.725999999999999</v>
      </c>
      <c r="AG694">
        <v>3.4991966670000001</v>
      </c>
      <c r="AH694">
        <v>5</v>
      </c>
      <c r="AI694">
        <v>3</v>
      </c>
      <c r="AJ694">
        <v>25</v>
      </c>
      <c r="AK694">
        <v>-76.726098329999999</v>
      </c>
      <c r="AL694">
        <v>3.4999349999999998</v>
      </c>
      <c r="AM694">
        <v>5</v>
      </c>
      <c r="AN694">
        <v>3</v>
      </c>
      <c r="AO694">
        <v>10</v>
      </c>
      <c r="AP694" t="s">
        <v>441</v>
      </c>
      <c r="AQ694" t="s">
        <v>443</v>
      </c>
    </row>
    <row r="695" spans="1:43" x14ac:dyDescent="0.2">
      <c r="A695">
        <v>2020</v>
      </c>
      <c r="B695" t="s">
        <v>21</v>
      </c>
      <c r="C695" t="s">
        <v>66</v>
      </c>
      <c r="D695" t="s">
        <v>250</v>
      </c>
      <c r="E695" t="s">
        <v>122</v>
      </c>
      <c r="F695" s="4">
        <v>44154</v>
      </c>
      <c r="G695" s="6">
        <v>0.86656250000000001</v>
      </c>
      <c r="H695">
        <v>-76.726238330000001</v>
      </c>
      <c r="I695">
        <v>3.4998749999999998</v>
      </c>
      <c r="J695">
        <v>5</v>
      </c>
      <c r="K695" t="s">
        <v>119</v>
      </c>
      <c r="L695" t="s">
        <v>120</v>
      </c>
      <c r="M695">
        <v>1879</v>
      </c>
      <c r="N695" t="b">
        <v>0</v>
      </c>
      <c r="O695" t="b">
        <v>1</v>
      </c>
      <c r="P695">
        <f t="shared" si="3"/>
        <v>17.5</v>
      </c>
      <c r="Q695">
        <f t="shared" si="4"/>
        <v>3</v>
      </c>
      <c r="R695">
        <f t="shared" si="5"/>
        <v>5</v>
      </c>
      <c r="S695" t="s">
        <v>442</v>
      </c>
      <c r="T695" t="s">
        <v>447</v>
      </c>
      <c r="V695" t="s">
        <v>9</v>
      </c>
      <c r="X695">
        <v>1</v>
      </c>
      <c r="AE695" t="s">
        <v>444</v>
      </c>
      <c r="AF695">
        <v>-76.725999999999999</v>
      </c>
      <c r="AG695">
        <v>3.4991966670000001</v>
      </c>
      <c r="AH695">
        <v>5</v>
      </c>
      <c r="AI695">
        <v>3</v>
      </c>
      <c r="AJ695">
        <v>25</v>
      </c>
      <c r="AK695">
        <v>-76.726098329999999</v>
      </c>
      <c r="AL695">
        <v>3.4999349999999998</v>
      </c>
      <c r="AM695">
        <v>5</v>
      </c>
      <c r="AN695">
        <v>3</v>
      </c>
      <c r="AO695">
        <v>10</v>
      </c>
      <c r="AP695" t="s">
        <v>441</v>
      </c>
      <c r="AQ695" t="s">
        <v>443</v>
      </c>
    </row>
    <row r="696" spans="1:43" x14ac:dyDescent="0.2">
      <c r="A696">
        <v>2020</v>
      </c>
      <c r="B696" t="s">
        <v>21</v>
      </c>
      <c r="C696" t="s">
        <v>66</v>
      </c>
      <c r="D696" t="s">
        <v>250</v>
      </c>
      <c r="E696" t="s">
        <v>122</v>
      </c>
      <c r="F696" s="4">
        <v>44154</v>
      </c>
      <c r="G696" s="6">
        <v>0.84407407407407409</v>
      </c>
      <c r="H696">
        <v>-76.726073330000006</v>
      </c>
      <c r="I696">
        <v>3.4993249999999998</v>
      </c>
      <c r="J696">
        <v>5</v>
      </c>
      <c r="K696" t="s">
        <v>112</v>
      </c>
      <c r="L696" t="s">
        <v>113</v>
      </c>
      <c r="M696">
        <v>1788</v>
      </c>
      <c r="N696" t="b">
        <v>0</v>
      </c>
      <c r="O696" t="b">
        <v>1</v>
      </c>
      <c r="P696">
        <f t="shared" si="3"/>
        <v>17.5</v>
      </c>
      <c r="Q696">
        <f t="shared" si="4"/>
        <v>3</v>
      </c>
      <c r="R696">
        <f t="shared" si="5"/>
        <v>5</v>
      </c>
      <c r="S696" t="s">
        <v>442</v>
      </c>
      <c r="T696" t="s">
        <v>447</v>
      </c>
      <c r="V696" t="s">
        <v>8</v>
      </c>
      <c r="X696">
        <v>1</v>
      </c>
      <c r="AE696" t="s">
        <v>444</v>
      </c>
      <c r="AF696">
        <v>-76.725999999999999</v>
      </c>
      <c r="AG696">
        <v>3.4991966670000001</v>
      </c>
      <c r="AH696">
        <v>5</v>
      </c>
      <c r="AI696">
        <v>3</v>
      </c>
      <c r="AJ696">
        <v>25</v>
      </c>
      <c r="AK696">
        <v>-76.726098329999999</v>
      </c>
      <c r="AL696">
        <v>3.4999349999999998</v>
      </c>
      <c r="AM696">
        <v>5</v>
      </c>
      <c r="AN696">
        <v>3</v>
      </c>
      <c r="AO696">
        <v>10</v>
      </c>
      <c r="AP696" t="s">
        <v>441</v>
      </c>
      <c r="AQ696" t="s">
        <v>443</v>
      </c>
    </row>
    <row r="697" spans="1:43" x14ac:dyDescent="0.2">
      <c r="A697">
        <v>2020</v>
      </c>
      <c r="B697" t="s">
        <v>15</v>
      </c>
      <c r="C697" t="s">
        <v>17</v>
      </c>
      <c r="D697" t="s">
        <v>138</v>
      </c>
      <c r="E697" t="s">
        <v>135</v>
      </c>
      <c r="F697" s="4">
        <v>44121</v>
      </c>
      <c r="G697" s="6">
        <v>0.7926157407407407</v>
      </c>
      <c r="H697">
        <v>-76.690790000000007</v>
      </c>
      <c r="I697">
        <v>3.4059883329999998</v>
      </c>
      <c r="J697">
        <v>5</v>
      </c>
      <c r="K697" t="s">
        <v>119</v>
      </c>
      <c r="M697">
        <v>3405</v>
      </c>
      <c r="N697" t="b">
        <v>1</v>
      </c>
      <c r="P697">
        <f t="shared" si="3"/>
        <v>4.9000000000000004</v>
      </c>
      <c r="Q697">
        <f t="shared" si="4"/>
        <v>0</v>
      </c>
      <c r="R697">
        <f t="shared" si="5"/>
        <v>7.5</v>
      </c>
      <c r="S697" t="s">
        <v>442</v>
      </c>
      <c r="T697" t="s">
        <v>201</v>
      </c>
      <c r="V697" t="s">
        <v>6</v>
      </c>
      <c r="X697">
        <v>1</v>
      </c>
      <c r="AE697" t="s">
        <v>460</v>
      </c>
      <c r="AF697">
        <v>-76.690790000000007</v>
      </c>
      <c r="AG697">
        <v>3.4059883329999998</v>
      </c>
      <c r="AH697">
        <v>5</v>
      </c>
      <c r="AI697">
        <v>0</v>
      </c>
      <c r="AJ697">
        <v>1.8</v>
      </c>
      <c r="AK697">
        <v>-76.690633329999997</v>
      </c>
      <c r="AL697">
        <v>3.4065083330000001</v>
      </c>
      <c r="AM697">
        <v>10</v>
      </c>
      <c r="AN697">
        <v>0</v>
      </c>
      <c r="AO697">
        <v>8</v>
      </c>
      <c r="AQ697" t="s">
        <v>443</v>
      </c>
    </row>
    <row r="698" spans="1:43" x14ac:dyDescent="0.2">
      <c r="A698">
        <v>2020</v>
      </c>
      <c r="B698" t="s">
        <v>15</v>
      </c>
      <c r="C698" t="s">
        <v>17</v>
      </c>
      <c r="D698" t="s">
        <v>138</v>
      </c>
      <c r="E698" t="s">
        <v>135</v>
      </c>
      <c r="F698" s="4">
        <v>44121</v>
      </c>
      <c r="G698" s="6">
        <v>0.82974537037037033</v>
      </c>
      <c r="H698">
        <v>-76.690635</v>
      </c>
      <c r="I698">
        <v>3.4064016669999999</v>
      </c>
      <c r="J698">
        <v>5</v>
      </c>
      <c r="K698" t="s">
        <v>119</v>
      </c>
      <c r="M698">
        <v>3413</v>
      </c>
      <c r="N698" t="b">
        <v>1</v>
      </c>
      <c r="P698">
        <f t="shared" si="3"/>
        <v>4.9000000000000004</v>
      </c>
      <c r="Q698">
        <f t="shared" si="4"/>
        <v>0</v>
      </c>
      <c r="R698">
        <f t="shared" si="5"/>
        <v>7.5</v>
      </c>
      <c r="S698" t="s">
        <v>458</v>
      </c>
      <c r="T698" t="s">
        <v>201</v>
      </c>
      <c r="V698" t="s">
        <v>6</v>
      </c>
      <c r="X698">
        <v>1</v>
      </c>
      <c r="AE698" t="s">
        <v>460</v>
      </c>
      <c r="AF698">
        <v>-76.690790000000007</v>
      </c>
      <c r="AG698">
        <v>3.4059883329999998</v>
      </c>
      <c r="AH698">
        <v>5</v>
      </c>
      <c r="AI698">
        <v>0</v>
      </c>
      <c r="AJ698">
        <v>1.8</v>
      </c>
      <c r="AK698">
        <v>-76.690633329999997</v>
      </c>
      <c r="AL698">
        <v>3.4065083330000001</v>
      </c>
      <c r="AM698">
        <v>10</v>
      </c>
      <c r="AN698">
        <v>0</v>
      </c>
      <c r="AO698">
        <v>8</v>
      </c>
      <c r="AQ698" t="s">
        <v>443</v>
      </c>
    </row>
    <row r="699" spans="1:43" x14ac:dyDescent="0.2">
      <c r="A699">
        <v>2020</v>
      </c>
      <c r="B699" t="s">
        <v>15</v>
      </c>
      <c r="C699" t="s">
        <v>17</v>
      </c>
      <c r="D699" t="s">
        <v>138</v>
      </c>
      <c r="E699" t="s">
        <v>135</v>
      </c>
      <c r="F699" s="4">
        <v>44121</v>
      </c>
      <c r="G699" s="6">
        <v>0.82974537037037033</v>
      </c>
      <c r="H699">
        <v>-76.690635</v>
      </c>
      <c r="I699">
        <v>3.4064016669999999</v>
      </c>
      <c r="J699">
        <v>5</v>
      </c>
      <c r="K699" t="s">
        <v>119</v>
      </c>
      <c r="M699">
        <v>3413</v>
      </c>
      <c r="N699" t="b">
        <v>1</v>
      </c>
      <c r="P699">
        <f t="shared" si="3"/>
        <v>4.9000000000000004</v>
      </c>
      <c r="Q699">
        <f t="shared" si="4"/>
        <v>0</v>
      </c>
      <c r="R699">
        <f t="shared" si="5"/>
        <v>7.5</v>
      </c>
      <c r="S699" t="s">
        <v>458</v>
      </c>
      <c r="T699" t="s">
        <v>201</v>
      </c>
      <c r="V699" t="s">
        <v>6</v>
      </c>
      <c r="X699">
        <v>1</v>
      </c>
      <c r="AE699" t="s">
        <v>460</v>
      </c>
      <c r="AF699">
        <v>-76.690790000000007</v>
      </c>
      <c r="AG699">
        <v>3.4059883329999998</v>
      </c>
      <c r="AH699">
        <v>5</v>
      </c>
      <c r="AI699">
        <v>0</v>
      </c>
      <c r="AJ699">
        <v>1.8</v>
      </c>
      <c r="AK699">
        <v>-76.690633329999997</v>
      </c>
      <c r="AL699">
        <v>3.4065083330000001</v>
      </c>
      <c r="AM699">
        <v>10</v>
      </c>
      <c r="AN699">
        <v>0</v>
      </c>
      <c r="AO699">
        <v>8</v>
      </c>
      <c r="AQ699" t="s">
        <v>443</v>
      </c>
    </row>
    <row r="700" spans="1:43" x14ac:dyDescent="0.2">
      <c r="A700">
        <v>2020</v>
      </c>
      <c r="B700" t="s">
        <v>15</v>
      </c>
      <c r="C700" t="s">
        <v>17</v>
      </c>
      <c r="D700" t="s">
        <v>138</v>
      </c>
      <c r="E700" t="s">
        <v>135</v>
      </c>
      <c r="F700" s="4">
        <v>44121</v>
      </c>
      <c r="G700" s="6">
        <v>0.81497685185185187</v>
      </c>
      <c r="H700">
        <v>-76.690701669999996</v>
      </c>
      <c r="I700">
        <v>3.4062283330000001</v>
      </c>
      <c r="J700">
        <v>5</v>
      </c>
      <c r="K700" t="s">
        <v>112</v>
      </c>
      <c r="M700">
        <v>3413</v>
      </c>
      <c r="N700" t="b">
        <v>1</v>
      </c>
      <c r="P700">
        <f t="shared" si="3"/>
        <v>4.9000000000000004</v>
      </c>
      <c r="Q700">
        <f t="shared" si="4"/>
        <v>0</v>
      </c>
      <c r="R700">
        <f t="shared" si="5"/>
        <v>7.5</v>
      </c>
      <c r="S700" t="s">
        <v>458</v>
      </c>
      <c r="T700" t="s">
        <v>201</v>
      </c>
      <c r="V700" t="s">
        <v>6</v>
      </c>
      <c r="X700">
        <v>3</v>
      </c>
      <c r="AE700" t="s">
        <v>460</v>
      </c>
      <c r="AF700">
        <v>-76.690790000000007</v>
      </c>
      <c r="AG700">
        <v>3.4059883329999998</v>
      </c>
      <c r="AH700">
        <v>5</v>
      </c>
      <c r="AI700">
        <v>0</v>
      </c>
      <c r="AJ700">
        <v>1.8</v>
      </c>
      <c r="AK700">
        <v>-76.690633329999997</v>
      </c>
      <c r="AL700">
        <v>3.4065083330000001</v>
      </c>
      <c r="AM700">
        <v>10</v>
      </c>
      <c r="AN700">
        <v>0</v>
      </c>
      <c r="AO700">
        <v>8</v>
      </c>
      <c r="AQ700" t="s">
        <v>443</v>
      </c>
    </row>
    <row r="701" spans="1:43" x14ac:dyDescent="0.2">
      <c r="A701">
        <v>2020</v>
      </c>
      <c r="B701" t="s">
        <v>15</v>
      </c>
      <c r="C701" t="s">
        <v>17</v>
      </c>
      <c r="D701" t="s">
        <v>138</v>
      </c>
      <c r="E701" t="s">
        <v>135</v>
      </c>
      <c r="F701" s="4">
        <v>44121</v>
      </c>
      <c r="G701" s="6">
        <v>0.81497685185185187</v>
      </c>
      <c r="H701">
        <v>-76.690701669999996</v>
      </c>
      <c r="I701">
        <v>3.4062283330000001</v>
      </c>
      <c r="J701">
        <v>5</v>
      </c>
      <c r="K701" t="s">
        <v>112</v>
      </c>
      <c r="M701">
        <v>3420</v>
      </c>
      <c r="N701" t="b">
        <v>1</v>
      </c>
      <c r="P701">
        <f t="shared" si="3"/>
        <v>4.9000000000000004</v>
      </c>
      <c r="Q701">
        <f t="shared" si="4"/>
        <v>0</v>
      </c>
      <c r="R701">
        <f t="shared" si="5"/>
        <v>7.5</v>
      </c>
      <c r="S701" t="s">
        <v>458</v>
      </c>
      <c r="T701" t="s">
        <v>201</v>
      </c>
      <c r="V701" t="s">
        <v>7</v>
      </c>
      <c r="X701">
        <v>1</v>
      </c>
      <c r="AE701" t="s">
        <v>460</v>
      </c>
      <c r="AF701">
        <v>-76.690790000000007</v>
      </c>
      <c r="AG701">
        <v>3.4059883329999998</v>
      </c>
      <c r="AH701">
        <v>5</v>
      </c>
      <c r="AI701">
        <v>0</v>
      </c>
      <c r="AJ701">
        <v>1.8</v>
      </c>
      <c r="AK701">
        <v>-76.690633329999997</v>
      </c>
      <c r="AL701">
        <v>3.4065083330000001</v>
      </c>
      <c r="AM701">
        <v>10</v>
      </c>
      <c r="AN701">
        <v>0</v>
      </c>
      <c r="AO701">
        <v>8</v>
      </c>
      <c r="AQ701" t="s">
        <v>443</v>
      </c>
    </row>
    <row r="702" spans="1:43" x14ac:dyDescent="0.2">
      <c r="A702">
        <v>2020</v>
      </c>
      <c r="B702" t="s">
        <v>15</v>
      </c>
      <c r="C702" t="s">
        <v>17</v>
      </c>
      <c r="D702" t="s">
        <v>138</v>
      </c>
      <c r="E702" t="s">
        <v>135</v>
      </c>
      <c r="F702" s="4">
        <v>44121</v>
      </c>
      <c r="G702" s="6">
        <v>0.82093749999999999</v>
      </c>
      <c r="H702">
        <v>-76.690633329999997</v>
      </c>
      <c r="I702">
        <v>3.4062566670000001</v>
      </c>
      <c r="J702">
        <v>5</v>
      </c>
      <c r="K702" t="s">
        <v>119</v>
      </c>
      <c r="M702">
        <v>3420</v>
      </c>
      <c r="N702" t="b">
        <v>1</v>
      </c>
      <c r="P702">
        <f t="shared" si="3"/>
        <v>4.9000000000000004</v>
      </c>
      <c r="Q702">
        <f t="shared" si="4"/>
        <v>0</v>
      </c>
      <c r="R702">
        <f t="shared" si="5"/>
        <v>7.5</v>
      </c>
      <c r="S702" t="s">
        <v>458</v>
      </c>
      <c r="T702" t="s">
        <v>201</v>
      </c>
      <c r="V702" t="s">
        <v>6</v>
      </c>
      <c r="X702">
        <v>1</v>
      </c>
      <c r="AE702" t="s">
        <v>460</v>
      </c>
      <c r="AF702">
        <v>-76.690790000000007</v>
      </c>
      <c r="AG702">
        <v>3.4059883329999998</v>
      </c>
      <c r="AH702">
        <v>5</v>
      </c>
      <c r="AI702">
        <v>0</v>
      </c>
      <c r="AJ702">
        <v>1.8</v>
      </c>
      <c r="AK702">
        <v>-76.690633329999997</v>
      </c>
      <c r="AL702">
        <v>3.4065083330000001</v>
      </c>
      <c r="AM702">
        <v>10</v>
      </c>
      <c r="AN702">
        <v>0</v>
      </c>
      <c r="AO702">
        <v>8</v>
      </c>
      <c r="AQ702" t="s">
        <v>443</v>
      </c>
    </row>
    <row r="703" spans="1:43" x14ac:dyDescent="0.2">
      <c r="A703">
        <v>2020</v>
      </c>
      <c r="B703" t="s">
        <v>15</v>
      </c>
      <c r="C703" t="s">
        <v>17</v>
      </c>
      <c r="D703" t="s">
        <v>138</v>
      </c>
      <c r="E703" t="s">
        <v>135</v>
      </c>
      <c r="F703" s="4">
        <v>44121</v>
      </c>
      <c r="G703" s="6">
        <v>0.8460185185185185</v>
      </c>
      <c r="H703">
        <v>-76.690771670000004</v>
      </c>
      <c r="I703">
        <v>3.406393333</v>
      </c>
      <c r="J703">
        <v>5</v>
      </c>
      <c r="K703" t="s">
        <v>112</v>
      </c>
      <c r="M703">
        <v>3042</v>
      </c>
      <c r="N703" t="b">
        <v>1</v>
      </c>
      <c r="P703">
        <f t="shared" si="3"/>
        <v>4.9000000000000004</v>
      </c>
      <c r="Q703">
        <f t="shared" si="4"/>
        <v>0</v>
      </c>
      <c r="R703">
        <f t="shared" si="5"/>
        <v>7.5</v>
      </c>
      <c r="S703" t="s">
        <v>458</v>
      </c>
      <c r="T703" t="s">
        <v>201</v>
      </c>
      <c r="V703" t="s">
        <v>6</v>
      </c>
      <c r="X703">
        <v>1</v>
      </c>
      <c r="AE703" t="s">
        <v>460</v>
      </c>
      <c r="AF703">
        <v>-76.690790000000007</v>
      </c>
      <c r="AG703">
        <v>3.4059883329999998</v>
      </c>
      <c r="AH703">
        <v>5</v>
      </c>
      <c r="AI703">
        <v>0</v>
      </c>
      <c r="AJ703">
        <v>1.8</v>
      </c>
      <c r="AK703">
        <v>-76.690633329999997</v>
      </c>
      <c r="AL703">
        <v>3.4065083330000001</v>
      </c>
      <c r="AM703">
        <v>10</v>
      </c>
      <c r="AN703">
        <v>0</v>
      </c>
      <c r="AO703">
        <v>8</v>
      </c>
      <c r="AQ703" t="s">
        <v>443</v>
      </c>
    </row>
    <row r="704" spans="1:43" x14ac:dyDescent="0.2">
      <c r="A704">
        <v>2020</v>
      </c>
      <c r="B704" t="s">
        <v>15</v>
      </c>
      <c r="C704" t="s">
        <v>17</v>
      </c>
      <c r="D704" t="s">
        <v>138</v>
      </c>
      <c r="E704" t="s">
        <v>135</v>
      </c>
      <c r="F704" s="4">
        <v>44121</v>
      </c>
      <c r="G704" s="6">
        <v>0.84181712962962962</v>
      </c>
      <c r="H704">
        <v>-76.690714999999997</v>
      </c>
      <c r="I704">
        <v>3.4064433329999999</v>
      </c>
      <c r="J704">
        <v>5</v>
      </c>
      <c r="K704" t="s">
        <v>112</v>
      </c>
      <c r="M704">
        <v>3420</v>
      </c>
      <c r="N704" t="b">
        <v>1</v>
      </c>
      <c r="P704">
        <f t="shared" si="3"/>
        <v>4.9000000000000004</v>
      </c>
      <c r="Q704">
        <f t="shared" si="4"/>
        <v>0</v>
      </c>
      <c r="R704">
        <f t="shared" si="5"/>
        <v>7.5</v>
      </c>
      <c r="S704" t="s">
        <v>458</v>
      </c>
      <c r="T704" t="s">
        <v>201</v>
      </c>
      <c r="V704" t="s">
        <v>6</v>
      </c>
      <c r="X704">
        <v>1</v>
      </c>
      <c r="AE704" t="s">
        <v>460</v>
      </c>
      <c r="AF704">
        <v>-76.690790000000007</v>
      </c>
      <c r="AG704">
        <v>3.4059883329999998</v>
      </c>
      <c r="AH704">
        <v>5</v>
      </c>
      <c r="AI704">
        <v>0</v>
      </c>
      <c r="AJ704">
        <v>1.8</v>
      </c>
      <c r="AK704">
        <v>-76.690633329999997</v>
      </c>
      <c r="AL704">
        <v>3.4065083330000001</v>
      </c>
      <c r="AM704">
        <v>10</v>
      </c>
      <c r="AN704">
        <v>0</v>
      </c>
      <c r="AO704">
        <v>8</v>
      </c>
      <c r="AQ704" t="s">
        <v>443</v>
      </c>
    </row>
    <row r="705" spans="1:43" x14ac:dyDescent="0.2">
      <c r="A705">
        <v>2020</v>
      </c>
      <c r="B705" t="s">
        <v>15</v>
      </c>
      <c r="C705" t="s">
        <v>17</v>
      </c>
      <c r="D705" t="s">
        <v>138</v>
      </c>
      <c r="E705" t="s">
        <v>135</v>
      </c>
      <c r="F705" s="4">
        <v>44121</v>
      </c>
      <c r="G705" s="6">
        <v>0.85290509259259262</v>
      </c>
      <c r="H705">
        <v>-76.690623329999994</v>
      </c>
      <c r="I705">
        <v>3.4064516669999998</v>
      </c>
      <c r="J705">
        <v>5</v>
      </c>
      <c r="K705" t="s">
        <v>119</v>
      </c>
      <c r="M705">
        <v>3420</v>
      </c>
      <c r="N705" t="b">
        <v>1</v>
      </c>
      <c r="P705">
        <f t="shared" si="3"/>
        <v>4.9000000000000004</v>
      </c>
      <c r="Q705">
        <f t="shared" si="4"/>
        <v>0</v>
      </c>
      <c r="R705">
        <f t="shared" si="5"/>
        <v>7.5</v>
      </c>
      <c r="S705" t="s">
        <v>458</v>
      </c>
      <c r="T705" t="s">
        <v>201</v>
      </c>
      <c r="V705" t="s">
        <v>7</v>
      </c>
      <c r="X705">
        <v>1</v>
      </c>
      <c r="AE705" t="s">
        <v>460</v>
      </c>
      <c r="AF705">
        <v>-76.690790000000007</v>
      </c>
      <c r="AG705">
        <v>3.4059883329999998</v>
      </c>
      <c r="AH705">
        <v>5</v>
      </c>
      <c r="AI705">
        <v>0</v>
      </c>
      <c r="AJ705">
        <v>1.8</v>
      </c>
      <c r="AK705">
        <v>-76.690633329999997</v>
      </c>
      <c r="AL705">
        <v>3.4065083330000001</v>
      </c>
      <c r="AM705">
        <v>10</v>
      </c>
      <c r="AN705">
        <v>0</v>
      </c>
      <c r="AO705">
        <v>8</v>
      </c>
      <c r="AQ705" t="s">
        <v>443</v>
      </c>
    </row>
    <row r="706" spans="1:43" x14ac:dyDescent="0.2">
      <c r="A706">
        <v>2020</v>
      </c>
      <c r="B706" t="s">
        <v>15</v>
      </c>
      <c r="C706" t="s">
        <v>17</v>
      </c>
      <c r="D706" t="s">
        <v>138</v>
      </c>
      <c r="E706" t="s">
        <v>135</v>
      </c>
      <c r="F706" s="4">
        <v>44121</v>
      </c>
      <c r="G706" s="6">
        <v>0.80512731481481481</v>
      </c>
      <c r="H706">
        <v>-76.690708330000007</v>
      </c>
      <c r="I706">
        <v>3.406211667</v>
      </c>
      <c r="J706">
        <v>5</v>
      </c>
      <c r="K706" t="s">
        <v>119</v>
      </c>
      <c r="M706">
        <v>3403</v>
      </c>
      <c r="N706" t="b">
        <v>1</v>
      </c>
      <c r="P706">
        <f t="shared" si="3"/>
        <v>4.9000000000000004</v>
      </c>
      <c r="Q706">
        <f t="shared" si="4"/>
        <v>0</v>
      </c>
      <c r="R706">
        <f t="shared" si="5"/>
        <v>7.5</v>
      </c>
      <c r="S706" t="s">
        <v>458</v>
      </c>
      <c r="T706" t="s">
        <v>201</v>
      </c>
      <c r="V706" t="s">
        <v>6</v>
      </c>
      <c r="X706">
        <v>1</v>
      </c>
      <c r="AE706" t="s">
        <v>460</v>
      </c>
      <c r="AF706">
        <v>-76.690790000000007</v>
      </c>
      <c r="AG706">
        <v>3.4059883329999998</v>
      </c>
      <c r="AH706">
        <v>5</v>
      </c>
      <c r="AI706">
        <v>0</v>
      </c>
      <c r="AJ706">
        <v>1.8</v>
      </c>
      <c r="AK706">
        <v>-76.690633329999997</v>
      </c>
      <c r="AL706">
        <v>3.4065083330000001</v>
      </c>
      <c r="AM706">
        <v>10</v>
      </c>
      <c r="AN706">
        <v>0</v>
      </c>
      <c r="AO706">
        <v>8</v>
      </c>
      <c r="AQ706" t="s">
        <v>443</v>
      </c>
    </row>
    <row r="707" spans="1:43" x14ac:dyDescent="0.2">
      <c r="A707">
        <v>2020</v>
      </c>
      <c r="B707" t="s">
        <v>15</v>
      </c>
      <c r="C707" t="s">
        <v>16</v>
      </c>
      <c r="D707" t="s">
        <v>110</v>
      </c>
      <c r="E707" t="s">
        <v>111</v>
      </c>
      <c r="F707" s="4">
        <v>44123</v>
      </c>
      <c r="G707" s="6">
        <v>0.89822916666666663</v>
      </c>
      <c r="H707">
        <v>-76.688478329999995</v>
      </c>
      <c r="I707">
        <v>3.409496667</v>
      </c>
      <c r="J707">
        <v>5</v>
      </c>
      <c r="K707" t="s">
        <v>112</v>
      </c>
      <c r="L707" t="s">
        <v>473</v>
      </c>
      <c r="M707">
        <v>3360</v>
      </c>
      <c r="N707" t="b">
        <v>1</v>
      </c>
      <c r="P707">
        <f t="shared" si="3"/>
        <v>10</v>
      </c>
      <c r="Q707">
        <f t="shared" si="4"/>
        <v>0.15</v>
      </c>
      <c r="R707">
        <f t="shared" si="5"/>
        <v>30</v>
      </c>
      <c r="S707" t="s">
        <v>442</v>
      </c>
      <c r="T707" t="s">
        <v>145</v>
      </c>
      <c r="V707" t="s">
        <v>7</v>
      </c>
      <c r="W707" t="s">
        <v>474</v>
      </c>
      <c r="X707">
        <v>1</v>
      </c>
      <c r="AD707" t="s">
        <v>475</v>
      </c>
      <c r="AE707" t="s">
        <v>459</v>
      </c>
      <c r="AF707">
        <v>-76.688478329999995</v>
      </c>
      <c r="AG707">
        <v>3.409496667</v>
      </c>
      <c r="AH707">
        <v>15</v>
      </c>
      <c r="AI707">
        <v>0</v>
      </c>
      <c r="AJ707">
        <v>12</v>
      </c>
      <c r="AK707">
        <v>-76.688606669999999</v>
      </c>
      <c r="AL707">
        <v>3.408451667</v>
      </c>
      <c r="AM707">
        <v>45</v>
      </c>
      <c r="AN707">
        <v>0.3</v>
      </c>
      <c r="AO707">
        <v>8</v>
      </c>
      <c r="AQ707" t="s">
        <v>443</v>
      </c>
    </row>
    <row r="708" spans="1:43" x14ac:dyDescent="0.2">
      <c r="A708">
        <v>2020</v>
      </c>
      <c r="B708" t="s">
        <v>15</v>
      </c>
      <c r="C708" t="s">
        <v>17</v>
      </c>
      <c r="D708" t="s">
        <v>143</v>
      </c>
      <c r="E708" t="s">
        <v>127</v>
      </c>
      <c r="F708" s="4">
        <v>44121</v>
      </c>
      <c r="G708" s="6">
        <v>0.86409722222222218</v>
      </c>
      <c r="H708">
        <v>-76.690378330000001</v>
      </c>
      <c r="I708">
        <v>3.4068700000000001</v>
      </c>
      <c r="J708">
        <v>5</v>
      </c>
      <c r="K708" t="s">
        <v>119</v>
      </c>
      <c r="M708">
        <v>3409</v>
      </c>
      <c r="N708" t="b">
        <v>1</v>
      </c>
      <c r="P708">
        <f t="shared" si="3"/>
        <v>6.5</v>
      </c>
      <c r="Q708">
        <f t="shared" si="4"/>
        <v>0</v>
      </c>
      <c r="R708">
        <f t="shared" si="5"/>
        <v>12.5</v>
      </c>
      <c r="S708" t="s">
        <v>458</v>
      </c>
      <c r="T708" t="s">
        <v>258</v>
      </c>
      <c r="V708" t="s">
        <v>6</v>
      </c>
      <c r="X708">
        <v>1</v>
      </c>
      <c r="AF708">
        <v>-76.690600000000003</v>
      </c>
      <c r="AG708">
        <v>3.4065216669999998</v>
      </c>
      <c r="AH708">
        <v>10</v>
      </c>
      <c r="AI708">
        <v>0</v>
      </c>
      <c r="AJ708">
        <v>8</v>
      </c>
      <c r="AK708">
        <v>-76.689853330000005</v>
      </c>
      <c r="AL708">
        <v>3.407256667</v>
      </c>
      <c r="AM708">
        <v>15</v>
      </c>
      <c r="AN708">
        <v>0</v>
      </c>
      <c r="AO708">
        <v>5</v>
      </c>
      <c r="AQ708" t="s">
        <v>443</v>
      </c>
    </row>
    <row r="709" spans="1:43" x14ac:dyDescent="0.2">
      <c r="A709">
        <v>2020</v>
      </c>
      <c r="B709" t="s">
        <v>15</v>
      </c>
      <c r="C709" t="s">
        <v>19</v>
      </c>
      <c r="D709" t="s">
        <v>193</v>
      </c>
      <c r="E709" t="s">
        <v>111</v>
      </c>
      <c r="F709" s="4">
        <v>44120</v>
      </c>
      <c r="G709" s="6">
        <v>0.79678240740740736</v>
      </c>
      <c r="H709">
        <v>-76.680851669999996</v>
      </c>
      <c r="I709">
        <v>3.4013116669999999</v>
      </c>
      <c r="J709">
        <v>5</v>
      </c>
      <c r="K709" t="s">
        <v>112</v>
      </c>
      <c r="L709" t="s">
        <v>476</v>
      </c>
      <c r="M709">
        <v>3049</v>
      </c>
      <c r="N709" t="b">
        <v>1</v>
      </c>
      <c r="P709">
        <f t="shared" si="3"/>
        <v>12</v>
      </c>
      <c r="Q709">
        <f t="shared" si="4"/>
        <v>0</v>
      </c>
      <c r="R709">
        <f t="shared" si="5"/>
        <v>45</v>
      </c>
      <c r="S709" t="s">
        <v>442</v>
      </c>
      <c r="T709" t="s">
        <v>258</v>
      </c>
      <c r="V709" t="s">
        <v>38</v>
      </c>
      <c r="X709">
        <v>1</v>
      </c>
      <c r="AE709" t="s">
        <v>477</v>
      </c>
      <c r="AF709">
        <v>-76.681044999999997</v>
      </c>
      <c r="AG709">
        <v>3.4012899999999999</v>
      </c>
      <c r="AH709">
        <v>10</v>
      </c>
      <c r="AI709">
        <v>0</v>
      </c>
      <c r="AJ709">
        <v>14</v>
      </c>
      <c r="AK709">
        <v>-76.679990000000004</v>
      </c>
      <c r="AL709">
        <v>3.400896667</v>
      </c>
      <c r="AM709">
        <v>80</v>
      </c>
      <c r="AN709">
        <v>0</v>
      </c>
      <c r="AO709">
        <v>10</v>
      </c>
      <c r="AQ709" t="s">
        <v>443</v>
      </c>
    </row>
    <row r="710" spans="1:43" x14ac:dyDescent="0.2">
      <c r="A710">
        <v>2020</v>
      </c>
      <c r="B710" t="s">
        <v>15</v>
      </c>
      <c r="C710" t="s">
        <v>19</v>
      </c>
      <c r="D710" t="s">
        <v>193</v>
      </c>
      <c r="E710" t="s">
        <v>111</v>
      </c>
      <c r="F710" s="4">
        <v>44120</v>
      </c>
      <c r="G710" s="6">
        <v>0.84689814814814812</v>
      </c>
      <c r="H710">
        <v>-76.679990000000004</v>
      </c>
      <c r="I710">
        <v>3.400896667</v>
      </c>
      <c r="J710">
        <v>5</v>
      </c>
      <c r="K710" t="s">
        <v>119</v>
      </c>
      <c r="L710" t="s">
        <v>457</v>
      </c>
      <c r="M710">
        <v>3024</v>
      </c>
      <c r="N710" t="b">
        <v>1</v>
      </c>
      <c r="P710">
        <f t="shared" si="3"/>
        <v>12</v>
      </c>
      <c r="Q710">
        <f t="shared" si="4"/>
        <v>0</v>
      </c>
      <c r="R710">
        <f t="shared" si="5"/>
        <v>45</v>
      </c>
      <c r="S710" t="s">
        <v>442</v>
      </c>
      <c r="T710" t="s">
        <v>258</v>
      </c>
      <c r="V710" t="s">
        <v>39</v>
      </c>
      <c r="X710">
        <v>1</v>
      </c>
      <c r="AE710" t="s">
        <v>477</v>
      </c>
      <c r="AF710">
        <v>-76.681044999999997</v>
      </c>
      <c r="AG710">
        <v>3.4012899999999999</v>
      </c>
      <c r="AH710">
        <v>10</v>
      </c>
      <c r="AI710">
        <v>0</v>
      </c>
      <c r="AJ710">
        <v>14</v>
      </c>
      <c r="AK710">
        <v>-76.679990000000004</v>
      </c>
      <c r="AL710">
        <v>3.400896667</v>
      </c>
      <c r="AM710">
        <v>80</v>
      </c>
      <c r="AN710">
        <v>0</v>
      </c>
      <c r="AO710">
        <v>10</v>
      </c>
      <c r="AQ710" t="s">
        <v>443</v>
      </c>
    </row>
    <row r="711" spans="1:43" x14ac:dyDescent="0.2">
      <c r="A711">
        <v>2020</v>
      </c>
      <c r="B711" t="s">
        <v>15</v>
      </c>
      <c r="C711" t="s">
        <v>19</v>
      </c>
      <c r="D711" t="s">
        <v>193</v>
      </c>
      <c r="E711" t="s">
        <v>111</v>
      </c>
      <c r="F711" s="4">
        <v>44120</v>
      </c>
      <c r="G711" s="6">
        <v>0.81980324074074074</v>
      </c>
      <c r="H711">
        <v>-76.680615000000003</v>
      </c>
      <c r="I711">
        <v>3.4009416670000001</v>
      </c>
      <c r="J711">
        <v>5</v>
      </c>
      <c r="K711" t="s">
        <v>119</v>
      </c>
      <c r="L711" t="s">
        <v>473</v>
      </c>
      <c r="M711">
        <v>3010</v>
      </c>
      <c r="N711" t="b">
        <v>1</v>
      </c>
      <c r="P711">
        <f t="shared" si="3"/>
        <v>12</v>
      </c>
      <c r="Q711">
        <f t="shared" si="4"/>
        <v>0</v>
      </c>
      <c r="R711">
        <f t="shared" si="5"/>
        <v>45</v>
      </c>
      <c r="S711" t="s">
        <v>442</v>
      </c>
      <c r="T711" t="s">
        <v>258</v>
      </c>
      <c r="V711" t="s">
        <v>37</v>
      </c>
      <c r="X711">
        <v>1</v>
      </c>
      <c r="AE711" t="s">
        <v>477</v>
      </c>
      <c r="AF711">
        <v>-76.681044999999997</v>
      </c>
      <c r="AG711">
        <v>3.4012899999999999</v>
      </c>
      <c r="AH711">
        <v>10</v>
      </c>
      <c r="AI711">
        <v>0</v>
      </c>
      <c r="AJ711">
        <v>14</v>
      </c>
      <c r="AK711">
        <v>-76.679990000000004</v>
      </c>
      <c r="AL711">
        <v>3.400896667</v>
      </c>
      <c r="AM711">
        <v>80</v>
      </c>
      <c r="AN711">
        <v>0</v>
      </c>
      <c r="AO711">
        <v>10</v>
      </c>
      <c r="AQ711" t="s">
        <v>443</v>
      </c>
    </row>
    <row r="712" spans="1:43" x14ac:dyDescent="0.2">
      <c r="A712">
        <v>2020</v>
      </c>
      <c r="B712" t="s">
        <v>15</v>
      </c>
      <c r="C712" t="s">
        <v>16</v>
      </c>
      <c r="D712" t="s">
        <v>134</v>
      </c>
      <c r="E712" t="s">
        <v>135</v>
      </c>
      <c r="F712" s="4">
        <v>44123</v>
      </c>
      <c r="G712" s="6">
        <v>0.82417824074074075</v>
      </c>
      <c r="H712">
        <v>-76.689533330000003</v>
      </c>
      <c r="I712">
        <v>3.4117383330000002</v>
      </c>
      <c r="J712">
        <v>5</v>
      </c>
      <c r="K712" t="s">
        <v>119</v>
      </c>
      <c r="L712" t="s">
        <v>478</v>
      </c>
      <c r="M712">
        <v>3240</v>
      </c>
      <c r="N712" t="b">
        <v>1</v>
      </c>
      <c r="P712">
        <f t="shared" si="3"/>
        <v>9</v>
      </c>
      <c r="Q712">
        <f t="shared" si="4"/>
        <v>0</v>
      </c>
      <c r="R712">
        <f t="shared" si="5"/>
        <v>12.5</v>
      </c>
      <c r="S712" t="s">
        <v>442</v>
      </c>
      <c r="T712" t="s">
        <v>145</v>
      </c>
      <c r="V712" t="s">
        <v>7</v>
      </c>
      <c r="X712">
        <v>1</v>
      </c>
      <c r="AE712" t="s">
        <v>460</v>
      </c>
      <c r="AF712">
        <v>-76.690063330000001</v>
      </c>
      <c r="AG712">
        <v>3.4121633330000001</v>
      </c>
      <c r="AH712">
        <v>5</v>
      </c>
      <c r="AI712">
        <v>0</v>
      </c>
      <c r="AJ712">
        <v>10</v>
      </c>
      <c r="AK712">
        <v>-76.689428329999998</v>
      </c>
      <c r="AL712">
        <v>3.4116</v>
      </c>
      <c r="AM712">
        <v>20</v>
      </c>
      <c r="AN712">
        <v>0</v>
      </c>
      <c r="AO712">
        <v>8</v>
      </c>
      <c r="AQ712" t="s">
        <v>443</v>
      </c>
    </row>
    <row r="713" spans="1:43" x14ac:dyDescent="0.2">
      <c r="A713">
        <v>2020</v>
      </c>
      <c r="B713" t="s">
        <v>15</v>
      </c>
      <c r="C713" t="s">
        <v>16</v>
      </c>
      <c r="D713" t="s">
        <v>134</v>
      </c>
      <c r="E713" t="s">
        <v>135</v>
      </c>
      <c r="F713" s="4">
        <v>44123</v>
      </c>
      <c r="G713" s="6">
        <v>0.79668981481481482</v>
      </c>
      <c r="H713">
        <v>-76.689994999999996</v>
      </c>
      <c r="I713">
        <v>3.4119833329999998</v>
      </c>
      <c r="J713">
        <v>5</v>
      </c>
      <c r="K713" t="s">
        <v>112</v>
      </c>
      <c r="M713">
        <v>3294</v>
      </c>
      <c r="N713" t="b">
        <v>1</v>
      </c>
      <c r="P713">
        <f t="shared" ref="P713:P730" si="6">AVERAGE(AJ713,AO713)</f>
        <v>9</v>
      </c>
      <c r="Q713">
        <f t="shared" ref="Q713:Q730" si="7">AVERAGE(AI713,AN713)</f>
        <v>0</v>
      </c>
      <c r="R713">
        <f t="shared" ref="R713:R730" si="8">AVERAGE(AH713,AM713)</f>
        <v>12.5</v>
      </c>
      <c r="S713" t="s">
        <v>442</v>
      </c>
      <c r="T713" t="s">
        <v>145</v>
      </c>
      <c r="V713" t="s">
        <v>6</v>
      </c>
      <c r="X713">
        <v>1</v>
      </c>
      <c r="AE713" t="s">
        <v>460</v>
      </c>
      <c r="AF713">
        <v>-76.690063330000001</v>
      </c>
      <c r="AG713">
        <v>3.4121633330000001</v>
      </c>
      <c r="AH713">
        <v>5</v>
      </c>
      <c r="AI713">
        <v>0</v>
      </c>
      <c r="AJ713">
        <v>10</v>
      </c>
      <c r="AK713">
        <v>-76.689428329999998</v>
      </c>
      <c r="AL713">
        <v>3.4116</v>
      </c>
      <c r="AM713">
        <v>20</v>
      </c>
      <c r="AN713">
        <v>0</v>
      </c>
      <c r="AO713">
        <v>8</v>
      </c>
      <c r="AQ713" t="s">
        <v>443</v>
      </c>
    </row>
    <row r="714" spans="1:43" x14ac:dyDescent="0.2">
      <c r="A714">
        <v>2020</v>
      </c>
      <c r="B714" t="s">
        <v>15</v>
      </c>
      <c r="C714" t="s">
        <v>16</v>
      </c>
      <c r="D714" t="s">
        <v>134</v>
      </c>
      <c r="E714" t="s">
        <v>135</v>
      </c>
      <c r="F714" s="4">
        <v>44123</v>
      </c>
      <c r="G714" s="6">
        <v>0.79668981481481482</v>
      </c>
      <c r="H714">
        <v>-76.689994999999996</v>
      </c>
      <c r="I714">
        <v>3.4119833329999998</v>
      </c>
      <c r="J714">
        <v>5</v>
      </c>
      <c r="K714" t="s">
        <v>112</v>
      </c>
      <c r="L714" t="s">
        <v>479</v>
      </c>
      <c r="M714">
        <v>3294</v>
      </c>
      <c r="N714" t="b">
        <v>1</v>
      </c>
      <c r="P714">
        <f t="shared" si="6"/>
        <v>9</v>
      </c>
      <c r="Q714">
        <f t="shared" si="7"/>
        <v>0</v>
      </c>
      <c r="R714">
        <f t="shared" si="8"/>
        <v>12.5</v>
      </c>
      <c r="S714" t="s">
        <v>442</v>
      </c>
      <c r="T714" t="s">
        <v>145</v>
      </c>
      <c r="V714" t="s">
        <v>7</v>
      </c>
      <c r="X714">
        <v>1</v>
      </c>
      <c r="AE714" t="s">
        <v>460</v>
      </c>
      <c r="AF714">
        <v>-76.690063330000001</v>
      </c>
      <c r="AG714">
        <v>3.4121633330000001</v>
      </c>
      <c r="AH714">
        <v>5</v>
      </c>
      <c r="AI714">
        <v>0</v>
      </c>
      <c r="AJ714">
        <v>10</v>
      </c>
      <c r="AK714">
        <v>-76.689428329999998</v>
      </c>
      <c r="AL714">
        <v>3.4116</v>
      </c>
      <c r="AM714">
        <v>20</v>
      </c>
      <c r="AN714">
        <v>0</v>
      </c>
      <c r="AO714">
        <v>8</v>
      </c>
      <c r="AQ714" t="s">
        <v>443</v>
      </c>
    </row>
    <row r="715" spans="1:43" x14ac:dyDescent="0.2">
      <c r="A715">
        <v>2020</v>
      </c>
      <c r="B715" t="s">
        <v>15</v>
      </c>
      <c r="C715" t="s">
        <v>16</v>
      </c>
      <c r="D715" t="s">
        <v>134</v>
      </c>
      <c r="E715" t="s">
        <v>135</v>
      </c>
      <c r="F715" s="4">
        <v>44123</v>
      </c>
      <c r="G715" s="6">
        <v>0.83197916666666671</v>
      </c>
      <c r="H715">
        <v>-76.68956833</v>
      </c>
      <c r="I715">
        <v>3.4117000000000002</v>
      </c>
      <c r="J715">
        <v>5</v>
      </c>
      <c r="K715" t="s">
        <v>119</v>
      </c>
      <c r="L715" t="s">
        <v>479</v>
      </c>
      <c r="M715">
        <v>3290</v>
      </c>
      <c r="N715" t="b">
        <v>0</v>
      </c>
      <c r="O715" t="b">
        <v>1</v>
      </c>
      <c r="P715">
        <f t="shared" si="6"/>
        <v>9</v>
      </c>
      <c r="Q715">
        <f t="shared" si="7"/>
        <v>0</v>
      </c>
      <c r="R715">
        <f t="shared" si="8"/>
        <v>12.5</v>
      </c>
      <c r="S715" t="s">
        <v>442</v>
      </c>
      <c r="T715" t="s">
        <v>447</v>
      </c>
      <c r="V715" t="s">
        <v>29</v>
      </c>
      <c r="X715">
        <v>3</v>
      </c>
      <c r="AE715" t="s">
        <v>460</v>
      </c>
      <c r="AF715">
        <v>-76.690063330000001</v>
      </c>
      <c r="AG715">
        <v>3.4121633330000001</v>
      </c>
      <c r="AH715">
        <v>5</v>
      </c>
      <c r="AI715">
        <v>0</v>
      </c>
      <c r="AJ715">
        <v>10</v>
      </c>
      <c r="AK715">
        <v>-76.689428329999998</v>
      </c>
      <c r="AL715">
        <v>3.4116</v>
      </c>
      <c r="AM715">
        <v>20</v>
      </c>
      <c r="AN715">
        <v>0</v>
      </c>
      <c r="AO715">
        <v>8</v>
      </c>
      <c r="AQ715" t="s">
        <v>443</v>
      </c>
    </row>
    <row r="716" spans="1:43" x14ac:dyDescent="0.2">
      <c r="A716">
        <v>2020</v>
      </c>
      <c r="B716" t="s">
        <v>15</v>
      </c>
      <c r="C716" t="s">
        <v>17</v>
      </c>
      <c r="D716" t="s">
        <v>202</v>
      </c>
      <c r="E716" t="s">
        <v>122</v>
      </c>
      <c r="F716" s="4">
        <v>44121</v>
      </c>
      <c r="G716" s="6">
        <v>0.87675925925925924</v>
      </c>
      <c r="H716">
        <v>-76.689615000000003</v>
      </c>
      <c r="I716">
        <v>3.4074333330000002</v>
      </c>
      <c r="J716">
        <v>5</v>
      </c>
      <c r="K716" t="s">
        <v>112</v>
      </c>
      <c r="M716">
        <v>3411</v>
      </c>
      <c r="N716" t="b">
        <v>1</v>
      </c>
      <c r="P716">
        <f t="shared" si="6"/>
        <v>7.5</v>
      </c>
      <c r="Q716">
        <f t="shared" si="7"/>
        <v>0</v>
      </c>
      <c r="R716">
        <f t="shared" si="8"/>
        <v>17.5</v>
      </c>
      <c r="S716" t="s">
        <v>442</v>
      </c>
      <c r="T716" t="s">
        <v>258</v>
      </c>
      <c r="V716" t="s">
        <v>6</v>
      </c>
      <c r="X716">
        <v>1</v>
      </c>
      <c r="AF716">
        <v>-76.689846669999994</v>
      </c>
      <c r="AG716">
        <v>3.4072849999999999</v>
      </c>
      <c r="AH716">
        <v>15</v>
      </c>
      <c r="AI716">
        <v>0</v>
      </c>
      <c r="AJ716">
        <v>5</v>
      </c>
      <c r="AK716">
        <v>-76.689109999999999</v>
      </c>
      <c r="AL716">
        <v>3.4075983330000001</v>
      </c>
      <c r="AM716">
        <v>20</v>
      </c>
      <c r="AN716">
        <v>0</v>
      </c>
      <c r="AO716">
        <v>10</v>
      </c>
      <c r="AQ716" t="s">
        <v>443</v>
      </c>
    </row>
    <row r="717" spans="1:43" x14ac:dyDescent="0.2">
      <c r="A717">
        <v>2020</v>
      </c>
      <c r="B717" t="s">
        <v>15</v>
      </c>
      <c r="C717" t="s">
        <v>17</v>
      </c>
      <c r="D717" t="s">
        <v>202</v>
      </c>
      <c r="E717" t="s">
        <v>122</v>
      </c>
      <c r="F717" s="4">
        <v>44121</v>
      </c>
      <c r="G717" s="6">
        <v>0.87675925925925924</v>
      </c>
      <c r="H717">
        <v>-76.689615000000003</v>
      </c>
      <c r="I717">
        <v>3.4074333330000002</v>
      </c>
      <c r="J717">
        <v>5</v>
      </c>
      <c r="K717" t="s">
        <v>112</v>
      </c>
      <c r="L717" t="s">
        <v>480</v>
      </c>
      <c r="M717">
        <v>3412</v>
      </c>
      <c r="N717" t="b">
        <v>1</v>
      </c>
      <c r="P717">
        <f t="shared" si="6"/>
        <v>7.5</v>
      </c>
      <c r="Q717">
        <f t="shared" si="7"/>
        <v>0</v>
      </c>
      <c r="R717">
        <f t="shared" si="8"/>
        <v>17.5</v>
      </c>
      <c r="S717" t="s">
        <v>442</v>
      </c>
      <c r="T717" t="s">
        <v>258</v>
      </c>
      <c r="V717" t="s">
        <v>37</v>
      </c>
      <c r="X717">
        <v>2</v>
      </c>
      <c r="AF717">
        <v>-76.689846669999994</v>
      </c>
      <c r="AG717">
        <v>3.4072849999999999</v>
      </c>
      <c r="AH717">
        <v>15</v>
      </c>
      <c r="AI717">
        <v>0</v>
      </c>
      <c r="AJ717">
        <v>5</v>
      </c>
      <c r="AK717">
        <v>-76.689109999999999</v>
      </c>
      <c r="AL717">
        <v>3.4075983330000001</v>
      </c>
      <c r="AM717">
        <v>20</v>
      </c>
      <c r="AN717">
        <v>0</v>
      </c>
      <c r="AO717">
        <v>10</v>
      </c>
      <c r="AQ717" t="s">
        <v>443</v>
      </c>
    </row>
    <row r="718" spans="1:43" x14ac:dyDescent="0.2">
      <c r="A718">
        <v>2020</v>
      </c>
      <c r="B718" t="s">
        <v>15</v>
      </c>
      <c r="C718" t="s">
        <v>19</v>
      </c>
      <c r="D718" t="s">
        <v>153</v>
      </c>
      <c r="E718" t="s">
        <v>127</v>
      </c>
      <c r="F718" s="4">
        <v>44120</v>
      </c>
      <c r="G718" s="6">
        <v>0.93732638888888886</v>
      </c>
      <c r="H718">
        <v>-76.678785000000005</v>
      </c>
      <c r="I718">
        <v>3.40083</v>
      </c>
      <c r="J718">
        <v>5</v>
      </c>
      <c r="K718" t="s">
        <v>119</v>
      </c>
      <c r="L718" t="s">
        <v>481</v>
      </c>
      <c r="M718">
        <v>3050</v>
      </c>
      <c r="N718" t="b">
        <v>1</v>
      </c>
      <c r="P718">
        <f t="shared" si="6"/>
        <v>15</v>
      </c>
      <c r="Q718">
        <f t="shared" si="7"/>
        <v>0</v>
      </c>
      <c r="R718">
        <f t="shared" si="8"/>
        <v>50</v>
      </c>
      <c r="S718" t="s">
        <v>442</v>
      </c>
      <c r="T718" t="s">
        <v>258</v>
      </c>
      <c r="V718" t="s">
        <v>37</v>
      </c>
      <c r="X718">
        <v>1</v>
      </c>
      <c r="AF718">
        <v>-76.679140000000004</v>
      </c>
      <c r="AG718">
        <v>3.400795</v>
      </c>
      <c r="AH718">
        <v>30</v>
      </c>
      <c r="AI718">
        <v>0</v>
      </c>
      <c r="AJ718">
        <v>10</v>
      </c>
      <c r="AK718">
        <v>-76.678555000000003</v>
      </c>
      <c r="AL718">
        <v>3.40158</v>
      </c>
      <c r="AM718">
        <v>70</v>
      </c>
      <c r="AN718">
        <v>0</v>
      </c>
      <c r="AO718">
        <v>20</v>
      </c>
      <c r="AQ718" t="s">
        <v>443</v>
      </c>
    </row>
    <row r="719" spans="1:43" x14ac:dyDescent="0.2">
      <c r="A719">
        <v>2020</v>
      </c>
      <c r="B719" t="s">
        <v>15</v>
      </c>
      <c r="C719" t="s">
        <v>19</v>
      </c>
      <c r="D719" t="s">
        <v>153</v>
      </c>
      <c r="E719" t="s">
        <v>127</v>
      </c>
      <c r="F719" s="4">
        <v>44120</v>
      </c>
      <c r="G719" s="6">
        <v>0.95890046296296294</v>
      </c>
      <c r="H719">
        <v>-76.678555000000003</v>
      </c>
      <c r="I719">
        <v>3.40158</v>
      </c>
      <c r="J719">
        <v>5</v>
      </c>
      <c r="K719" t="s">
        <v>119</v>
      </c>
      <c r="M719">
        <v>3054</v>
      </c>
      <c r="N719" t="b">
        <v>1</v>
      </c>
      <c r="P719">
        <f t="shared" si="6"/>
        <v>15</v>
      </c>
      <c r="Q719">
        <f t="shared" si="7"/>
        <v>0</v>
      </c>
      <c r="R719">
        <f t="shared" si="8"/>
        <v>50</v>
      </c>
      <c r="S719" t="s">
        <v>442</v>
      </c>
      <c r="T719" t="s">
        <v>258</v>
      </c>
      <c r="V719" t="s">
        <v>39</v>
      </c>
      <c r="X719">
        <v>1</v>
      </c>
      <c r="AF719">
        <v>-76.679140000000004</v>
      </c>
      <c r="AG719">
        <v>3.400795</v>
      </c>
      <c r="AH719">
        <v>30</v>
      </c>
      <c r="AI719">
        <v>0</v>
      </c>
      <c r="AJ719">
        <v>10</v>
      </c>
      <c r="AK719">
        <v>-76.678555000000003</v>
      </c>
      <c r="AL719">
        <v>3.40158</v>
      </c>
      <c r="AM719">
        <v>70</v>
      </c>
      <c r="AN719">
        <v>0</v>
      </c>
      <c r="AO719">
        <v>20</v>
      </c>
      <c r="AQ719" t="s">
        <v>443</v>
      </c>
    </row>
    <row r="720" spans="1:43" x14ac:dyDescent="0.2">
      <c r="A720">
        <v>2020</v>
      </c>
      <c r="B720" t="s">
        <v>15</v>
      </c>
      <c r="C720" t="s">
        <v>19</v>
      </c>
      <c r="D720" t="s">
        <v>153</v>
      </c>
      <c r="E720" t="s">
        <v>127</v>
      </c>
      <c r="F720" s="4">
        <v>44120</v>
      </c>
      <c r="G720" s="6">
        <v>0.94403935185185184</v>
      </c>
      <c r="H720">
        <v>-76.678651669999994</v>
      </c>
      <c r="I720">
        <v>3.401135</v>
      </c>
      <c r="J720">
        <v>5</v>
      </c>
      <c r="K720" t="s">
        <v>112</v>
      </c>
      <c r="L720" t="s">
        <v>481</v>
      </c>
      <c r="M720">
        <v>3051</v>
      </c>
      <c r="N720" t="b">
        <v>1</v>
      </c>
      <c r="P720">
        <f t="shared" si="6"/>
        <v>15</v>
      </c>
      <c r="Q720">
        <f t="shared" si="7"/>
        <v>0</v>
      </c>
      <c r="R720">
        <f t="shared" si="8"/>
        <v>50</v>
      </c>
      <c r="S720" t="s">
        <v>483</v>
      </c>
      <c r="T720" t="s">
        <v>447</v>
      </c>
      <c r="V720" t="s">
        <v>57</v>
      </c>
      <c r="X720">
        <v>1</v>
      </c>
      <c r="AF720">
        <v>-76.679140000000004</v>
      </c>
      <c r="AG720">
        <v>3.400795</v>
      </c>
      <c r="AH720">
        <v>30</v>
      </c>
      <c r="AI720">
        <v>0</v>
      </c>
      <c r="AJ720">
        <v>10</v>
      </c>
      <c r="AK720">
        <v>-76.678555000000003</v>
      </c>
      <c r="AL720">
        <v>3.40158</v>
      </c>
      <c r="AM720">
        <v>70</v>
      </c>
      <c r="AN720">
        <v>0</v>
      </c>
      <c r="AO720">
        <v>20</v>
      </c>
      <c r="AQ720" t="s">
        <v>244</v>
      </c>
    </row>
    <row r="721" spans="1:43" x14ac:dyDescent="0.2">
      <c r="A721">
        <v>2020</v>
      </c>
      <c r="B721" t="s">
        <v>15</v>
      </c>
      <c r="C721" t="s">
        <v>16</v>
      </c>
      <c r="D721" t="s">
        <v>121</v>
      </c>
      <c r="E721" t="s">
        <v>122</v>
      </c>
      <c r="F721" s="4">
        <v>44123</v>
      </c>
      <c r="G721" s="6">
        <v>0.87812500000000004</v>
      </c>
      <c r="H721">
        <v>-76.688371669999995</v>
      </c>
      <c r="I721">
        <v>3.4102583329999998</v>
      </c>
      <c r="J721">
        <v>5</v>
      </c>
      <c r="K721" t="s">
        <v>112</v>
      </c>
      <c r="M721">
        <v>3320</v>
      </c>
      <c r="N721" t="b">
        <v>0</v>
      </c>
      <c r="O721" t="b">
        <v>1</v>
      </c>
      <c r="P721">
        <f t="shared" si="6"/>
        <v>16</v>
      </c>
      <c r="Q721">
        <f t="shared" si="7"/>
        <v>0.65</v>
      </c>
      <c r="R721">
        <f t="shared" si="8"/>
        <v>22.5</v>
      </c>
      <c r="S721" t="s">
        <v>442</v>
      </c>
      <c r="T721" t="s">
        <v>447</v>
      </c>
      <c r="V721" t="s">
        <v>6</v>
      </c>
      <c r="W721" t="s">
        <v>452</v>
      </c>
      <c r="X721">
        <v>1</v>
      </c>
      <c r="AD721" t="s">
        <v>484</v>
      </c>
      <c r="AE721" t="s">
        <v>460</v>
      </c>
      <c r="AF721">
        <v>-76.68838667</v>
      </c>
      <c r="AG721">
        <v>3.4105483329999999</v>
      </c>
      <c r="AH721">
        <v>15</v>
      </c>
      <c r="AI721">
        <v>0</v>
      </c>
      <c r="AJ721">
        <v>12</v>
      </c>
      <c r="AK721">
        <v>-76.68838667</v>
      </c>
      <c r="AL721">
        <v>3.4098583329999999</v>
      </c>
      <c r="AM721">
        <v>30</v>
      </c>
      <c r="AN721">
        <v>1.3</v>
      </c>
      <c r="AO721">
        <v>20</v>
      </c>
      <c r="AQ721" t="s">
        <v>443</v>
      </c>
    </row>
    <row r="722" spans="1:43" x14ac:dyDescent="0.2">
      <c r="A722">
        <v>2020</v>
      </c>
      <c r="B722" t="s">
        <v>15</v>
      </c>
      <c r="C722" t="s">
        <v>16</v>
      </c>
      <c r="D722" t="s">
        <v>126</v>
      </c>
      <c r="E722" t="s">
        <v>127</v>
      </c>
      <c r="F722" s="4">
        <v>44123</v>
      </c>
      <c r="G722" s="6">
        <v>0.86182870370370368</v>
      </c>
      <c r="H722">
        <v>-76.688641669999996</v>
      </c>
      <c r="I722">
        <v>3.4109783330000001</v>
      </c>
      <c r="J722">
        <v>5</v>
      </c>
      <c r="M722">
        <v>3298</v>
      </c>
      <c r="N722" t="b">
        <v>1</v>
      </c>
      <c r="P722">
        <f t="shared" si="6"/>
        <v>8</v>
      </c>
      <c r="Q722">
        <f t="shared" si="7"/>
        <v>0</v>
      </c>
      <c r="R722">
        <f t="shared" si="8"/>
        <v>7.5</v>
      </c>
      <c r="T722" t="s">
        <v>145</v>
      </c>
      <c r="V722" t="s">
        <v>47</v>
      </c>
      <c r="X722">
        <v>0</v>
      </c>
      <c r="AE722" t="s">
        <v>460</v>
      </c>
      <c r="AF722">
        <v>-76.689156670000003</v>
      </c>
      <c r="AG722">
        <v>3.4113283330000002</v>
      </c>
      <c r="AH722">
        <v>5</v>
      </c>
      <c r="AI722">
        <v>0</v>
      </c>
      <c r="AJ722">
        <v>8</v>
      </c>
      <c r="AK722">
        <v>-76.688663329999997</v>
      </c>
      <c r="AL722">
        <v>3.4109600000000002</v>
      </c>
      <c r="AM722">
        <v>10</v>
      </c>
      <c r="AN722">
        <v>0</v>
      </c>
      <c r="AO722">
        <v>8</v>
      </c>
      <c r="AQ722" t="s">
        <v>443</v>
      </c>
    </row>
    <row r="723" spans="1:43" x14ac:dyDescent="0.2">
      <c r="A723">
        <v>2020</v>
      </c>
      <c r="B723" t="s">
        <v>15</v>
      </c>
      <c r="C723" t="s">
        <v>19</v>
      </c>
      <c r="D723" t="s">
        <v>150</v>
      </c>
      <c r="E723" t="s">
        <v>122</v>
      </c>
      <c r="F723" s="4">
        <v>44120</v>
      </c>
      <c r="G723" s="6">
        <v>0.89275462962962959</v>
      </c>
      <c r="H723">
        <v>-76.679498330000001</v>
      </c>
      <c r="I723">
        <v>3.400756667</v>
      </c>
      <c r="J723">
        <v>5</v>
      </c>
      <c r="K723" t="s">
        <v>119</v>
      </c>
      <c r="L723" t="s">
        <v>481</v>
      </c>
      <c r="M723">
        <v>3049</v>
      </c>
      <c r="N723" t="b">
        <v>1</v>
      </c>
      <c r="P723">
        <f t="shared" si="6"/>
        <v>7.5</v>
      </c>
      <c r="Q723">
        <f t="shared" si="7"/>
        <v>0</v>
      </c>
      <c r="R723">
        <f t="shared" si="8"/>
        <v>20</v>
      </c>
      <c r="S723" t="s">
        <v>442</v>
      </c>
      <c r="T723" t="s">
        <v>258</v>
      </c>
      <c r="V723" t="s">
        <v>38</v>
      </c>
      <c r="X723">
        <v>1</v>
      </c>
      <c r="AF723">
        <v>-76.680013329999994</v>
      </c>
      <c r="AG723">
        <v>3.4009450000000001</v>
      </c>
      <c r="AH723">
        <v>10</v>
      </c>
      <c r="AI723">
        <v>0</v>
      </c>
      <c r="AJ723">
        <v>10</v>
      </c>
      <c r="AK723">
        <v>-76.679211670000001</v>
      </c>
      <c r="AL723">
        <v>3.400781667</v>
      </c>
      <c r="AM723">
        <v>30</v>
      </c>
      <c r="AN723">
        <v>0</v>
      </c>
      <c r="AO723">
        <v>5</v>
      </c>
      <c r="AQ723" t="s">
        <v>443</v>
      </c>
    </row>
    <row r="724" spans="1:43" x14ac:dyDescent="0.2">
      <c r="A724">
        <v>2020</v>
      </c>
      <c r="B724" t="s">
        <v>15</v>
      </c>
      <c r="C724" t="s">
        <v>19</v>
      </c>
      <c r="D724" t="s">
        <v>150</v>
      </c>
      <c r="E724" t="s">
        <v>122</v>
      </c>
      <c r="F724" s="4">
        <v>44120</v>
      </c>
      <c r="G724" s="6">
        <v>0.87878472222222226</v>
      </c>
      <c r="H724">
        <v>-76.679863330000003</v>
      </c>
      <c r="I724">
        <v>3.4007466669999999</v>
      </c>
      <c r="J724">
        <v>5</v>
      </c>
      <c r="K724" t="s">
        <v>119</v>
      </c>
      <c r="L724" t="s">
        <v>473</v>
      </c>
      <c r="M724">
        <v>3066</v>
      </c>
      <c r="N724" t="b">
        <v>1</v>
      </c>
      <c r="P724">
        <f t="shared" si="6"/>
        <v>7.5</v>
      </c>
      <c r="Q724">
        <f t="shared" si="7"/>
        <v>0</v>
      </c>
      <c r="R724">
        <f t="shared" si="8"/>
        <v>20</v>
      </c>
      <c r="S724" t="s">
        <v>442</v>
      </c>
      <c r="T724" t="s">
        <v>258</v>
      </c>
      <c r="V724" t="s">
        <v>39</v>
      </c>
      <c r="X724">
        <v>1</v>
      </c>
      <c r="AF724">
        <v>-76.680013329999994</v>
      </c>
      <c r="AG724">
        <v>3.4009450000000001</v>
      </c>
      <c r="AH724">
        <v>10</v>
      </c>
      <c r="AI724">
        <v>0</v>
      </c>
      <c r="AJ724">
        <v>10</v>
      </c>
      <c r="AK724">
        <v>-76.679211670000001</v>
      </c>
      <c r="AL724">
        <v>3.400781667</v>
      </c>
      <c r="AM724">
        <v>30</v>
      </c>
      <c r="AN724">
        <v>0</v>
      </c>
      <c r="AO724">
        <v>5</v>
      </c>
      <c r="AQ724" t="s">
        <v>443</v>
      </c>
    </row>
    <row r="725" spans="1:43" x14ac:dyDescent="0.2">
      <c r="A725">
        <v>2020</v>
      </c>
      <c r="B725" t="s">
        <v>15</v>
      </c>
      <c r="C725" t="s">
        <v>19</v>
      </c>
      <c r="D725" t="s">
        <v>150</v>
      </c>
      <c r="E725" t="s">
        <v>122</v>
      </c>
      <c r="F725" s="4">
        <v>44120</v>
      </c>
      <c r="G725" s="6">
        <v>0.86704861111111109</v>
      </c>
      <c r="H725">
        <v>-76.679868330000005</v>
      </c>
      <c r="I725">
        <v>3.4007416670000001</v>
      </c>
      <c r="J725">
        <v>5</v>
      </c>
      <c r="K725" t="s">
        <v>119</v>
      </c>
      <c r="M725">
        <v>3069</v>
      </c>
      <c r="N725" t="b">
        <v>1</v>
      </c>
      <c r="P725">
        <f t="shared" si="6"/>
        <v>7.5</v>
      </c>
      <c r="Q725">
        <f t="shared" si="7"/>
        <v>0</v>
      </c>
      <c r="R725">
        <f t="shared" si="8"/>
        <v>20</v>
      </c>
      <c r="S725" t="s">
        <v>442</v>
      </c>
      <c r="T725" t="s">
        <v>258</v>
      </c>
      <c r="V725" t="s">
        <v>39</v>
      </c>
      <c r="X725">
        <v>1</v>
      </c>
      <c r="AF725">
        <v>-76.680013329999994</v>
      </c>
      <c r="AG725">
        <v>3.4009450000000001</v>
      </c>
      <c r="AH725">
        <v>10</v>
      </c>
      <c r="AI725">
        <v>0</v>
      </c>
      <c r="AJ725">
        <v>10</v>
      </c>
      <c r="AK725">
        <v>-76.679211670000001</v>
      </c>
      <c r="AL725">
        <v>3.400781667</v>
      </c>
      <c r="AM725">
        <v>30</v>
      </c>
      <c r="AN725">
        <v>0</v>
      </c>
      <c r="AO725">
        <v>5</v>
      </c>
      <c r="AQ725" t="s">
        <v>443</v>
      </c>
    </row>
    <row r="726" spans="1:43" x14ac:dyDescent="0.2">
      <c r="A726">
        <v>2020</v>
      </c>
      <c r="B726" t="s">
        <v>15</v>
      </c>
      <c r="C726" t="s">
        <v>19</v>
      </c>
      <c r="D726" t="s">
        <v>150</v>
      </c>
      <c r="E726" t="s">
        <v>122</v>
      </c>
      <c r="F726" s="4">
        <v>44120</v>
      </c>
      <c r="G726" s="6">
        <v>0.86178240740740741</v>
      </c>
      <c r="H726">
        <v>-76.679923329999994</v>
      </c>
      <c r="I726">
        <v>3.4008799999999999</v>
      </c>
      <c r="J726">
        <v>5</v>
      </c>
      <c r="K726" t="s">
        <v>119</v>
      </c>
      <c r="L726" t="s">
        <v>481</v>
      </c>
      <c r="M726">
        <v>3060</v>
      </c>
      <c r="N726" t="b">
        <v>1</v>
      </c>
      <c r="P726">
        <f t="shared" si="6"/>
        <v>7.5</v>
      </c>
      <c r="Q726">
        <f t="shared" si="7"/>
        <v>0</v>
      </c>
      <c r="R726">
        <f t="shared" si="8"/>
        <v>20</v>
      </c>
      <c r="S726" t="s">
        <v>442</v>
      </c>
      <c r="T726" t="s">
        <v>258</v>
      </c>
      <c r="V726" t="s">
        <v>38</v>
      </c>
      <c r="X726">
        <v>1</v>
      </c>
      <c r="AF726">
        <v>-76.680013329999994</v>
      </c>
      <c r="AG726">
        <v>3.4009450000000001</v>
      </c>
      <c r="AH726">
        <v>10</v>
      </c>
      <c r="AI726">
        <v>0</v>
      </c>
      <c r="AJ726">
        <v>10</v>
      </c>
      <c r="AK726">
        <v>-76.679211670000001</v>
      </c>
      <c r="AL726">
        <v>3.400781667</v>
      </c>
      <c r="AM726">
        <v>30</v>
      </c>
      <c r="AN726">
        <v>0</v>
      </c>
      <c r="AO726">
        <v>5</v>
      </c>
      <c r="AQ726" t="s">
        <v>443</v>
      </c>
    </row>
    <row r="727" spans="1:43" x14ac:dyDescent="0.2">
      <c r="A727">
        <v>2020</v>
      </c>
      <c r="B727" t="s">
        <v>15</v>
      </c>
      <c r="C727" t="s">
        <v>19</v>
      </c>
      <c r="D727" t="s">
        <v>150</v>
      </c>
      <c r="E727" t="s">
        <v>122</v>
      </c>
      <c r="F727" s="4">
        <v>44120</v>
      </c>
      <c r="G727" s="6">
        <v>0.90886574074074078</v>
      </c>
      <c r="H727">
        <v>-76.679460000000006</v>
      </c>
      <c r="I727">
        <v>3.4007483330000001</v>
      </c>
      <c r="J727">
        <v>5</v>
      </c>
      <c r="K727" t="s">
        <v>119</v>
      </c>
      <c r="M727">
        <v>3049</v>
      </c>
      <c r="N727" t="b">
        <v>1</v>
      </c>
      <c r="P727">
        <f t="shared" si="6"/>
        <v>7.5</v>
      </c>
      <c r="Q727">
        <f t="shared" si="7"/>
        <v>0</v>
      </c>
      <c r="R727">
        <f t="shared" si="8"/>
        <v>20</v>
      </c>
      <c r="S727" t="s">
        <v>442</v>
      </c>
      <c r="T727" t="s">
        <v>258</v>
      </c>
      <c r="V727" t="s">
        <v>57</v>
      </c>
      <c r="X727">
        <v>1</v>
      </c>
      <c r="AF727">
        <v>-76.680013329999994</v>
      </c>
      <c r="AG727">
        <v>3.4009450000000001</v>
      </c>
      <c r="AH727">
        <v>10</v>
      </c>
      <c r="AI727">
        <v>0</v>
      </c>
      <c r="AJ727">
        <v>10</v>
      </c>
      <c r="AK727">
        <v>-76.679211670000001</v>
      </c>
      <c r="AL727">
        <v>3.400781667</v>
      </c>
      <c r="AM727">
        <v>30</v>
      </c>
      <c r="AN727">
        <v>0</v>
      </c>
      <c r="AO727">
        <v>5</v>
      </c>
      <c r="AQ727" t="s">
        <v>443</v>
      </c>
    </row>
    <row r="728" spans="1:43" x14ac:dyDescent="0.2">
      <c r="A728">
        <v>2020</v>
      </c>
      <c r="B728" t="s">
        <v>15</v>
      </c>
      <c r="C728" t="s">
        <v>20</v>
      </c>
      <c r="D728" t="s">
        <v>151</v>
      </c>
      <c r="E728" t="s">
        <v>111</v>
      </c>
      <c r="F728" s="4">
        <v>44120</v>
      </c>
      <c r="G728" s="6">
        <v>0.98162037037037042</v>
      </c>
      <c r="H728">
        <v>-76.67800167</v>
      </c>
      <c r="I728">
        <v>3.4023983329999998</v>
      </c>
      <c r="J728">
        <v>5</v>
      </c>
      <c r="P728">
        <f t="shared" si="6"/>
        <v>40</v>
      </c>
      <c r="Q728">
        <f t="shared" si="7"/>
        <v>0</v>
      </c>
      <c r="R728">
        <f t="shared" si="8"/>
        <v>16.5</v>
      </c>
      <c r="V728" t="s">
        <v>47</v>
      </c>
      <c r="X728">
        <v>0</v>
      </c>
      <c r="AE728" t="s">
        <v>469</v>
      </c>
      <c r="AF728">
        <v>-76.678394999999995</v>
      </c>
      <c r="AG728">
        <v>3.4017366670000002</v>
      </c>
      <c r="AH728">
        <v>10</v>
      </c>
      <c r="AI728">
        <v>0</v>
      </c>
      <c r="AJ728">
        <v>40</v>
      </c>
      <c r="AK728">
        <v>-76.67800167</v>
      </c>
      <c r="AL728">
        <v>3.4023983329999998</v>
      </c>
      <c r="AM728">
        <v>23</v>
      </c>
      <c r="AN728">
        <v>0</v>
      </c>
      <c r="AO728">
        <v>40</v>
      </c>
    </row>
    <row r="729" spans="1:43" x14ac:dyDescent="0.2">
      <c r="A729">
        <v>2020</v>
      </c>
      <c r="B729" t="s">
        <v>10</v>
      </c>
      <c r="C729" t="s">
        <v>14</v>
      </c>
      <c r="D729" t="s">
        <v>324</v>
      </c>
      <c r="E729" t="s">
        <v>127</v>
      </c>
      <c r="F729" s="4">
        <v>44130</v>
      </c>
      <c r="G729" s="6">
        <v>0.85636574074074079</v>
      </c>
      <c r="H729">
        <v>-76.646623329999997</v>
      </c>
      <c r="I729">
        <v>3.3497266670000001</v>
      </c>
      <c r="J729">
        <v>5</v>
      </c>
      <c r="P729">
        <f t="shared" si="6"/>
        <v>4</v>
      </c>
      <c r="Q729">
        <f t="shared" si="7"/>
        <v>0</v>
      </c>
      <c r="R729">
        <f t="shared" si="8"/>
        <v>12.5</v>
      </c>
      <c r="V729" t="s">
        <v>47</v>
      </c>
      <c r="X729">
        <v>0</v>
      </c>
      <c r="AE729" t="s">
        <v>469</v>
      </c>
      <c r="AF729">
        <v>-76.645799999999994</v>
      </c>
      <c r="AG729">
        <v>3.3496233329999998</v>
      </c>
      <c r="AH729">
        <v>15</v>
      </c>
      <c r="AI729">
        <v>0</v>
      </c>
      <c r="AJ729">
        <v>4</v>
      </c>
      <c r="AK729">
        <v>-76.646623329999997</v>
      </c>
      <c r="AL729">
        <v>3.3497266670000001</v>
      </c>
      <c r="AM729">
        <v>10</v>
      </c>
      <c r="AN729">
        <v>0</v>
      </c>
      <c r="AO729">
        <v>4</v>
      </c>
    </row>
    <row r="730" spans="1:43" x14ac:dyDescent="0.2">
      <c r="A730">
        <v>2020</v>
      </c>
      <c r="B730" t="s">
        <v>15</v>
      </c>
      <c r="C730" t="s">
        <v>17</v>
      </c>
      <c r="D730" t="s">
        <v>142</v>
      </c>
      <c r="E730" t="s">
        <v>111</v>
      </c>
      <c r="F730" s="4">
        <v>44121</v>
      </c>
      <c r="G730" s="6">
        <v>0.8963888888888889</v>
      </c>
      <c r="H730">
        <v>-76.688503330000003</v>
      </c>
      <c r="I730">
        <v>3.4080533329999998</v>
      </c>
      <c r="J730">
        <v>5</v>
      </c>
      <c r="P730">
        <f t="shared" si="6"/>
        <v>6.5</v>
      </c>
      <c r="Q730">
        <f t="shared" si="7"/>
        <v>0</v>
      </c>
      <c r="R730">
        <f t="shared" si="8"/>
        <v>15</v>
      </c>
      <c r="V730" t="s">
        <v>47</v>
      </c>
      <c r="X730">
        <v>0</v>
      </c>
      <c r="AE730" t="s">
        <v>459</v>
      </c>
      <c r="AF730">
        <v>-76.689109999999999</v>
      </c>
      <c r="AG730">
        <v>3.4075983330000001</v>
      </c>
      <c r="AH730">
        <v>20</v>
      </c>
      <c r="AI730">
        <v>0</v>
      </c>
      <c r="AJ730">
        <v>10</v>
      </c>
      <c r="AK730">
        <v>-76.688503330000003</v>
      </c>
      <c r="AL730">
        <v>3.4080533329999998</v>
      </c>
      <c r="AM730">
        <v>10</v>
      </c>
      <c r="AN730">
        <v>0</v>
      </c>
      <c r="AO730">
        <v>3</v>
      </c>
    </row>
    <row r="731" spans="1:43" x14ac:dyDescent="0.2">
      <c r="A731">
        <v>2021</v>
      </c>
      <c r="B731" t="s">
        <v>10</v>
      </c>
      <c r="C731" t="s">
        <v>12</v>
      </c>
      <c r="D731" t="s">
        <v>192</v>
      </c>
      <c r="E731" t="s">
        <v>135</v>
      </c>
      <c r="F731" s="8">
        <v>44489</v>
      </c>
      <c r="G731" s="5">
        <v>0.90962962962962968</v>
      </c>
      <c r="H731">
        <v>-76.652136670000004</v>
      </c>
      <c r="I731">
        <v>3.353443333</v>
      </c>
      <c r="J731">
        <v>6</v>
      </c>
      <c r="K731" t="s">
        <v>112</v>
      </c>
      <c r="L731" t="s">
        <v>113</v>
      </c>
      <c r="M731">
        <v>2506</v>
      </c>
      <c r="N731" t="b">
        <v>1</v>
      </c>
      <c r="P731">
        <f>AVERAGE(AJ731,AO731)</f>
        <v>13.5</v>
      </c>
      <c r="Q731">
        <f>AVERAGE(AI731,AN731)</f>
        <v>0</v>
      </c>
      <c r="R731">
        <f>AVERAGE(AH731,AM731)</f>
        <v>15</v>
      </c>
      <c r="S731" t="s">
        <v>442</v>
      </c>
      <c r="T731" t="s">
        <v>145</v>
      </c>
      <c r="V731" t="s">
        <v>9</v>
      </c>
      <c r="X731">
        <v>1</v>
      </c>
      <c r="AF731">
        <v>-76.652656669999999</v>
      </c>
      <c r="AG731">
        <v>3.3534066669999998</v>
      </c>
      <c r="AH731">
        <v>20</v>
      </c>
      <c r="AI731">
        <v>0</v>
      </c>
      <c r="AJ731">
        <v>12</v>
      </c>
      <c r="AK731">
        <v>-76.651994999999999</v>
      </c>
      <c r="AL731">
        <v>3.3534733330000002</v>
      </c>
      <c r="AM731">
        <v>10</v>
      </c>
      <c r="AN731">
        <v>0</v>
      </c>
      <c r="AO731">
        <v>15</v>
      </c>
      <c r="AP731" t="s">
        <v>441</v>
      </c>
      <c r="AQ731" t="s">
        <v>443</v>
      </c>
    </row>
    <row r="732" spans="1:43" x14ac:dyDescent="0.2">
      <c r="A732">
        <v>2021</v>
      </c>
      <c r="B732" t="s">
        <v>10</v>
      </c>
      <c r="C732" t="s">
        <v>12</v>
      </c>
      <c r="D732" t="s">
        <v>192</v>
      </c>
      <c r="E732" t="s">
        <v>135</v>
      </c>
      <c r="F732" s="8">
        <v>44489</v>
      </c>
      <c r="G732" s="5">
        <v>0.90249999999999997</v>
      </c>
      <c r="H732">
        <v>-76.652548330000002</v>
      </c>
      <c r="I732">
        <v>3.3534833329999998</v>
      </c>
      <c r="J732">
        <v>6</v>
      </c>
      <c r="K732" t="s">
        <v>119</v>
      </c>
      <c r="L732" t="s">
        <v>113</v>
      </c>
      <c r="M732">
        <v>2514</v>
      </c>
      <c r="N732" t="b">
        <v>1</v>
      </c>
      <c r="P732">
        <f t="shared" ref="P732:P795" si="9">AVERAGE(AJ732,AO732)</f>
        <v>13.5</v>
      </c>
      <c r="Q732">
        <f t="shared" ref="Q732:Q795" si="10">AVERAGE(AI732,AN732)</f>
        <v>0</v>
      </c>
      <c r="R732">
        <f t="shared" ref="R732:R795" si="11">AVERAGE(AH732,AM732)</f>
        <v>15</v>
      </c>
      <c r="S732" t="s">
        <v>442</v>
      </c>
      <c r="T732" t="s">
        <v>145</v>
      </c>
      <c r="V732" t="s">
        <v>9</v>
      </c>
      <c r="X732">
        <v>1</v>
      </c>
      <c r="AF732">
        <v>-76.652656669999999</v>
      </c>
      <c r="AG732">
        <v>3.3534066669999998</v>
      </c>
      <c r="AH732">
        <v>20</v>
      </c>
      <c r="AI732">
        <v>0</v>
      </c>
      <c r="AJ732">
        <v>12</v>
      </c>
      <c r="AK732">
        <v>-76.651994999999999</v>
      </c>
      <c r="AL732">
        <v>3.3534733330000002</v>
      </c>
      <c r="AM732">
        <v>10</v>
      </c>
      <c r="AN732">
        <v>0</v>
      </c>
      <c r="AO732">
        <v>15</v>
      </c>
      <c r="AP732" t="s">
        <v>441</v>
      </c>
      <c r="AQ732" t="s">
        <v>443</v>
      </c>
    </row>
    <row r="733" spans="1:43" x14ac:dyDescent="0.2">
      <c r="A733">
        <v>2021</v>
      </c>
      <c r="B733" t="s">
        <v>10</v>
      </c>
      <c r="C733" t="s">
        <v>12</v>
      </c>
      <c r="D733" t="s">
        <v>192</v>
      </c>
      <c r="E733" t="s">
        <v>135</v>
      </c>
      <c r="F733" s="8">
        <v>44489</v>
      </c>
      <c r="G733" s="5">
        <v>0.89645833333333336</v>
      </c>
      <c r="H733">
        <v>-76.652623329999997</v>
      </c>
      <c r="I733">
        <v>3.3535383329999999</v>
      </c>
      <c r="J733">
        <v>6</v>
      </c>
      <c r="K733" t="s">
        <v>119</v>
      </c>
      <c r="L733" t="s">
        <v>113</v>
      </c>
      <c r="M733">
        <v>2510</v>
      </c>
      <c r="N733" t="b">
        <v>1</v>
      </c>
      <c r="P733">
        <f t="shared" si="9"/>
        <v>13.5</v>
      </c>
      <c r="Q733">
        <f t="shared" si="10"/>
        <v>0</v>
      </c>
      <c r="R733">
        <f t="shared" si="11"/>
        <v>15</v>
      </c>
      <c r="S733" t="s">
        <v>442</v>
      </c>
      <c r="T733" t="s">
        <v>145</v>
      </c>
      <c r="U733" t="s">
        <v>485</v>
      </c>
      <c r="V733" t="s">
        <v>36</v>
      </c>
      <c r="X733">
        <v>1</v>
      </c>
      <c r="AF733">
        <v>-76.652656669999999</v>
      </c>
      <c r="AG733">
        <v>3.3534066669999998</v>
      </c>
      <c r="AH733">
        <v>20</v>
      </c>
      <c r="AI733">
        <v>0</v>
      </c>
      <c r="AJ733">
        <v>12</v>
      </c>
      <c r="AK733">
        <v>-76.651994999999999</v>
      </c>
      <c r="AL733">
        <v>3.3534733330000002</v>
      </c>
      <c r="AM733">
        <v>10</v>
      </c>
      <c r="AN733">
        <v>0</v>
      </c>
      <c r="AO733">
        <v>15</v>
      </c>
      <c r="AP733" t="s">
        <v>441</v>
      </c>
      <c r="AQ733" t="s">
        <v>443</v>
      </c>
    </row>
    <row r="734" spans="1:43" x14ac:dyDescent="0.2">
      <c r="A734">
        <v>2021</v>
      </c>
      <c r="B734" t="s">
        <v>10</v>
      </c>
      <c r="C734" t="s">
        <v>12</v>
      </c>
      <c r="D734" t="s">
        <v>192</v>
      </c>
      <c r="E734" t="s">
        <v>135</v>
      </c>
      <c r="F734" s="8">
        <v>44489</v>
      </c>
      <c r="G734" s="5">
        <v>0.89645833333333336</v>
      </c>
      <c r="H734">
        <v>-76.652623329999997</v>
      </c>
      <c r="I734">
        <v>3.3535383329999999</v>
      </c>
      <c r="J734">
        <v>6</v>
      </c>
      <c r="K734" t="s">
        <v>112</v>
      </c>
      <c r="L734" t="s">
        <v>113</v>
      </c>
      <c r="M734">
        <v>2510</v>
      </c>
      <c r="N734" t="b">
        <v>1</v>
      </c>
      <c r="P734">
        <f t="shared" si="9"/>
        <v>13.5</v>
      </c>
      <c r="Q734">
        <f t="shared" si="10"/>
        <v>0</v>
      </c>
      <c r="R734">
        <f t="shared" si="11"/>
        <v>15</v>
      </c>
      <c r="S734" t="s">
        <v>442</v>
      </c>
      <c r="T734" t="s">
        <v>145</v>
      </c>
      <c r="U734" t="s">
        <v>485</v>
      </c>
      <c r="V734" t="s">
        <v>36</v>
      </c>
      <c r="X734">
        <v>1</v>
      </c>
      <c r="AF734">
        <v>-76.652656669999999</v>
      </c>
      <c r="AG734">
        <v>3.3534066669999998</v>
      </c>
      <c r="AH734">
        <v>20</v>
      </c>
      <c r="AI734">
        <v>0</v>
      </c>
      <c r="AJ734">
        <v>12</v>
      </c>
      <c r="AK734">
        <v>-76.651994999999999</v>
      </c>
      <c r="AL734">
        <v>3.3534733330000002</v>
      </c>
      <c r="AM734">
        <v>10</v>
      </c>
      <c r="AN734">
        <v>0</v>
      </c>
      <c r="AO734">
        <v>15</v>
      </c>
      <c r="AP734" t="s">
        <v>441</v>
      </c>
      <c r="AQ734" t="s">
        <v>443</v>
      </c>
    </row>
    <row r="735" spans="1:43" x14ac:dyDescent="0.2">
      <c r="A735">
        <v>2021</v>
      </c>
      <c r="B735" t="s">
        <v>10</v>
      </c>
      <c r="C735" t="s">
        <v>12</v>
      </c>
      <c r="D735" t="s">
        <v>192</v>
      </c>
      <c r="E735" t="s">
        <v>135</v>
      </c>
      <c r="F735" s="8">
        <v>44489</v>
      </c>
      <c r="G735" s="5">
        <v>0.89645833333333336</v>
      </c>
      <c r="H735">
        <v>-76.652623329999997</v>
      </c>
      <c r="I735">
        <v>3.3535383329999999</v>
      </c>
      <c r="J735">
        <v>6</v>
      </c>
      <c r="K735" t="s">
        <v>112</v>
      </c>
      <c r="L735" t="s">
        <v>113</v>
      </c>
      <c r="M735">
        <v>2510</v>
      </c>
      <c r="N735" t="b">
        <v>1</v>
      </c>
      <c r="P735">
        <f t="shared" si="9"/>
        <v>13.5</v>
      </c>
      <c r="Q735">
        <f t="shared" si="10"/>
        <v>0</v>
      </c>
      <c r="R735">
        <f t="shared" si="11"/>
        <v>15</v>
      </c>
      <c r="S735" t="s">
        <v>442</v>
      </c>
      <c r="T735" t="s">
        <v>145</v>
      </c>
      <c r="U735" t="s">
        <v>485</v>
      </c>
      <c r="V735" t="s">
        <v>36</v>
      </c>
      <c r="X735">
        <v>1</v>
      </c>
      <c r="AF735">
        <v>-76.652656669999999</v>
      </c>
      <c r="AG735">
        <v>3.3534066669999998</v>
      </c>
      <c r="AH735">
        <v>20</v>
      </c>
      <c r="AI735">
        <v>0</v>
      </c>
      <c r="AJ735">
        <v>12</v>
      </c>
      <c r="AK735">
        <v>-76.651994999999999</v>
      </c>
      <c r="AL735">
        <v>3.3534733330000002</v>
      </c>
      <c r="AM735">
        <v>10</v>
      </c>
      <c r="AN735">
        <v>0</v>
      </c>
      <c r="AO735">
        <v>15</v>
      </c>
      <c r="AP735" t="s">
        <v>441</v>
      </c>
      <c r="AQ735" t="s">
        <v>443</v>
      </c>
    </row>
    <row r="736" spans="1:43" x14ac:dyDescent="0.2">
      <c r="A736">
        <v>2021</v>
      </c>
      <c r="B736" t="s">
        <v>10</v>
      </c>
      <c r="C736" t="s">
        <v>12</v>
      </c>
      <c r="D736" t="s">
        <v>192</v>
      </c>
      <c r="E736" t="s">
        <v>135</v>
      </c>
      <c r="F736" s="8">
        <v>44489</v>
      </c>
      <c r="G736" s="5">
        <v>0.89645833333333336</v>
      </c>
      <c r="H736">
        <v>-76.652623329999997</v>
      </c>
      <c r="I736">
        <v>3.3535383329999999</v>
      </c>
      <c r="J736">
        <v>6</v>
      </c>
      <c r="K736" t="s">
        <v>119</v>
      </c>
      <c r="L736" t="s">
        <v>113</v>
      </c>
      <c r="M736">
        <v>2510</v>
      </c>
      <c r="N736" t="b">
        <v>1</v>
      </c>
      <c r="P736">
        <f t="shared" si="9"/>
        <v>13.5</v>
      </c>
      <c r="Q736">
        <f t="shared" si="10"/>
        <v>0</v>
      </c>
      <c r="R736">
        <f t="shared" si="11"/>
        <v>15</v>
      </c>
      <c r="S736" t="s">
        <v>442</v>
      </c>
      <c r="T736" t="s">
        <v>145</v>
      </c>
      <c r="U736" t="s">
        <v>486</v>
      </c>
      <c r="V736" t="s">
        <v>36</v>
      </c>
      <c r="X736">
        <v>1</v>
      </c>
      <c r="AF736">
        <v>-76.652656669999999</v>
      </c>
      <c r="AG736">
        <v>3.3534066669999998</v>
      </c>
      <c r="AH736">
        <v>20</v>
      </c>
      <c r="AI736">
        <v>0</v>
      </c>
      <c r="AJ736">
        <v>12</v>
      </c>
      <c r="AK736">
        <v>-76.651994999999999</v>
      </c>
      <c r="AL736">
        <v>3.3534733330000002</v>
      </c>
      <c r="AM736">
        <v>10</v>
      </c>
      <c r="AN736">
        <v>0</v>
      </c>
      <c r="AO736">
        <v>15</v>
      </c>
      <c r="AP736" t="s">
        <v>441</v>
      </c>
      <c r="AQ736" t="s">
        <v>443</v>
      </c>
    </row>
    <row r="737" spans="1:43" x14ac:dyDescent="0.2">
      <c r="A737">
        <v>2021</v>
      </c>
      <c r="B737" t="s">
        <v>10</v>
      </c>
      <c r="C737" t="s">
        <v>12</v>
      </c>
      <c r="D737" t="s">
        <v>192</v>
      </c>
      <c r="E737" t="s">
        <v>135</v>
      </c>
      <c r="F737" s="8">
        <v>44489</v>
      </c>
      <c r="G737" s="5">
        <v>0.90729166666666672</v>
      </c>
      <c r="H737">
        <v>-76.652203330000006</v>
      </c>
      <c r="I737">
        <v>3.3533783330000002</v>
      </c>
      <c r="J737">
        <v>6</v>
      </c>
      <c r="K737" t="s">
        <v>119</v>
      </c>
      <c r="L737" t="s">
        <v>113</v>
      </c>
      <c r="M737">
        <v>2501</v>
      </c>
      <c r="N737" t="b">
        <v>1</v>
      </c>
      <c r="P737">
        <f t="shared" si="9"/>
        <v>13.5</v>
      </c>
      <c r="Q737">
        <f t="shared" si="10"/>
        <v>0</v>
      </c>
      <c r="R737">
        <f t="shared" si="11"/>
        <v>15</v>
      </c>
      <c r="S737" t="s">
        <v>442</v>
      </c>
      <c r="T737" t="s">
        <v>145</v>
      </c>
      <c r="V737" t="s">
        <v>9</v>
      </c>
      <c r="X737">
        <v>1</v>
      </c>
      <c r="AD737" t="s">
        <v>444</v>
      </c>
      <c r="AF737">
        <v>-76.652656669999999</v>
      </c>
      <c r="AG737">
        <v>3.3534066669999998</v>
      </c>
      <c r="AH737">
        <v>20</v>
      </c>
      <c r="AI737">
        <v>0</v>
      </c>
      <c r="AJ737">
        <v>12</v>
      </c>
      <c r="AK737">
        <v>-76.651994999999999</v>
      </c>
      <c r="AL737">
        <v>3.3534733330000002</v>
      </c>
      <c r="AM737">
        <v>10</v>
      </c>
      <c r="AN737">
        <v>0</v>
      </c>
      <c r="AO737">
        <v>15</v>
      </c>
      <c r="AP737" t="s">
        <v>441</v>
      </c>
      <c r="AQ737" t="s">
        <v>443</v>
      </c>
    </row>
    <row r="738" spans="1:43" x14ac:dyDescent="0.2">
      <c r="A738">
        <v>2021</v>
      </c>
      <c r="B738" t="s">
        <v>10</v>
      </c>
      <c r="C738" t="s">
        <v>11</v>
      </c>
      <c r="D738" t="s">
        <v>228</v>
      </c>
      <c r="E738" t="s">
        <v>111</v>
      </c>
      <c r="F738" s="8">
        <v>44489</v>
      </c>
      <c r="G738" s="5">
        <v>0.85945601851851849</v>
      </c>
      <c r="H738">
        <v>-76.655315000000002</v>
      </c>
      <c r="I738">
        <v>3.3540833330000002</v>
      </c>
      <c r="J738">
        <v>6</v>
      </c>
      <c r="K738" t="s">
        <v>119</v>
      </c>
      <c r="L738" t="s">
        <v>487</v>
      </c>
      <c r="M738">
        <v>2558</v>
      </c>
      <c r="N738" t="b">
        <v>1</v>
      </c>
      <c r="P738">
        <f t="shared" si="9"/>
        <v>11</v>
      </c>
      <c r="Q738">
        <f t="shared" si="10"/>
        <v>0</v>
      </c>
      <c r="R738">
        <f t="shared" si="11"/>
        <v>8.5</v>
      </c>
      <c r="S738" t="s">
        <v>442</v>
      </c>
      <c r="T738" t="s">
        <v>145</v>
      </c>
      <c r="U738" t="s">
        <v>445</v>
      </c>
      <c r="V738" t="s">
        <v>59</v>
      </c>
      <c r="X738">
        <v>1</v>
      </c>
      <c r="AF738">
        <v>-76.655770000000004</v>
      </c>
      <c r="AG738">
        <v>3.3544999999999998</v>
      </c>
      <c r="AH738">
        <v>10</v>
      </c>
      <c r="AI738">
        <v>0</v>
      </c>
      <c r="AJ738">
        <v>12</v>
      </c>
      <c r="AK738">
        <v>-76.655185000000003</v>
      </c>
      <c r="AL738">
        <v>3.3539916669999998</v>
      </c>
      <c r="AM738">
        <v>7</v>
      </c>
      <c r="AN738">
        <v>0</v>
      </c>
      <c r="AO738">
        <v>10</v>
      </c>
      <c r="AP738" t="s">
        <v>441</v>
      </c>
      <c r="AQ738" t="s">
        <v>443</v>
      </c>
    </row>
    <row r="739" spans="1:43" x14ac:dyDescent="0.2">
      <c r="A739">
        <v>2021</v>
      </c>
      <c r="B739" t="s">
        <v>10</v>
      </c>
      <c r="C739" t="s">
        <v>11</v>
      </c>
      <c r="D739" t="s">
        <v>228</v>
      </c>
      <c r="E739" t="s">
        <v>111</v>
      </c>
      <c r="F739" s="8">
        <v>44489</v>
      </c>
      <c r="G739" s="5">
        <v>0.85945601851851849</v>
      </c>
      <c r="H739">
        <v>-76.655315000000002</v>
      </c>
      <c r="I739">
        <v>3.3540833330000002</v>
      </c>
      <c r="J739">
        <v>6</v>
      </c>
      <c r="K739" t="s">
        <v>112</v>
      </c>
      <c r="L739" t="s">
        <v>488</v>
      </c>
      <c r="M739">
        <v>2558</v>
      </c>
      <c r="N739" t="b">
        <v>1</v>
      </c>
      <c r="P739">
        <f t="shared" si="9"/>
        <v>11</v>
      </c>
      <c r="Q739">
        <f t="shared" si="10"/>
        <v>0</v>
      </c>
      <c r="R739">
        <f t="shared" si="11"/>
        <v>8.5</v>
      </c>
      <c r="S739" t="s">
        <v>442</v>
      </c>
      <c r="T739" t="s">
        <v>145</v>
      </c>
      <c r="V739" t="s">
        <v>39</v>
      </c>
      <c r="X739">
        <v>1</v>
      </c>
      <c r="AF739">
        <v>-76.655770000000004</v>
      </c>
      <c r="AG739">
        <v>3.3544999999999998</v>
      </c>
      <c r="AH739">
        <v>10</v>
      </c>
      <c r="AI739">
        <v>0</v>
      </c>
      <c r="AJ739">
        <v>12</v>
      </c>
      <c r="AK739">
        <v>-76.655185000000003</v>
      </c>
      <c r="AL739">
        <v>3.3539916669999998</v>
      </c>
      <c r="AM739">
        <v>7</v>
      </c>
      <c r="AN739">
        <v>0</v>
      </c>
      <c r="AO739">
        <v>10</v>
      </c>
      <c r="AP739" t="s">
        <v>441</v>
      </c>
      <c r="AQ739" t="s">
        <v>443</v>
      </c>
    </row>
    <row r="740" spans="1:43" x14ac:dyDescent="0.2">
      <c r="A740">
        <v>2021</v>
      </c>
      <c r="B740" t="s">
        <v>10</v>
      </c>
      <c r="C740" t="s">
        <v>11</v>
      </c>
      <c r="D740" t="s">
        <v>228</v>
      </c>
      <c r="E740" t="s">
        <v>111</v>
      </c>
      <c r="F740" s="8">
        <v>44489</v>
      </c>
      <c r="G740" s="5">
        <v>0.83137731481481481</v>
      </c>
      <c r="H740">
        <v>-76.655685000000005</v>
      </c>
      <c r="I740">
        <v>3.354263333</v>
      </c>
      <c r="J740">
        <v>6</v>
      </c>
      <c r="K740" t="s">
        <v>112</v>
      </c>
      <c r="L740" t="s">
        <v>488</v>
      </c>
      <c r="M740">
        <v>2562</v>
      </c>
      <c r="N740" t="b">
        <v>1</v>
      </c>
      <c r="P740">
        <f t="shared" si="9"/>
        <v>11</v>
      </c>
      <c r="Q740">
        <f t="shared" si="10"/>
        <v>0</v>
      </c>
      <c r="R740">
        <f t="shared" si="11"/>
        <v>8.5</v>
      </c>
      <c r="S740" t="s">
        <v>442</v>
      </c>
      <c r="T740" t="s">
        <v>145</v>
      </c>
      <c r="V740" t="s">
        <v>9</v>
      </c>
      <c r="X740">
        <v>1</v>
      </c>
      <c r="AF740">
        <v>-76.655770000000004</v>
      </c>
      <c r="AG740">
        <v>3.3544999999999998</v>
      </c>
      <c r="AH740">
        <v>10</v>
      </c>
      <c r="AI740">
        <v>0</v>
      </c>
      <c r="AJ740">
        <v>12</v>
      </c>
      <c r="AK740">
        <v>-76.655185000000003</v>
      </c>
      <c r="AL740">
        <v>3.3539916669999998</v>
      </c>
      <c r="AM740">
        <v>7</v>
      </c>
      <c r="AN740">
        <v>0</v>
      </c>
      <c r="AO740">
        <v>10</v>
      </c>
      <c r="AP740" t="s">
        <v>441</v>
      </c>
      <c r="AQ740" t="s">
        <v>443</v>
      </c>
    </row>
    <row r="741" spans="1:43" x14ac:dyDescent="0.2">
      <c r="A741">
        <v>2021</v>
      </c>
      <c r="B741" t="s">
        <v>10</v>
      </c>
      <c r="C741" t="s">
        <v>11</v>
      </c>
      <c r="D741" t="s">
        <v>228</v>
      </c>
      <c r="E741" t="s">
        <v>111</v>
      </c>
      <c r="F741" s="8">
        <v>44489</v>
      </c>
      <c r="G741" s="5">
        <v>0.84846064814814814</v>
      </c>
      <c r="H741">
        <v>-76.655421669999996</v>
      </c>
      <c r="I741">
        <v>3.3541016670000001</v>
      </c>
      <c r="J741">
        <v>6</v>
      </c>
      <c r="K741" t="s">
        <v>112</v>
      </c>
      <c r="L741" t="s">
        <v>113</v>
      </c>
      <c r="M741">
        <v>2559</v>
      </c>
      <c r="N741" t="b">
        <v>1</v>
      </c>
      <c r="P741">
        <f t="shared" si="9"/>
        <v>11</v>
      </c>
      <c r="Q741">
        <f t="shared" si="10"/>
        <v>0</v>
      </c>
      <c r="R741">
        <f t="shared" si="11"/>
        <v>8.5</v>
      </c>
      <c r="S741" t="s">
        <v>442</v>
      </c>
      <c r="T741" t="s">
        <v>145</v>
      </c>
      <c r="V741" t="s">
        <v>59</v>
      </c>
      <c r="X741">
        <v>1</v>
      </c>
      <c r="AF741">
        <v>-76.655770000000004</v>
      </c>
      <c r="AG741">
        <v>3.3544999999999998</v>
      </c>
      <c r="AH741">
        <v>10</v>
      </c>
      <c r="AI741">
        <v>0</v>
      </c>
      <c r="AJ741">
        <v>12</v>
      </c>
      <c r="AK741">
        <v>-76.655185000000003</v>
      </c>
      <c r="AL741">
        <v>3.3539916669999998</v>
      </c>
      <c r="AM741">
        <v>7</v>
      </c>
      <c r="AN741">
        <v>0</v>
      </c>
      <c r="AO741">
        <v>10</v>
      </c>
      <c r="AP741" t="s">
        <v>441</v>
      </c>
      <c r="AQ741" t="s">
        <v>443</v>
      </c>
    </row>
    <row r="742" spans="1:43" x14ac:dyDescent="0.2">
      <c r="A742">
        <v>2021</v>
      </c>
      <c r="B742" t="s">
        <v>10</v>
      </c>
      <c r="C742" t="s">
        <v>11</v>
      </c>
      <c r="D742" t="s">
        <v>228</v>
      </c>
      <c r="E742" t="s">
        <v>111</v>
      </c>
      <c r="F742" s="8">
        <v>44489</v>
      </c>
      <c r="G742" s="5">
        <v>0.84024305555555556</v>
      </c>
      <c r="H742">
        <v>-76.655569999999997</v>
      </c>
      <c r="I742">
        <v>3.3541716670000001</v>
      </c>
      <c r="J742">
        <v>6</v>
      </c>
      <c r="K742" t="s">
        <v>119</v>
      </c>
      <c r="L742" t="s">
        <v>487</v>
      </c>
      <c r="M742">
        <v>2569</v>
      </c>
      <c r="N742" t="b">
        <v>1</v>
      </c>
      <c r="P742">
        <f t="shared" si="9"/>
        <v>11</v>
      </c>
      <c r="Q742">
        <f t="shared" si="10"/>
        <v>0</v>
      </c>
      <c r="R742">
        <f t="shared" si="11"/>
        <v>8.5</v>
      </c>
      <c r="S742" t="s">
        <v>442</v>
      </c>
      <c r="T742" t="s">
        <v>145</v>
      </c>
      <c r="V742" t="s">
        <v>9</v>
      </c>
      <c r="X742">
        <v>1</v>
      </c>
      <c r="AF742">
        <v>-76.655770000000004</v>
      </c>
      <c r="AG742">
        <v>3.3544999999999998</v>
      </c>
      <c r="AH742">
        <v>10</v>
      </c>
      <c r="AI742">
        <v>0</v>
      </c>
      <c r="AJ742">
        <v>12</v>
      </c>
      <c r="AK742">
        <v>-76.655185000000003</v>
      </c>
      <c r="AL742">
        <v>3.3539916669999998</v>
      </c>
      <c r="AM742">
        <v>7</v>
      </c>
      <c r="AN742">
        <v>0</v>
      </c>
      <c r="AO742">
        <v>10</v>
      </c>
      <c r="AP742" t="s">
        <v>441</v>
      </c>
      <c r="AQ742" t="s">
        <v>443</v>
      </c>
    </row>
    <row r="743" spans="1:43" x14ac:dyDescent="0.2">
      <c r="A743">
        <v>2021</v>
      </c>
      <c r="B743" t="s">
        <v>10</v>
      </c>
      <c r="C743" t="s">
        <v>11</v>
      </c>
      <c r="D743" t="s">
        <v>228</v>
      </c>
      <c r="E743" t="s">
        <v>111</v>
      </c>
      <c r="F743" s="8">
        <v>44489</v>
      </c>
      <c r="G743" s="5">
        <v>0.83572916666666663</v>
      </c>
      <c r="H743">
        <v>-76.655661670000001</v>
      </c>
      <c r="I743">
        <v>3.3541983329999998</v>
      </c>
      <c r="J743">
        <v>6</v>
      </c>
      <c r="K743" t="s">
        <v>112</v>
      </c>
      <c r="L743" t="s">
        <v>488</v>
      </c>
      <c r="M743">
        <v>2565</v>
      </c>
      <c r="N743" t="b">
        <v>1</v>
      </c>
      <c r="P743">
        <f t="shared" si="9"/>
        <v>11</v>
      </c>
      <c r="Q743">
        <f t="shared" si="10"/>
        <v>0</v>
      </c>
      <c r="R743">
        <f t="shared" si="11"/>
        <v>8.5</v>
      </c>
      <c r="S743" t="s">
        <v>442</v>
      </c>
      <c r="T743" t="s">
        <v>145</v>
      </c>
      <c r="V743" t="s">
        <v>59</v>
      </c>
      <c r="X743">
        <v>1</v>
      </c>
      <c r="AF743">
        <v>-76.655770000000004</v>
      </c>
      <c r="AG743">
        <v>3.3544999999999998</v>
      </c>
      <c r="AH743">
        <v>10</v>
      </c>
      <c r="AI743">
        <v>0</v>
      </c>
      <c r="AJ743">
        <v>12</v>
      </c>
      <c r="AK743">
        <v>-76.655185000000003</v>
      </c>
      <c r="AL743">
        <v>3.3539916669999998</v>
      </c>
      <c r="AM743">
        <v>7</v>
      </c>
      <c r="AN743">
        <v>0</v>
      </c>
      <c r="AO743">
        <v>10</v>
      </c>
      <c r="AP743" t="s">
        <v>441</v>
      </c>
      <c r="AQ743" t="s">
        <v>443</v>
      </c>
    </row>
    <row r="744" spans="1:43" x14ac:dyDescent="0.2">
      <c r="A744">
        <v>2021</v>
      </c>
      <c r="B744" t="s">
        <v>10</v>
      </c>
      <c r="C744" t="s">
        <v>11</v>
      </c>
      <c r="D744" t="s">
        <v>228</v>
      </c>
      <c r="E744" t="s">
        <v>111</v>
      </c>
      <c r="F744" s="8">
        <v>44489</v>
      </c>
      <c r="G744" s="5">
        <v>0.83572916666666663</v>
      </c>
      <c r="H744">
        <v>-76.655661670000001</v>
      </c>
      <c r="I744">
        <v>3.3541983329999998</v>
      </c>
      <c r="J744">
        <v>6</v>
      </c>
      <c r="K744" t="s">
        <v>119</v>
      </c>
      <c r="L744" t="s">
        <v>487</v>
      </c>
      <c r="M744">
        <v>2565</v>
      </c>
      <c r="N744" t="b">
        <v>1</v>
      </c>
      <c r="P744">
        <f t="shared" si="9"/>
        <v>11</v>
      </c>
      <c r="Q744">
        <f t="shared" si="10"/>
        <v>0</v>
      </c>
      <c r="R744">
        <f t="shared" si="11"/>
        <v>8.5</v>
      </c>
      <c r="S744" t="s">
        <v>442</v>
      </c>
      <c r="T744" t="s">
        <v>145</v>
      </c>
      <c r="V744" t="s">
        <v>59</v>
      </c>
      <c r="X744">
        <v>1</v>
      </c>
      <c r="AF744">
        <v>-76.655770000000004</v>
      </c>
      <c r="AG744">
        <v>3.3544999999999998</v>
      </c>
      <c r="AH744">
        <v>10</v>
      </c>
      <c r="AI744">
        <v>0</v>
      </c>
      <c r="AJ744">
        <v>12</v>
      </c>
      <c r="AK744">
        <v>-76.655185000000003</v>
      </c>
      <c r="AL744">
        <v>3.3539916669999998</v>
      </c>
      <c r="AM744">
        <v>7</v>
      </c>
      <c r="AN744">
        <v>0</v>
      </c>
      <c r="AO744">
        <v>10</v>
      </c>
      <c r="AP744" t="s">
        <v>441</v>
      </c>
      <c r="AQ744" t="s">
        <v>443</v>
      </c>
    </row>
    <row r="745" spans="1:43" x14ac:dyDescent="0.2">
      <c r="A745">
        <v>2021</v>
      </c>
      <c r="B745" t="s">
        <v>10</v>
      </c>
      <c r="C745" t="s">
        <v>11</v>
      </c>
      <c r="D745" t="s">
        <v>228</v>
      </c>
      <c r="E745" t="s">
        <v>111</v>
      </c>
      <c r="F745" s="8">
        <v>44489</v>
      </c>
      <c r="G745" s="5">
        <v>0.86572916666666666</v>
      </c>
      <c r="H745">
        <v>-76.655243330000005</v>
      </c>
      <c r="I745">
        <v>3.3539983329999998</v>
      </c>
      <c r="J745">
        <v>6</v>
      </c>
      <c r="K745" t="s">
        <v>112</v>
      </c>
      <c r="L745" t="s">
        <v>113</v>
      </c>
      <c r="M745">
        <v>2558</v>
      </c>
      <c r="N745" t="b">
        <v>1</v>
      </c>
      <c r="P745">
        <f t="shared" si="9"/>
        <v>11</v>
      </c>
      <c r="Q745">
        <f t="shared" si="10"/>
        <v>0</v>
      </c>
      <c r="R745">
        <f t="shared" si="11"/>
        <v>8.5</v>
      </c>
      <c r="S745" t="s">
        <v>442</v>
      </c>
      <c r="T745" t="s">
        <v>145</v>
      </c>
      <c r="V745" t="s">
        <v>39</v>
      </c>
      <c r="X745">
        <v>1</v>
      </c>
      <c r="AF745">
        <v>-76.655770000000004</v>
      </c>
      <c r="AG745">
        <v>3.3544999999999998</v>
      </c>
      <c r="AH745">
        <v>10</v>
      </c>
      <c r="AI745">
        <v>0</v>
      </c>
      <c r="AJ745">
        <v>12</v>
      </c>
      <c r="AK745">
        <v>-76.655185000000003</v>
      </c>
      <c r="AL745">
        <v>3.3539916669999998</v>
      </c>
      <c r="AM745">
        <v>7</v>
      </c>
      <c r="AN745">
        <v>0</v>
      </c>
      <c r="AO745">
        <v>10</v>
      </c>
      <c r="AP745" t="s">
        <v>441</v>
      </c>
      <c r="AQ745" t="s">
        <v>443</v>
      </c>
    </row>
    <row r="746" spans="1:43" x14ac:dyDescent="0.2">
      <c r="A746">
        <v>2021</v>
      </c>
      <c r="B746" t="s">
        <v>10</v>
      </c>
      <c r="C746" t="s">
        <v>11</v>
      </c>
      <c r="D746" t="s">
        <v>228</v>
      </c>
      <c r="E746" t="s">
        <v>111</v>
      </c>
      <c r="F746" s="8">
        <v>44489</v>
      </c>
      <c r="G746" s="5">
        <v>0.86572916666666666</v>
      </c>
      <c r="H746">
        <v>-76.655243330000005</v>
      </c>
      <c r="I746">
        <v>3.3539983329999998</v>
      </c>
      <c r="J746">
        <v>6</v>
      </c>
      <c r="K746" t="s">
        <v>119</v>
      </c>
      <c r="L746" t="s">
        <v>113</v>
      </c>
      <c r="M746">
        <v>2558</v>
      </c>
      <c r="N746" t="b">
        <v>1</v>
      </c>
      <c r="P746">
        <f t="shared" si="9"/>
        <v>11</v>
      </c>
      <c r="Q746">
        <f t="shared" si="10"/>
        <v>0</v>
      </c>
      <c r="R746">
        <f t="shared" si="11"/>
        <v>8.5</v>
      </c>
      <c r="S746" t="s">
        <v>442</v>
      </c>
      <c r="T746" t="s">
        <v>145</v>
      </c>
      <c r="U746" t="s">
        <v>485</v>
      </c>
      <c r="V746" t="s">
        <v>36</v>
      </c>
      <c r="X746">
        <v>1</v>
      </c>
      <c r="AF746">
        <v>-76.655770000000004</v>
      </c>
      <c r="AG746">
        <v>3.3544999999999998</v>
      </c>
      <c r="AH746">
        <v>10</v>
      </c>
      <c r="AI746">
        <v>0</v>
      </c>
      <c r="AJ746">
        <v>12</v>
      </c>
      <c r="AK746">
        <v>-76.655185000000003</v>
      </c>
      <c r="AL746">
        <v>3.3539916669999998</v>
      </c>
      <c r="AM746">
        <v>7</v>
      </c>
      <c r="AN746">
        <v>0</v>
      </c>
      <c r="AO746">
        <v>10</v>
      </c>
      <c r="AP746" t="s">
        <v>441</v>
      </c>
      <c r="AQ746" t="s">
        <v>443</v>
      </c>
    </row>
    <row r="747" spans="1:43" x14ac:dyDescent="0.2">
      <c r="A747">
        <v>2021</v>
      </c>
      <c r="B747" t="s">
        <v>10</v>
      </c>
      <c r="C747" t="s">
        <v>11</v>
      </c>
      <c r="D747" t="s">
        <v>228</v>
      </c>
      <c r="E747" t="s">
        <v>111</v>
      </c>
      <c r="F747" s="8">
        <v>44489</v>
      </c>
      <c r="G747" s="5">
        <v>0.84261574074074075</v>
      </c>
      <c r="H747">
        <v>-76.655556669999996</v>
      </c>
      <c r="I747">
        <v>3.3541099999999999</v>
      </c>
      <c r="J747">
        <v>6</v>
      </c>
      <c r="K747" t="s">
        <v>119</v>
      </c>
      <c r="L747" t="s">
        <v>113</v>
      </c>
      <c r="M747">
        <v>2564</v>
      </c>
      <c r="N747" t="b">
        <v>1</v>
      </c>
      <c r="P747">
        <f t="shared" si="9"/>
        <v>11</v>
      </c>
      <c r="Q747">
        <f t="shared" si="10"/>
        <v>0</v>
      </c>
      <c r="R747">
        <f t="shared" si="11"/>
        <v>8.5</v>
      </c>
      <c r="S747" t="s">
        <v>442</v>
      </c>
      <c r="T747" t="s">
        <v>145</v>
      </c>
      <c r="V747" t="s">
        <v>59</v>
      </c>
      <c r="X747">
        <v>1</v>
      </c>
      <c r="AF747">
        <v>-76.655770000000004</v>
      </c>
      <c r="AG747">
        <v>3.3544999999999998</v>
      </c>
      <c r="AH747">
        <v>10</v>
      </c>
      <c r="AI747">
        <v>0</v>
      </c>
      <c r="AJ747">
        <v>12</v>
      </c>
      <c r="AK747">
        <v>-76.655185000000003</v>
      </c>
      <c r="AL747">
        <v>3.3539916669999998</v>
      </c>
      <c r="AM747">
        <v>7</v>
      </c>
      <c r="AN747">
        <v>0</v>
      </c>
      <c r="AO747">
        <v>10</v>
      </c>
      <c r="AP747" t="s">
        <v>441</v>
      </c>
      <c r="AQ747" t="s">
        <v>443</v>
      </c>
    </row>
    <row r="748" spans="1:43" x14ac:dyDescent="0.2">
      <c r="A748">
        <v>2021</v>
      </c>
      <c r="B748" t="s">
        <v>10</v>
      </c>
      <c r="C748" t="s">
        <v>11</v>
      </c>
      <c r="D748" t="s">
        <v>228</v>
      </c>
      <c r="E748" t="s">
        <v>111</v>
      </c>
      <c r="F748" s="8">
        <v>44489</v>
      </c>
      <c r="G748" s="5">
        <v>0.85263888888888884</v>
      </c>
      <c r="H748">
        <v>-76.655416669999994</v>
      </c>
      <c r="I748">
        <v>3.354085</v>
      </c>
      <c r="J748">
        <v>6</v>
      </c>
      <c r="K748" t="s">
        <v>119</v>
      </c>
      <c r="L748" t="s">
        <v>487</v>
      </c>
      <c r="M748">
        <v>2562</v>
      </c>
      <c r="N748" t="b">
        <v>1</v>
      </c>
      <c r="P748">
        <f t="shared" si="9"/>
        <v>11</v>
      </c>
      <c r="Q748">
        <f t="shared" si="10"/>
        <v>0</v>
      </c>
      <c r="R748">
        <f t="shared" si="11"/>
        <v>8.5</v>
      </c>
      <c r="S748" t="s">
        <v>442</v>
      </c>
      <c r="T748" t="s">
        <v>145</v>
      </c>
      <c r="V748" t="s">
        <v>39</v>
      </c>
      <c r="X748">
        <v>1</v>
      </c>
      <c r="AF748">
        <v>-76.655770000000004</v>
      </c>
      <c r="AG748">
        <v>3.3544999999999998</v>
      </c>
      <c r="AH748">
        <v>10</v>
      </c>
      <c r="AI748">
        <v>0</v>
      </c>
      <c r="AJ748">
        <v>12</v>
      </c>
      <c r="AK748">
        <v>-76.655185000000003</v>
      </c>
      <c r="AL748">
        <v>3.3539916669999998</v>
      </c>
      <c r="AM748">
        <v>7</v>
      </c>
      <c r="AN748">
        <v>0</v>
      </c>
      <c r="AO748">
        <v>10</v>
      </c>
      <c r="AP748" t="s">
        <v>467</v>
      </c>
      <c r="AQ748" t="s">
        <v>443</v>
      </c>
    </row>
    <row r="749" spans="1:43" x14ac:dyDescent="0.2">
      <c r="A749">
        <v>2021</v>
      </c>
      <c r="B749" t="s">
        <v>10</v>
      </c>
      <c r="C749" t="s">
        <v>12</v>
      </c>
      <c r="D749" t="s">
        <v>189</v>
      </c>
      <c r="E749" t="s">
        <v>157</v>
      </c>
      <c r="F749" s="8">
        <v>44489</v>
      </c>
      <c r="G749" s="5">
        <v>0.88553240740740746</v>
      </c>
      <c r="H749">
        <v>-76.653073329999998</v>
      </c>
      <c r="I749">
        <v>3.353366667</v>
      </c>
      <c r="J749">
        <v>6</v>
      </c>
      <c r="K749" t="s">
        <v>119</v>
      </c>
      <c r="L749" t="s">
        <v>488</v>
      </c>
      <c r="M749">
        <v>2511</v>
      </c>
      <c r="N749" t="b">
        <v>1</v>
      </c>
      <c r="P749">
        <f t="shared" si="9"/>
        <v>12</v>
      </c>
      <c r="Q749">
        <f t="shared" si="10"/>
        <v>0</v>
      </c>
      <c r="R749">
        <f t="shared" si="11"/>
        <v>30</v>
      </c>
      <c r="S749" t="s">
        <v>489</v>
      </c>
      <c r="T749" t="s">
        <v>145</v>
      </c>
      <c r="V749" t="s">
        <v>59</v>
      </c>
      <c r="X749">
        <v>1</v>
      </c>
      <c r="AD749" t="s">
        <v>490</v>
      </c>
      <c r="AF749">
        <v>-76.653538330000003</v>
      </c>
      <c r="AG749">
        <v>3.3532666670000002</v>
      </c>
      <c r="AH749">
        <v>30</v>
      </c>
      <c r="AI749">
        <v>0</v>
      </c>
      <c r="AJ749">
        <v>12</v>
      </c>
      <c r="AK749">
        <v>-76.652914999999993</v>
      </c>
      <c r="AL749">
        <v>3.353408333</v>
      </c>
      <c r="AM749">
        <v>30</v>
      </c>
      <c r="AN749">
        <v>0</v>
      </c>
      <c r="AO749">
        <v>12</v>
      </c>
      <c r="AP749" t="s">
        <v>441</v>
      </c>
      <c r="AQ749" t="s">
        <v>443</v>
      </c>
    </row>
    <row r="750" spans="1:43" x14ac:dyDescent="0.2">
      <c r="A750">
        <v>2021</v>
      </c>
      <c r="B750" t="s">
        <v>10</v>
      </c>
      <c r="C750" t="s">
        <v>12</v>
      </c>
      <c r="D750" t="s">
        <v>189</v>
      </c>
      <c r="E750" t="s">
        <v>157</v>
      </c>
      <c r="F750" s="8">
        <v>44489</v>
      </c>
      <c r="G750" s="5">
        <v>0.89047453703703705</v>
      </c>
      <c r="H750">
        <v>-76.652914999999993</v>
      </c>
      <c r="I750">
        <v>3.353408333</v>
      </c>
      <c r="J750">
        <v>6</v>
      </c>
      <c r="K750" t="s">
        <v>112</v>
      </c>
      <c r="L750" t="s">
        <v>113</v>
      </c>
      <c r="M750">
        <v>2517</v>
      </c>
      <c r="N750" t="b">
        <v>1</v>
      </c>
      <c r="P750">
        <f t="shared" si="9"/>
        <v>12</v>
      </c>
      <c r="Q750">
        <f t="shared" si="10"/>
        <v>0</v>
      </c>
      <c r="R750">
        <f t="shared" si="11"/>
        <v>30</v>
      </c>
      <c r="S750" t="s">
        <v>442</v>
      </c>
      <c r="T750" t="s">
        <v>145</v>
      </c>
      <c r="V750" t="s">
        <v>59</v>
      </c>
      <c r="X750">
        <v>1</v>
      </c>
      <c r="AD750" t="s">
        <v>490</v>
      </c>
      <c r="AF750">
        <v>-76.653538330000003</v>
      </c>
      <c r="AG750">
        <v>3.3532666670000002</v>
      </c>
      <c r="AH750">
        <v>30</v>
      </c>
      <c r="AI750">
        <v>0</v>
      </c>
      <c r="AJ750">
        <v>12</v>
      </c>
      <c r="AK750">
        <v>-76.652914999999993</v>
      </c>
      <c r="AL750">
        <v>3.353408333</v>
      </c>
      <c r="AM750">
        <v>30</v>
      </c>
      <c r="AN750">
        <v>0</v>
      </c>
      <c r="AO750">
        <v>12</v>
      </c>
      <c r="AP750" t="s">
        <v>467</v>
      </c>
      <c r="AQ750" t="s">
        <v>443</v>
      </c>
    </row>
    <row r="751" spans="1:43" x14ac:dyDescent="0.2">
      <c r="A751">
        <v>2021</v>
      </c>
      <c r="B751" t="s">
        <v>10</v>
      </c>
      <c r="C751" t="s">
        <v>11</v>
      </c>
      <c r="D751" t="s">
        <v>182</v>
      </c>
      <c r="E751" t="s">
        <v>127</v>
      </c>
      <c r="F751" s="8">
        <v>44489</v>
      </c>
      <c r="G751" s="5">
        <v>0.78325231481481483</v>
      </c>
      <c r="H751">
        <v>-76.656268330000003</v>
      </c>
      <c r="I751">
        <v>3.3553266669999999</v>
      </c>
      <c r="J751">
        <v>6</v>
      </c>
      <c r="P751">
        <f t="shared" si="9"/>
        <v>11</v>
      </c>
      <c r="Q751">
        <f t="shared" si="10"/>
        <v>0.375</v>
      </c>
      <c r="R751">
        <f t="shared" si="11"/>
        <v>15</v>
      </c>
      <c r="V751" t="s">
        <v>47</v>
      </c>
      <c r="W751" t="s">
        <v>436</v>
      </c>
      <c r="X751">
        <v>0</v>
      </c>
      <c r="AD751" t="s">
        <v>491</v>
      </c>
      <c r="AE751" t="s">
        <v>469</v>
      </c>
      <c r="AF751">
        <v>-76.656631669999996</v>
      </c>
      <c r="AG751">
        <v>3.35527</v>
      </c>
      <c r="AH751">
        <v>5</v>
      </c>
      <c r="AI751">
        <v>0</v>
      </c>
      <c r="AJ751">
        <v>10</v>
      </c>
      <c r="AK751">
        <v>-76.656268330000003</v>
      </c>
      <c r="AL751">
        <v>3.3553266669999999</v>
      </c>
      <c r="AM751">
        <v>25</v>
      </c>
      <c r="AN751">
        <v>0.75</v>
      </c>
      <c r="AO751">
        <v>12</v>
      </c>
    </row>
    <row r="752" spans="1:43" x14ac:dyDescent="0.2">
      <c r="A752">
        <v>2021</v>
      </c>
      <c r="B752" t="s">
        <v>10</v>
      </c>
      <c r="C752" t="s">
        <v>12</v>
      </c>
      <c r="D752" t="s">
        <v>347</v>
      </c>
      <c r="E752" t="s">
        <v>127</v>
      </c>
      <c r="F752" s="8">
        <v>44489</v>
      </c>
      <c r="G752" s="5">
        <v>0.92746527777777776</v>
      </c>
      <c r="H752">
        <v>-76.649738330000005</v>
      </c>
      <c r="I752">
        <v>3.3526633330000002</v>
      </c>
      <c r="J752">
        <v>6</v>
      </c>
      <c r="K752" t="s">
        <v>119</v>
      </c>
      <c r="L752" t="s">
        <v>113</v>
      </c>
      <c r="M752">
        <v>2488</v>
      </c>
      <c r="N752" t="b">
        <v>1</v>
      </c>
      <c r="P752">
        <f t="shared" si="9"/>
        <v>13</v>
      </c>
      <c r="Q752">
        <f t="shared" si="10"/>
        <v>0</v>
      </c>
      <c r="R752">
        <f t="shared" si="11"/>
        <v>5.5</v>
      </c>
      <c r="T752" t="s">
        <v>145</v>
      </c>
      <c r="V752" t="s">
        <v>9</v>
      </c>
      <c r="X752">
        <v>1</v>
      </c>
      <c r="AD752" t="s">
        <v>492</v>
      </c>
      <c r="AF752">
        <v>-76.650385</v>
      </c>
      <c r="AG752">
        <v>3.3529116669999999</v>
      </c>
      <c r="AH752">
        <v>6</v>
      </c>
      <c r="AI752">
        <v>0</v>
      </c>
      <c r="AJ752">
        <v>12</v>
      </c>
      <c r="AK752">
        <v>-76.649550000000005</v>
      </c>
      <c r="AL752">
        <v>3.3526549999999999</v>
      </c>
      <c r="AM752">
        <v>5</v>
      </c>
      <c r="AN752">
        <v>0</v>
      </c>
      <c r="AO752">
        <v>14</v>
      </c>
      <c r="AP752" t="s">
        <v>467</v>
      </c>
      <c r="AQ752" t="s">
        <v>244</v>
      </c>
    </row>
    <row r="753" spans="1:43" x14ac:dyDescent="0.2">
      <c r="A753">
        <v>2021</v>
      </c>
      <c r="B753" t="s">
        <v>10</v>
      </c>
      <c r="C753" t="s">
        <v>11</v>
      </c>
      <c r="D753" t="s">
        <v>186</v>
      </c>
      <c r="E753" t="s">
        <v>122</v>
      </c>
      <c r="F753" s="8">
        <v>44489</v>
      </c>
      <c r="G753" s="5">
        <v>0.82163194444444443</v>
      </c>
      <c r="H753">
        <v>-76.655801670000002</v>
      </c>
      <c r="I753">
        <v>3.354555</v>
      </c>
      <c r="J753">
        <v>6</v>
      </c>
      <c r="K753" t="s">
        <v>112</v>
      </c>
      <c r="L753" t="s">
        <v>113</v>
      </c>
      <c r="M753">
        <v>2556</v>
      </c>
      <c r="N753" t="b">
        <v>1</v>
      </c>
      <c r="P753">
        <f t="shared" si="9"/>
        <v>13.5</v>
      </c>
      <c r="Q753">
        <f t="shared" si="10"/>
        <v>0</v>
      </c>
      <c r="R753">
        <f t="shared" si="11"/>
        <v>10</v>
      </c>
      <c r="S753" t="s">
        <v>442</v>
      </c>
      <c r="T753" t="s">
        <v>145</v>
      </c>
      <c r="V753" t="s">
        <v>59</v>
      </c>
      <c r="X753">
        <v>2</v>
      </c>
      <c r="AF753">
        <v>-76.656450000000007</v>
      </c>
      <c r="AG753">
        <v>3.3550900000000001</v>
      </c>
      <c r="AH753">
        <v>5</v>
      </c>
      <c r="AI753">
        <v>0</v>
      </c>
      <c r="AJ753">
        <v>15</v>
      </c>
      <c r="AK753">
        <v>-76.655801670000002</v>
      </c>
      <c r="AL753">
        <v>3.354555</v>
      </c>
      <c r="AM753">
        <v>15</v>
      </c>
      <c r="AN753">
        <v>0</v>
      </c>
      <c r="AO753">
        <v>12</v>
      </c>
      <c r="AP753" t="s">
        <v>441</v>
      </c>
      <c r="AQ753" t="s">
        <v>443</v>
      </c>
    </row>
    <row r="754" spans="1:43" x14ac:dyDescent="0.2">
      <c r="A754">
        <v>2021</v>
      </c>
      <c r="B754" t="s">
        <v>10</v>
      </c>
      <c r="C754" t="s">
        <v>11</v>
      </c>
      <c r="D754" t="s">
        <v>186</v>
      </c>
      <c r="E754" t="s">
        <v>122</v>
      </c>
      <c r="F754" s="8">
        <v>44489</v>
      </c>
      <c r="G754" s="5">
        <v>0.82163194444444443</v>
      </c>
      <c r="H754">
        <v>-76.655801670000002</v>
      </c>
      <c r="I754">
        <v>3.354555</v>
      </c>
      <c r="J754">
        <v>6</v>
      </c>
      <c r="K754" t="s">
        <v>119</v>
      </c>
      <c r="L754" t="s">
        <v>487</v>
      </c>
      <c r="M754">
        <v>2556</v>
      </c>
      <c r="N754" t="b">
        <v>1</v>
      </c>
      <c r="P754">
        <f t="shared" si="9"/>
        <v>13.5</v>
      </c>
      <c r="Q754">
        <f t="shared" si="10"/>
        <v>0</v>
      </c>
      <c r="R754">
        <f t="shared" si="11"/>
        <v>10</v>
      </c>
      <c r="S754" t="s">
        <v>442</v>
      </c>
      <c r="T754" t="s">
        <v>145</v>
      </c>
      <c r="V754" t="s">
        <v>59</v>
      </c>
      <c r="X754">
        <v>2</v>
      </c>
      <c r="AF754">
        <v>-76.656450000000007</v>
      </c>
      <c r="AG754">
        <v>3.3550900000000001</v>
      </c>
      <c r="AH754">
        <v>5</v>
      </c>
      <c r="AI754">
        <v>0</v>
      </c>
      <c r="AJ754">
        <v>15</v>
      </c>
      <c r="AK754">
        <v>-76.655801670000002</v>
      </c>
      <c r="AL754">
        <v>3.354555</v>
      </c>
      <c r="AM754">
        <v>15</v>
      </c>
      <c r="AN754">
        <v>0</v>
      </c>
      <c r="AO754">
        <v>12</v>
      </c>
      <c r="AP754" t="s">
        <v>441</v>
      </c>
      <c r="AQ754" t="s">
        <v>443</v>
      </c>
    </row>
    <row r="755" spans="1:43" x14ac:dyDescent="0.2">
      <c r="A755">
        <v>2021</v>
      </c>
      <c r="B755" t="s">
        <v>10</v>
      </c>
      <c r="C755" t="s">
        <v>11</v>
      </c>
      <c r="D755" t="s">
        <v>186</v>
      </c>
      <c r="E755" t="s">
        <v>122</v>
      </c>
      <c r="F755" s="8">
        <v>44489</v>
      </c>
      <c r="G755" s="5">
        <v>0.79424768518518518</v>
      </c>
      <c r="H755">
        <v>-76.656154999999998</v>
      </c>
      <c r="I755">
        <v>3.3549150000000001</v>
      </c>
      <c r="J755">
        <v>6</v>
      </c>
      <c r="K755" t="s">
        <v>112</v>
      </c>
      <c r="L755" t="s">
        <v>113</v>
      </c>
      <c r="M755">
        <v>2556</v>
      </c>
      <c r="N755" t="b">
        <v>1</v>
      </c>
      <c r="P755">
        <f t="shared" si="9"/>
        <v>13.5</v>
      </c>
      <c r="Q755">
        <f t="shared" si="10"/>
        <v>0</v>
      </c>
      <c r="R755">
        <f t="shared" si="11"/>
        <v>10</v>
      </c>
      <c r="T755" t="s">
        <v>145</v>
      </c>
      <c r="U755" t="s">
        <v>482</v>
      </c>
      <c r="V755" t="s">
        <v>9</v>
      </c>
      <c r="X755">
        <v>1</v>
      </c>
      <c r="AF755">
        <v>-76.656450000000007</v>
      </c>
      <c r="AG755">
        <v>3.3550900000000001</v>
      </c>
      <c r="AH755">
        <v>5</v>
      </c>
      <c r="AI755">
        <v>0</v>
      </c>
      <c r="AJ755">
        <v>15</v>
      </c>
      <c r="AK755">
        <v>-76.655801670000002</v>
      </c>
      <c r="AL755">
        <v>3.354555</v>
      </c>
      <c r="AM755">
        <v>15</v>
      </c>
      <c r="AN755">
        <v>0</v>
      </c>
      <c r="AO755">
        <v>12</v>
      </c>
      <c r="AQ755" t="s">
        <v>244</v>
      </c>
    </row>
    <row r="756" spans="1:43" x14ac:dyDescent="0.2">
      <c r="A756">
        <v>2021</v>
      </c>
      <c r="B756" t="s">
        <v>10</v>
      </c>
      <c r="C756" t="s">
        <v>11</v>
      </c>
      <c r="D756" t="s">
        <v>186</v>
      </c>
      <c r="E756" t="s">
        <v>122</v>
      </c>
      <c r="F756" s="8">
        <v>44489</v>
      </c>
      <c r="G756" s="5">
        <v>0.81226851851851856</v>
      </c>
      <c r="H756">
        <v>-76.655851670000004</v>
      </c>
      <c r="I756">
        <v>3.3546999999999998</v>
      </c>
      <c r="J756">
        <v>6</v>
      </c>
      <c r="K756" t="s">
        <v>119</v>
      </c>
      <c r="L756" t="s">
        <v>113</v>
      </c>
      <c r="M756">
        <v>2556</v>
      </c>
      <c r="N756" t="b">
        <v>1</v>
      </c>
      <c r="P756">
        <f t="shared" si="9"/>
        <v>13.5</v>
      </c>
      <c r="Q756">
        <f t="shared" si="10"/>
        <v>0</v>
      </c>
      <c r="R756">
        <f t="shared" si="11"/>
        <v>10</v>
      </c>
      <c r="S756" t="s">
        <v>442</v>
      </c>
      <c r="T756" t="s">
        <v>145</v>
      </c>
      <c r="V756" t="s">
        <v>59</v>
      </c>
      <c r="X756">
        <v>1</v>
      </c>
      <c r="AF756">
        <v>-76.656450000000007</v>
      </c>
      <c r="AG756">
        <v>3.3550900000000001</v>
      </c>
      <c r="AH756">
        <v>5</v>
      </c>
      <c r="AI756">
        <v>0</v>
      </c>
      <c r="AJ756">
        <v>15</v>
      </c>
      <c r="AK756">
        <v>-76.655801670000002</v>
      </c>
      <c r="AL756">
        <v>3.354555</v>
      </c>
      <c r="AM756">
        <v>15</v>
      </c>
      <c r="AN756">
        <v>0</v>
      </c>
      <c r="AO756">
        <v>12</v>
      </c>
      <c r="AP756" t="s">
        <v>441</v>
      </c>
      <c r="AQ756" t="s">
        <v>443</v>
      </c>
    </row>
    <row r="757" spans="1:43" x14ac:dyDescent="0.2">
      <c r="A757">
        <v>2021</v>
      </c>
      <c r="B757" t="s">
        <v>10</v>
      </c>
      <c r="C757" t="s">
        <v>12</v>
      </c>
      <c r="D757" t="s">
        <v>471</v>
      </c>
      <c r="E757" t="s">
        <v>122</v>
      </c>
      <c r="F757" s="8">
        <v>44489</v>
      </c>
      <c r="G757" s="5">
        <v>0.93756944444444446</v>
      </c>
      <c r="H757">
        <v>-76.649193330000003</v>
      </c>
      <c r="I757">
        <v>3.35276</v>
      </c>
      <c r="J757">
        <v>6</v>
      </c>
      <c r="K757" t="s">
        <v>112</v>
      </c>
      <c r="L757" t="s">
        <v>113</v>
      </c>
      <c r="M757">
        <v>2470</v>
      </c>
      <c r="N757" t="b">
        <v>1</v>
      </c>
      <c r="P757">
        <f t="shared" si="9"/>
        <v>12.5</v>
      </c>
      <c r="Q757">
        <f t="shared" si="10"/>
        <v>0</v>
      </c>
      <c r="R757">
        <f t="shared" si="11"/>
        <v>6</v>
      </c>
      <c r="S757" t="s">
        <v>442</v>
      </c>
      <c r="T757" t="s">
        <v>145</v>
      </c>
      <c r="V757" t="s">
        <v>9</v>
      </c>
      <c r="X757">
        <v>1</v>
      </c>
      <c r="AD757" t="s">
        <v>492</v>
      </c>
      <c r="AF757">
        <v>-76.649413330000002</v>
      </c>
      <c r="AG757">
        <v>3.3526400000000001</v>
      </c>
      <c r="AH757">
        <v>5</v>
      </c>
      <c r="AI757">
        <v>0</v>
      </c>
      <c r="AJ757">
        <v>15</v>
      </c>
      <c r="AK757">
        <v>-76.64864</v>
      </c>
      <c r="AL757">
        <v>3.3521749999999999</v>
      </c>
      <c r="AM757">
        <v>7</v>
      </c>
      <c r="AN757">
        <v>0</v>
      </c>
      <c r="AO757">
        <v>10</v>
      </c>
      <c r="AP757" t="s">
        <v>450</v>
      </c>
      <c r="AQ757" t="s">
        <v>443</v>
      </c>
    </row>
    <row r="758" spans="1:43" x14ac:dyDescent="0.2">
      <c r="A758">
        <v>2021</v>
      </c>
      <c r="B758" t="s">
        <v>10</v>
      </c>
      <c r="C758" t="s">
        <v>12</v>
      </c>
      <c r="D758" t="s">
        <v>471</v>
      </c>
      <c r="E758" t="s">
        <v>122</v>
      </c>
      <c r="F758" s="8">
        <v>44489</v>
      </c>
      <c r="G758" s="5">
        <v>0.93383101851851846</v>
      </c>
      <c r="H758">
        <v>-76.649418330000003</v>
      </c>
      <c r="I758">
        <v>3.3525933330000002</v>
      </c>
      <c r="J758">
        <v>6</v>
      </c>
      <c r="K758" t="s">
        <v>119</v>
      </c>
      <c r="L758" t="s">
        <v>113</v>
      </c>
      <c r="M758">
        <v>2488</v>
      </c>
      <c r="N758" t="b">
        <v>1</v>
      </c>
      <c r="P758">
        <f t="shared" si="9"/>
        <v>12.5</v>
      </c>
      <c r="Q758">
        <f t="shared" si="10"/>
        <v>0</v>
      </c>
      <c r="R758">
        <f t="shared" si="11"/>
        <v>6</v>
      </c>
      <c r="S758" t="s">
        <v>442</v>
      </c>
      <c r="T758" t="s">
        <v>145</v>
      </c>
      <c r="U758" t="s">
        <v>485</v>
      </c>
      <c r="V758" t="s">
        <v>36</v>
      </c>
      <c r="X758">
        <v>1</v>
      </c>
      <c r="AF758">
        <v>-76.649413330000002</v>
      </c>
      <c r="AG758">
        <v>3.3526400000000001</v>
      </c>
      <c r="AH758">
        <v>5</v>
      </c>
      <c r="AI758">
        <v>0</v>
      </c>
      <c r="AJ758">
        <v>15</v>
      </c>
      <c r="AK758">
        <v>-76.64864</v>
      </c>
      <c r="AL758">
        <v>3.3521749999999999</v>
      </c>
      <c r="AM758">
        <v>7</v>
      </c>
      <c r="AN758">
        <v>0</v>
      </c>
      <c r="AO758">
        <v>10</v>
      </c>
      <c r="AP758" t="s">
        <v>441</v>
      </c>
      <c r="AQ758" t="s">
        <v>443</v>
      </c>
    </row>
    <row r="759" spans="1:43" x14ac:dyDescent="0.2">
      <c r="A759">
        <v>2021</v>
      </c>
      <c r="B759" t="s">
        <v>10</v>
      </c>
      <c r="C759" t="s">
        <v>12</v>
      </c>
      <c r="D759" t="s">
        <v>472</v>
      </c>
      <c r="E759" t="s">
        <v>111</v>
      </c>
      <c r="F759" s="8">
        <v>44489</v>
      </c>
      <c r="G759" s="5">
        <v>0.95208333333333328</v>
      </c>
      <c r="H759">
        <v>-76.647988330000004</v>
      </c>
      <c r="I759">
        <v>3.3522249999999998</v>
      </c>
      <c r="J759">
        <v>6</v>
      </c>
      <c r="K759" t="s">
        <v>112</v>
      </c>
      <c r="L759" t="s">
        <v>488</v>
      </c>
      <c r="M759">
        <v>2446</v>
      </c>
      <c r="N759" t="b">
        <v>1</v>
      </c>
      <c r="P759">
        <f t="shared" si="9"/>
        <v>9</v>
      </c>
      <c r="Q759">
        <f t="shared" si="10"/>
        <v>0</v>
      </c>
      <c r="R759">
        <f t="shared" si="11"/>
        <v>9.5</v>
      </c>
      <c r="S759" t="s">
        <v>442</v>
      </c>
      <c r="T759" t="s">
        <v>145</v>
      </c>
      <c r="V759" t="s">
        <v>9</v>
      </c>
      <c r="X759">
        <v>1</v>
      </c>
      <c r="AD759" t="s">
        <v>492</v>
      </c>
      <c r="AF759">
        <v>-76.648498329999995</v>
      </c>
      <c r="AG759">
        <v>3.3523333329999998</v>
      </c>
      <c r="AH759">
        <v>7</v>
      </c>
      <c r="AI759">
        <v>0</v>
      </c>
      <c r="AJ759">
        <v>10</v>
      </c>
      <c r="AK759">
        <v>-76.647771669999997</v>
      </c>
      <c r="AL759">
        <v>3.3518883330000002</v>
      </c>
      <c r="AM759">
        <v>12</v>
      </c>
      <c r="AN759">
        <v>0</v>
      </c>
      <c r="AO759">
        <v>8</v>
      </c>
      <c r="AP759" t="s">
        <v>441</v>
      </c>
      <c r="AQ759" t="s">
        <v>443</v>
      </c>
    </row>
    <row r="760" spans="1:43" x14ac:dyDescent="0.2">
      <c r="A760">
        <v>2021</v>
      </c>
      <c r="B760" t="s">
        <v>10</v>
      </c>
      <c r="C760" t="s">
        <v>12</v>
      </c>
      <c r="D760" t="s">
        <v>472</v>
      </c>
      <c r="E760" t="s">
        <v>111</v>
      </c>
      <c r="F760" s="8">
        <v>44489</v>
      </c>
      <c r="G760" s="5">
        <v>0.96979166666666672</v>
      </c>
      <c r="H760">
        <v>-76.647988330000004</v>
      </c>
      <c r="I760">
        <v>3.3523499999999999</v>
      </c>
      <c r="J760">
        <v>6</v>
      </c>
      <c r="K760" t="s">
        <v>112</v>
      </c>
      <c r="L760" t="s">
        <v>113</v>
      </c>
      <c r="M760">
        <v>2460</v>
      </c>
      <c r="N760" t="b">
        <v>1</v>
      </c>
      <c r="P760">
        <f t="shared" si="9"/>
        <v>9</v>
      </c>
      <c r="Q760">
        <f t="shared" si="10"/>
        <v>0</v>
      </c>
      <c r="R760">
        <f t="shared" si="11"/>
        <v>9.5</v>
      </c>
      <c r="S760" t="s">
        <v>442</v>
      </c>
      <c r="T760" t="s">
        <v>145</v>
      </c>
      <c r="U760" t="s">
        <v>485</v>
      </c>
      <c r="V760" t="s">
        <v>36</v>
      </c>
      <c r="X760">
        <v>1</v>
      </c>
      <c r="AF760">
        <v>-76.648498329999995</v>
      </c>
      <c r="AG760">
        <v>3.3523333329999998</v>
      </c>
      <c r="AH760">
        <v>7</v>
      </c>
      <c r="AI760">
        <v>0</v>
      </c>
      <c r="AJ760">
        <v>10</v>
      </c>
      <c r="AK760">
        <v>-76.647771669999997</v>
      </c>
      <c r="AL760">
        <v>3.3518883330000002</v>
      </c>
      <c r="AM760">
        <v>12</v>
      </c>
      <c r="AN760">
        <v>0</v>
      </c>
      <c r="AO760">
        <v>8</v>
      </c>
      <c r="AP760" t="s">
        <v>441</v>
      </c>
      <c r="AQ760" t="s">
        <v>443</v>
      </c>
    </row>
    <row r="761" spans="1:43" x14ac:dyDescent="0.2">
      <c r="A761">
        <v>2021</v>
      </c>
      <c r="B761" t="s">
        <v>21</v>
      </c>
      <c r="C761" t="s">
        <v>66</v>
      </c>
      <c r="D761" t="s">
        <v>272</v>
      </c>
      <c r="E761" t="s">
        <v>127</v>
      </c>
      <c r="F761" s="8">
        <v>44517</v>
      </c>
      <c r="G761" s="5">
        <v>0.83243055555555556</v>
      </c>
      <c r="H761">
        <v>-76.725880000000004</v>
      </c>
      <c r="I761">
        <v>3.499316667</v>
      </c>
      <c r="J761">
        <v>6</v>
      </c>
      <c r="M761">
        <v>1794</v>
      </c>
      <c r="P761">
        <f t="shared" si="9"/>
        <v>6</v>
      </c>
      <c r="Q761">
        <f t="shared" si="10"/>
        <v>0</v>
      </c>
      <c r="R761">
        <f t="shared" si="11"/>
        <v>9</v>
      </c>
      <c r="V761" t="s">
        <v>47</v>
      </c>
      <c r="X761">
        <v>0</v>
      </c>
      <c r="AD761" t="s">
        <v>493</v>
      </c>
      <c r="AF761">
        <v>-76.725243329999998</v>
      </c>
      <c r="AG761">
        <v>3.4996866670000002</v>
      </c>
      <c r="AH761">
        <v>10</v>
      </c>
      <c r="AI761">
        <v>0</v>
      </c>
      <c r="AJ761">
        <v>6</v>
      </c>
      <c r="AK761">
        <v>-76.725880000000004</v>
      </c>
      <c r="AL761">
        <v>3.499316667</v>
      </c>
      <c r="AM761">
        <v>8</v>
      </c>
      <c r="AN761">
        <v>0</v>
      </c>
      <c r="AO761">
        <v>6</v>
      </c>
    </row>
    <row r="762" spans="1:43" x14ac:dyDescent="0.2">
      <c r="A762">
        <v>2021</v>
      </c>
      <c r="B762" t="s">
        <v>21</v>
      </c>
      <c r="C762" t="s">
        <v>66</v>
      </c>
      <c r="D762" t="s">
        <v>250</v>
      </c>
      <c r="E762" t="s">
        <v>122</v>
      </c>
      <c r="F762" s="8">
        <v>44517</v>
      </c>
      <c r="G762" s="5">
        <v>0.83781249999999996</v>
      </c>
      <c r="H762">
        <v>-76.726023330000004</v>
      </c>
      <c r="I762">
        <v>3.4991466670000002</v>
      </c>
      <c r="J762">
        <v>6</v>
      </c>
      <c r="K762" t="s">
        <v>119</v>
      </c>
      <c r="L762" t="s">
        <v>113</v>
      </c>
      <c r="M762">
        <v>1790</v>
      </c>
      <c r="O762" t="b">
        <v>1</v>
      </c>
      <c r="P762">
        <f t="shared" si="9"/>
        <v>8.5</v>
      </c>
      <c r="Q762">
        <f t="shared" si="10"/>
        <v>2</v>
      </c>
      <c r="R762">
        <f t="shared" si="11"/>
        <v>7.5</v>
      </c>
      <c r="S762" t="s">
        <v>442</v>
      </c>
      <c r="T762" t="s">
        <v>145</v>
      </c>
      <c r="V762" t="s">
        <v>3</v>
      </c>
      <c r="X762">
        <v>4</v>
      </c>
      <c r="AE762" t="s">
        <v>494</v>
      </c>
      <c r="AF762">
        <v>-76.726023330000004</v>
      </c>
      <c r="AG762">
        <v>3.4991466670000002</v>
      </c>
      <c r="AH762">
        <v>5</v>
      </c>
      <c r="AI762">
        <v>4</v>
      </c>
      <c r="AJ762">
        <v>9</v>
      </c>
      <c r="AK762">
        <v>-76.726264999999998</v>
      </c>
      <c r="AL762">
        <v>3.499933333</v>
      </c>
      <c r="AM762">
        <v>10</v>
      </c>
      <c r="AN762">
        <v>0</v>
      </c>
      <c r="AO762">
        <v>8</v>
      </c>
      <c r="AP762" t="s">
        <v>467</v>
      </c>
      <c r="AQ762" t="s">
        <v>244</v>
      </c>
    </row>
    <row r="763" spans="1:43" x14ac:dyDescent="0.2">
      <c r="A763">
        <v>2021</v>
      </c>
      <c r="B763" t="s">
        <v>21</v>
      </c>
      <c r="C763" t="s">
        <v>66</v>
      </c>
      <c r="D763" t="s">
        <v>250</v>
      </c>
      <c r="E763" t="s">
        <v>122</v>
      </c>
      <c r="F763" s="8">
        <v>44517</v>
      </c>
      <c r="G763" s="5">
        <v>0.84858796296296302</v>
      </c>
      <c r="H763">
        <v>-76.726150000000004</v>
      </c>
      <c r="I763">
        <v>3.4996333329999998</v>
      </c>
      <c r="J763">
        <v>6</v>
      </c>
      <c r="K763" t="s">
        <v>119</v>
      </c>
      <c r="L763" t="s">
        <v>113</v>
      </c>
      <c r="M763">
        <v>1790</v>
      </c>
      <c r="O763" t="b">
        <v>1</v>
      </c>
      <c r="P763">
        <f t="shared" si="9"/>
        <v>8.5</v>
      </c>
      <c r="Q763">
        <f t="shared" si="10"/>
        <v>2</v>
      </c>
      <c r="R763">
        <f t="shared" si="11"/>
        <v>7.5</v>
      </c>
      <c r="S763" t="s">
        <v>442</v>
      </c>
      <c r="T763" t="s">
        <v>145</v>
      </c>
      <c r="V763" t="s">
        <v>3</v>
      </c>
      <c r="X763">
        <v>2</v>
      </c>
      <c r="AE763" t="s">
        <v>495</v>
      </c>
      <c r="AF763">
        <v>-76.726023330000004</v>
      </c>
      <c r="AG763">
        <v>3.4991466670000002</v>
      </c>
      <c r="AH763">
        <v>5</v>
      </c>
      <c r="AI763">
        <v>4</v>
      </c>
      <c r="AJ763">
        <v>9</v>
      </c>
      <c r="AK763">
        <v>-76.726264999999998</v>
      </c>
      <c r="AL763">
        <v>3.499933333</v>
      </c>
      <c r="AM763">
        <v>10</v>
      </c>
      <c r="AN763">
        <v>0</v>
      </c>
      <c r="AO763">
        <v>8</v>
      </c>
      <c r="AP763" t="s">
        <v>467</v>
      </c>
      <c r="AQ763" t="s">
        <v>244</v>
      </c>
    </row>
    <row r="764" spans="1:43" x14ac:dyDescent="0.2">
      <c r="A764">
        <v>2021</v>
      </c>
      <c r="B764" t="s">
        <v>21</v>
      </c>
      <c r="C764" t="s">
        <v>66</v>
      </c>
      <c r="D764" t="s">
        <v>250</v>
      </c>
      <c r="E764" t="s">
        <v>122</v>
      </c>
      <c r="F764" s="8">
        <v>44517</v>
      </c>
      <c r="G764" s="5">
        <v>0.86267361111111107</v>
      </c>
      <c r="H764">
        <v>-76.726264999999998</v>
      </c>
      <c r="I764">
        <v>3.499933333</v>
      </c>
      <c r="J764">
        <v>6</v>
      </c>
      <c r="K764" t="s">
        <v>112</v>
      </c>
      <c r="L764" t="s">
        <v>113</v>
      </c>
      <c r="M764">
        <v>1790</v>
      </c>
      <c r="N764" t="b">
        <v>1</v>
      </c>
      <c r="P764">
        <f t="shared" si="9"/>
        <v>8.5</v>
      </c>
      <c r="Q764">
        <f t="shared" si="10"/>
        <v>2</v>
      </c>
      <c r="R764">
        <f t="shared" si="11"/>
        <v>7.5</v>
      </c>
      <c r="S764" t="s">
        <v>442</v>
      </c>
      <c r="T764" t="s">
        <v>145</v>
      </c>
      <c r="V764" t="s">
        <v>9</v>
      </c>
      <c r="X764">
        <v>1</v>
      </c>
      <c r="AF764">
        <v>-76.726023330000004</v>
      </c>
      <c r="AG764">
        <v>3.4991466670000002</v>
      </c>
      <c r="AH764">
        <v>5</v>
      </c>
      <c r="AI764">
        <v>4</v>
      </c>
      <c r="AJ764">
        <v>9</v>
      </c>
      <c r="AK764">
        <v>-76.726264999999998</v>
      </c>
      <c r="AL764">
        <v>3.499933333</v>
      </c>
      <c r="AM764">
        <v>10</v>
      </c>
      <c r="AN764">
        <v>0</v>
      </c>
      <c r="AO764">
        <v>8</v>
      </c>
      <c r="AP764" t="s">
        <v>441</v>
      </c>
      <c r="AQ764" t="s">
        <v>443</v>
      </c>
    </row>
    <row r="765" spans="1:43" x14ac:dyDescent="0.2">
      <c r="A765">
        <v>2021</v>
      </c>
      <c r="B765" t="s">
        <v>15</v>
      </c>
      <c r="C765" t="s">
        <v>20</v>
      </c>
      <c r="D765" t="s">
        <v>496</v>
      </c>
      <c r="E765" t="s">
        <v>122</v>
      </c>
      <c r="F765" s="8">
        <v>44517</v>
      </c>
      <c r="G765" s="5">
        <v>0.87108796296296298</v>
      </c>
      <c r="H765">
        <v>-76.726500000000001</v>
      </c>
      <c r="I765">
        <v>3.5001600000000002</v>
      </c>
      <c r="J765">
        <v>6</v>
      </c>
      <c r="K765" t="s">
        <v>112</v>
      </c>
      <c r="L765" t="s">
        <v>113</v>
      </c>
      <c r="M765">
        <v>1790</v>
      </c>
      <c r="N765" t="b">
        <v>1</v>
      </c>
      <c r="P765">
        <f t="shared" si="9"/>
        <v>6</v>
      </c>
      <c r="Q765">
        <f t="shared" si="10"/>
        <v>0</v>
      </c>
      <c r="R765">
        <f t="shared" si="11"/>
        <v>6.5</v>
      </c>
      <c r="S765" t="s">
        <v>442</v>
      </c>
      <c r="T765" t="s">
        <v>145</v>
      </c>
      <c r="V765" t="s">
        <v>40</v>
      </c>
      <c r="X765">
        <v>1</v>
      </c>
      <c r="AE765" t="s">
        <v>497</v>
      </c>
      <c r="AF765">
        <v>-76.726311670000001</v>
      </c>
      <c r="AG765">
        <v>3.5000450000000001</v>
      </c>
      <c r="AH765">
        <v>5</v>
      </c>
      <c r="AI765">
        <v>0</v>
      </c>
      <c r="AJ765">
        <v>8</v>
      </c>
      <c r="AK765">
        <v>-76.726856670000004</v>
      </c>
      <c r="AL765">
        <v>3.5003150000000001</v>
      </c>
      <c r="AM765">
        <v>8</v>
      </c>
      <c r="AN765">
        <v>0</v>
      </c>
      <c r="AO765">
        <v>4</v>
      </c>
      <c r="AP765" t="s">
        <v>441</v>
      </c>
      <c r="AQ765" t="s">
        <v>443</v>
      </c>
    </row>
    <row r="766" spans="1:43" x14ac:dyDescent="0.2">
      <c r="A766">
        <v>2021</v>
      </c>
      <c r="B766" t="s">
        <v>21</v>
      </c>
      <c r="C766" t="s">
        <v>23</v>
      </c>
      <c r="D766" t="s">
        <v>158</v>
      </c>
      <c r="E766" t="s">
        <v>111</v>
      </c>
      <c r="F766" s="8">
        <v>44518</v>
      </c>
      <c r="G766" s="5">
        <v>0.5143981481481481</v>
      </c>
      <c r="H766">
        <v>-76.723321670000004</v>
      </c>
      <c r="I766">
        <v>3.4832299999999998</v>
      </c>
      <c r="J766">
        <v>6</v>
      </c>
      <c r="P766">
        <f t="shared" si="9"/>
        <v>7</v>
      </c>
      <c r="Q766">
        <f t="shared" si="10"/>
        <v>0</v>
      </c>
      <c r="R766">
        <f t="shared" si="11"/>
        <v>6</v>
      </c>
      <c r="V766" t="s">
        <v>47</v>
      </c>
      <c r="W766" t="s">
        <v>452</v>
      </c>
      <c r="X766">
        <v>0</v>
      </c>
      <c r="AD766" t="s">
        <v>498</v>
      </c>
      <c r="AF766">
        <v>-76.723451670000003</v>
      </c>
      <c r="AG766">
        <v>3.4833616670000001</v>
      </c>
      <c r="AH766">
        <v>7</v>
      </c>
      <c r="AI766">
        <v>0</v>
      </c>
      <c r="AJ766">
        <v>7</v>
      </c>
      <c r="AK766">
        <v>-76.72295167</v>
      </c>
      <c r="AL766">
        <v>3.4826516669999998</v>
      </c>
      <c r="AM766">
        <v>5</v>
      </c>
      <c r="AN766">
        <v>0</v>
      </c>
      <c r="AO766">
        <v>7</v>
      </c>
    </row>
    <row r="767" spans="1:43" x14ac:dyDescent="0.2">
      <c r="A767">
        <v>2021</v>
      </c>
      <c r="B767" t="s">
        <v>21</v>
      </c>
      <c r="C767" t="s">
        <v>23</v>
      </c>
      <c r="D767" t="s">
        <v>499</v>
      </c>
      <c r="E767" t="s">
        <v>127</v>
      </c>
      <c r="F767" s="8">
        <v>44518</v>
      </c>
      <c r="G767" s="5">
        <v>0.47657407407407409</v>
      </c>
      <c r="H767">
        <v>-76.723218329999995</v>
      </c>
      <c r="I767">
        <v>3.4839983330000002</v>
      </c>
      <c r="J767">
        <v>6</v>
      </c>
      <c r="P767">
        <f t="shared" si="9"/>
        <v>7.5</v>
      </c>
      <c r="Q767">
        <f t="shared" si="10"/>
        <v>0</v>
      </c>
      <c r="R767">
        <f t="shared" si="11"/>
        <v>5</v>
      </c>
      <c r="V767" t="s">
        <v>47</v>
      </c>
      <c r="W767" t="s">
        <v>500</v>
      </c>
      <c r="X767">
        <v>0</v>
      </c>
      <c r="AD767" t="s">
        <v>498</v>
      </c>
      <c r="AE767" t="s">
        <v>501</v>
      </c>
      <c r="AF767">
        <v>-76.723033330000007</v>
      </c>
      <c r="AG767">
        <v>3.4839483329999998</v>
      </c>
      <c r="AH767">
        <v>5</v>
      </c>
      <c r="AI767">
        <v>0</v>
      </c>
      <c r="AJ767">
        <v>7</v>
      </c>
      <c r="AK767">
        <v>-76.723793330000007</v>
      </c>
      <c r="AL767">
        <v>3.485128333</v>
      </c>
      <c r="AM767">
        <v>5</v>
      </c>
      <c r="AN767">
        <v>0</v>
      </c>
      <c r="AO767">
        <v>8</v>
      </c>
    </row>
    <row r="768" spans="1:43" x14ac:dyDescent="0.2">
      <c r="A768">
        <v>2021</v>
      </c>
      <c r="B768" t="s">
        <v>21</v>
      </c>
      <c r="C768" t="s">
        <v>23</v>
      </c>
      <c r="D768" t="s">
        <v>502</v>
      </c>
      <c r="E768" t="s">
        <v>135</v>
      </c>
      <c r="F768" s="8">
        <v>44518</v>
      </c>
      <c r="G768" s="5">
        <v>0.47082175925925923</v>
      </c>
      <c r="H768">
        <v>-76.722111670000004</v>
      </c>
      <c r="I768">
        <v>3.4844650000000001</v>
      </c>
      <c r="J768">
        <v>6</v>
      </c>
      <c r="M768">
        <v>1986</v>
      </c>
      <c r="P768">
        <f t="shared" si="9"/>
        <v>5</v>
      </c>
      <c r="Q768">
        <f t="shared" si="10"/>
        <v>0</v>
      </c>
      <c r="R768">
        <f t="shared" si="11"/>
        <v>6.5</v>
      </c>
      <c r="V768" t="s">
        <v>47</v>
      </c>
      <c r="X768">
        <v>0</v>
      </c>
      <c r="AD768" t="s">
        <v>498</v>
      </c>
      <c r="AF768">
        <v>-76.721393329999998</v>
      </c>
      <c r="AG768">
        <v>3.4849800000000002</v>
      </c>
      <c r="AH768">
        <v>7</v>
      </c>
      <c r="AI768">
        <v>0</v>
      </c>
      <c r="AJ768">
        <v>4</v>
      </c>
      <c r="AK768">
        <v>-76.722111670000004</v>
      </c>
      <c r="AL768">
        <v>3.4844650000000001</v>
      </c>
      <c r="AM768">
        <v>6</v>
      </c>
      <c r="AN768">
        <v>0</v>
      </c>
      <c r="AO768">
        <v>6</v>
      </c>
    </row>
    <row r="769" spans="1:43" x14ac:dyDescent="0.2">
      <c r="A769">
        <v>2021</v>
      </c>
      <c r="B769" t="s">
        <v>21</v>
      </c>
      <c r="C769" t="s">
        <v>23</v>
      </c>
      <c r="D769" t="s">
        <v>165</v>
      </c>
      <c r="E769" t="s">
        <v>122</v>
      </c>
      <c r="F769" s="8">
        <v>44518</v>
      </c>
      <c r="G769" s="5">
        <v>0.50951388888888893</v>
      </c>
      <c r="H769">
        <v>-76.72368333</v>
      </c>
      <c r="I769">
        <v>3.4834933330000002</v>
      </c>
      <c r="J769">
        <v>6</v>
      </c>
      <c r="K769" t="s">
        <v>112</v>
      </c>
      <c r="L769" t="s">
        <v>113</v>
      </c>
      <c r="M769">
        <v>2019</v>
      </c>
      <c r="N769" t="b">
        <v>1</v>
      </c>
      <c r="P769">
        <f t="shared" si="9"/>
        <v>7</v>
      </c>
      <c r="Q769">
        <f t="shared" si="10"/>
        <v>0</v>
      </c>
      <c r="R769">
        <f t="shared" si="11"/>
        <v>9</v>
      </c>
      <c r="S769" t="s">
        <v>318</v>
      </c>
      <c r="T769" t="s">
        <v>145</v>
      </c>
      <c r="V769" t="s">
        <v>4</v>
      </c>
      <c r="X769">
        <v>1</v>
      </c>
      <c r="AD769" t="s">
        <v>503</v>
      </c>
      <c r="AF769">
        <v>-76.72384667</v>
      </c>
      <c r="AG769">
        <v>3.4841583329999999</v>
      </c>
      <c r="AH769">
        <v>10</v>
      </c>
      <c r="AI769">
        <v>0</v>
      </c>
      <c r="AJ769">
        <v>8</v>
      </c>
      <c r="AK769">
        <v>-76.72368333</v>
      </c>
      <c r="AL769">
        <v>3.4834933330000002</v>
      </c>
      <c r="AM769">
        <v>8</v>
      </c>
      <c r="AN769">
        <v>0</v>
      </c>
      <c r="AO769">
        <v>6</v>
      </c>
      <c r="AP769" t="s">
        <v>450</v>
      </c>
      <c r="AQ769" t="s">
        <v>443</v>
      </c>
    </row>
    <row r="770" spans="1:43" x14ac:dyDescent="0.2">
      <c r="A770">
        <v>2021</v>
      </c>
      <c r="B770" t="s">
        <v>21</v>
      </c>
      <c r="C770" t="s">
        <v>24</v>
      </c>
      <c r="D770" t="s">
        <v>170</v>
      </c>
      <c r="E770" t="s">
        <v>122</v>
      </c>
      <c r="F770" s="8">
        <v>44517</v>
      </c>
      <c r="G770" s="5">
        <v>0.47421296296296295</v>
      </c>
      <c r="H770">
        <v>-76.714595000000003</v>
      </c>
      <c r="I770">
        <v>3.4872366669999999</v>
      </c>
      <c r="J770">
        <v>6</v>
      </c>
      <c r="M770">
        <v>1841</v>
      </c>
      <c r="P770">
        <f t="shared" si="9"/>
        <v>8.5</v>
      </c>
      <c r="Q770">
        <f t="shared" si="10"/>
        <v>3</v>
      </c>
      <c r="R770">
        <f t="shared" si="11"/>
        <v>5</v>
      </c>
      <c r="V770" t="s">
        <v>47</v>
      </c>
      <c r="X770">
        <v>0</v>
      </c>
      <c r="AD770" t="s">
        <v>504</v>
      </c>
      <c r="AF770">
        <v>-76.714236670000005</v>
      </c>
      <c r="AG770">
        <v>3.4876183329999999</v>
      </c>
      <c r="AH770">
        <v>5</v>
      </c>
      <c r="AI770">
        <v>2.5</v>
      </c>
      <c r="AJ770">
        <v>9</v>
      </c>
      <c r="AK770">
        <v>-76.714595000000003</v>
      </c>
      <c r="AL770">
        <v>3.4872366669999999</v>
      </c>
      <c r="AM770">
        <v>5</v>
      </c>
      <c r="AN770">
        <v>3.5</v>
      </c>
      <c r="AO770">
        <v>8</v>
      </c>
    </row>
    <row r="771" spans="1:43" x14ac:dyDescent="0.2">
      <c r="A771">
        <v>2021</v>
      </c>
      <c r="B771" t="s">
        <v>21</v>
      </c>
      <c r="C771" t="s">
        <v>24</v>
      </c>
      <c r="D771" t="s">
        <v>166</v>
      </c>
      <c r="E771" t="s">
        <v>111</v>
      </c>
      <c r="F771" s="8">
        <v>44517</v>
      </c>
      <c r="G771" s="5">
        <v>0.4538773148148148</v>
      </c>
      <c r="H771">
        <v>-76.713825</v>
      </c>
      <c r="I771">
        <v>3.487656667</v>
      </c>
      <c r="J771">
        <v>6</v>
      </c>
      <c r="P771">
        <f t="shared" si="9"/>
        <v>8</v>
      </c>
      <c r="Q771">
        <f t="shared" si="10"/>
        <v>2.75</v>
      </c>
      <c r="R771">
        <f t="shared" si="11"/>
        <v>5</v>
      </c>
      <c r="V771" t="s">
        <v>47</v>
      </c>
      <c r="W771" t="s">
        <v>505</v>
      </c>
      <c r="X771">
        <v>0</v>
      </c>
      <c r="AD771" t="s">
        <v>506</v>
      </c>
      <c r="AF771">
        <v>-76.713729999999998</v>
      </c>
      <c r="AG771">
        <v>3.488101667</v>
      </c>
      <c r="AH771">
        <v>5</v>
      </c>
      <c r="AI771">
        <v>2.5</v>
      </c>
      <c r="AJ771">
        <v>7</v>
      </c>
      <c r="AK771">
        <v>-76.713825</v>
      </c>
      <c r="AL771">
        <v>3.487656667</v>
      </c>
      <c r="AM771">
        <v>5</v>
      </c>
      <c r="AN771">
        <v>3</v>
      </c>
      <c r="AO771">
        <v>9</v>
      </c>
    </row>
    <row r="772" spans="1:43" x14ac:dyDescent="0.2">
      <c r="A772">
        <v>2021</v>
      </c>
      <c r="B772" t="s">
        <v>21</v>
      </c>
      <c r="C772" t="s">
        <v>24</v>
      </c>
      <c r="D772" t="s">
        <v>176</v>
      </c>
      <c r="E772" t="s">
        <v>127</v>
      </c>
      <c r="F772" s="8">
        <v>44517</v>
      </c>
      <c r="G772" s="5">
        <v>0.48021990740740739</v>
      </c>
      <c r="H772">
        <v>-76.714714999999998</v>
      </c>
      <c r="I772">
        <v>3.4870716669999999</v>
      </c>
      <c r="J772">
        <v>6</v>
      </c>
      <c r="P772">
        <f t="shared" si="9"/>
        <v>7.5</v>
      </c>
      <c r="Q772">
        <f t="shared" si="10"/>
        <v>1.5</v>
      </c>
      <c r="R772">
        <f t="shared" si="11"/>
        <v>6</v>
      </c>
      <c r="V772" t="s">
        <v>47</v>
      </c>
      <c r="W772" t="s">
        <v>452</v>
      </c>
      <c r="X772">
        <v>0</v>
      </c>
      <c r="AD772" t="s">
        <v>498</v>
      </c>
      <c r="AF772">
        <v>-76.714659999999995</v>
      </c>
      <c r="AG772">
        <v>3.4872083329999999</v>
      </c>
      <c r="AH772">
        <v>5</v>
      </c>
      <c r="AI772">
        <v>3</v>
      </c>
      <c r="AJ772">
        <v>10</v>
      </c>
      <c r="AK772">
        <v>-76.714948329999999</v>
      </c>
      <c r="AL772">
        <v>3.4870049999999999</v>
      </c>
      <c r="AM772">
        <v>7</v>
      </c>
      <c r="AN772">
        <v>0</v>
      </c>
      <c r="AO772">
        <v>5</v>
      </c>
    </row>
    <row r="773" spans="1:43" x14ac:dyDescent="0.2">
      <c r="A773">
        <v>2021</v>
      </c>
      <c r="B773" t="s">
        <v>15</v>
      </c>
      <c r="C773" t="s">
        <v>20</v>
      </c>
      <c r="D773" t="s">
        <v>151</v>
      </c>
      <c r="E773" t="s">
        <v>111</v>
      </c>
      <c r="F773" s="8">
        <v>44496</v>
      </c>
      <c r="G773" s="5">
        <v>0.89247685185185188</v>
      </c>
      <c r="H773">
        <v>-76.678449999999998</v>
      </c>
      <c r="I773">
        <v>3.401878333</v>
      </c>
      <c r="J773">
        <v>6</v>
      </c>
      <c r="K773" t="s">
        <v>119</v>
      </c>
      <c r="L773" t="s">
        <v>113</v>
      </c>
      <c r="M773">
        <v>3017</v>
      </c>
      <c r="N773" t="b">
        <v>1</v>
      </c>
      <c r="P773">
        <f t="shared" si="9"/>
        <v>10</v>
      </c>
      <c r="Q773">
        <f t="shared" si="10"/>
        <v>0</v>
      </c>
      <c r="R773">
        <f t="shared" si="11"/>
        <v>31</v>
      </c>
      <c r="S773" t="s">
        <v>442</v>
      </c>
      <c r="T773" t="s">
        <v>258</v>
      </c>
      <c r="V773" t="s">
        <v>38</v>
      </c>
      <c r="X773">
        <v>1</v>
      </c>
      <c r="AF773">
        <v>-76.678436669999996</v>
      </c>
      <c r="AG773">
        <v>3.4016316670000002</v>
      </c>
      <c r="AH773">
        <v>5</v>
      </c>
      <c r="AI773">
        <v>0</v>
      </c>
      <c r="AJ773">
        <v>12</v>
      </c>
      <c r="AK773">
        <v>-76.67801</v>
      </c>
      <c r="AL773">
        <v>3.4023666669999999</v>
      </c>
      <c r="AM773">
        <v>57</v>
      </c>
      <c r="AN773">
        <v>0</v>
      </c>
      <c r="AO773">
        <v>8</v>
      </c>
      <c r="AP773" t="s">
        <v>441</v>
      </c>
      <c r="AQ773" t="s">
        <v>443</v>
      </c>
    </row>
    <row r="774" spans="1:43" x14ac:dyDescent="0.2">
      <c r="A774">
        <v>2021</v>
      </c>
      <c r="B774" t="s">
        <v>15</v>
      </c>
      <c r="C774" t="s">
        <v>20</v>
      </c>
      <c r="D774" t="s">
        <v>151</v>
      </c>
      <c r="E774" t="s">
        <v>111</v>
      </c>
      <c r="F774" s="8">
        <v>44496</v>
      </c>
      <c r="G774" s="5">
        <v>0.89894675925925926</v>
      </c>
      <c r="H774">
        <v>-76.678078330000005</v>
      </c>
      <c r="I774">
        <v>3.4023783330000001</v>
      </c>
      <c r="J774">
        <v>6</v>
      </c>
      <c r="K774" t="s">
        <v>112</v>
      </c>
      <c r="L774" t="s">
        <v>507</v>
      </c>
      <c r="M774">
        <v>3029</v>
      </c>
      <c r="N774" t="b">
        <v>1</v>
      </c>
      <c r="P774">
        <f t="shared" si="9"/>
        <v>10</v>
      </c>
      <c r="Q774">
        <f t="shared" si="10"/>
        <v>0</v>
      </c>
      <c r="R774">
        <f t="shared" si="11"/>
        <v>31</v>
      </c>
      <c r="S774" t="s">
        <v>442</v>
      </c>
      <c r="T774" t="s">
        <v>258</v>
      </c>
      <c r="V774" t="s">
        <v>38</v>
      </c>
      <c r="X774">
        <v>1</v>
      </c>
      <c r="AE774" t="s">
        <v>469</v>
      </c>
      <c r="AF774">
        <v>-76.678436669999996</v>
      </c>
      <c r="AG774">
        <v>3.4016316670000002</v>
      </c>
      <c r="AH774">
        <v>5</v>
      </c>
      <c r="AI774">
        <v>0</v>
      </c>
      <c r="AJ774">
        <v>12</v>
      </c>
      <c r="AK774">
        <v>-76.67801</v>
      </c>
      <c r="AL774">
        <v>3.4023666669999999</v>
      </c>
      <c r="AM774">
        <v>57</v>
      </c>
      <c r="AN774">
        <v>0</v>
      </c>
      <c r="AO774">
        <v>8</v>
      </c>
      <c r="AP774" t="s">
        <v>441</v>
      </c>
      <c r="AQ774" t="s">
        <v>443</v>
      </c>
    </row>
    <row r="775" spans="1:43" x14ac:dyDescent="0.2">
      <c r="A775">
        <v>2021</v>
      </c>
      <c r="B775" t="s">
        <v>15</v>
      </c>
      <c r="C775" t="s">
        <v>19</v>
      </c>
      <c r="D775" t="s">
        <v>193</v>
      </c>
      <c r="E775" t="s">
        <v>111</v>
      </c>
      <c r="F775" s="8">
        <v>44496</v>
      </c>
      <c r="G775" s="5">
        <v>0.82188657407407406</v>
      </c>
      <c r="H775">
        <v>-76.680458329999993</v>
      </c>
      <c r="I775">
        <v>3.4013100000000001</v>
      </c>
      <c r="J775">
        <v>6</v>
      </c>
      <c r="K775" t="s">
        <v>112</v>
      </c>
      <c r="L775" t="s">
        <v>113</v>
      </c>
      <c r="M775">
        <v>3033</v>
      </c>
      <c r="O775" t="b">
        <v>1</v>
      </c>
      <c r="P775">
        <f t="shared" si="9"/>
        <v>11</v>
      </c>
      <c r="Q775">
        <f t="shared" si="10"/>
        <v>0</v>
      </c>
      <c r="R775">
        <f t="shared" si="11"/>
        <v>12.5</v>
      </c>
      <c r="S775" t="s">
        <v>458</v>
      </c>
      <c r="T775" t="s">
        <v>258</v>
      </c>
      <c r="V775" t="s">
        <v>57</v>
      </c>
      <c r="X775">
        <v>1</v>
      </c>
      <c r="AF775">
        <v>-76.680926670000005</v>
      </c>
      <c r="AG775">
        <v>3.40157</v>
      </c>
      <c r="AH775">
        <v>15</v>
      </c>
      <c r="AI775">
        <v>0</v>
      </c>
      <c r="AJ775">
        <v>12</v>
      </c>
      <c r="AK775">
        <v>-76.680329999999998</v>
      </c>
      <c r="AL775">
        <v>3.4011049999999998</v>
      </c>
      <c r="AM775">
        <v>10</v>
      </c>
      <c r="AN775">
        <v>0</v>
      </c>
      <c r="AO775">
        <v>10</v>
      </c>
      <c r="AP775" t="s">
        <v>448</v>
      </c>
      <c r="AQ775" t="s">
        <v>244</v>
      </c>
    </row>
    <row r="776" spans="1:43" x14ac:dyDescent="0.2">
      <c r="A776">
        <v>2021</v>
      </c>
      <c r="B776" t="s">
        <v>15</v>
      </c>
      <c r="C776" t="s">
        <v>19</v>
      </c>
      <c r="D776" t="s">
        <v>193</v>
      </c>
      <c r="E776" t="s">
        <v>111</v>
      </c>
      <c r="F776" s="8">
        <v>44496</v>
      </c>
      <c r="G776" s="5">
        <v>0.81138888888888894</v>
      </c>
      <c r="H776">
        <v>-76.680390000000003</v>
      </c>
      <c r="I776">
        <v>3.4012199999999999</v>
      </c>
      <c r="J776">
        <v>6</v>
      </c>
      <c r="K776" t="s">
        <v>119</v>
      </c>
      <c r="L776" t="s">
        <v>113</v>
      </c>
      <c r="M776">
        <v>3033</v>
      </c>
      <c r="N776" t="b">
        <v>1</v>
      </c>
      <c r="P776">
        <f t="shared" si="9"/>
        <v>11</v>
      </c>
      <c r="Q776">
        <f t="shared" si="10"/>
        <v>0</v>
      </c>
      <c r="R776">
        <f t="shared" si="11"/>
        <v>12.5</v>
      </c>
      <c r="S776" t="s">
        <v>442</v>
      </c>
      <c r="T776" t="s">
        <v>258</v>
      </c>
      <c r="V776" t="s">
        <v>39</v>
      </c>
      <c r="X776">
        <v>1</v>
      </c>
      <c r="AF776">
        <v>-76.680926670000005</v>
      </c>
      <c r="AG776">
        <v>3.40157</v>
      </c>
      <c r="AH776">
        <v>15</v>
      </c>
      <c r="AI776">
        <v>0</v>
      </c>
      <c r="AJ776">
        <v>12</v>
      </c>
      <c r="AK776">
        <v>-76.680329999999998</v>
      </c>
      <c r="AL776">
        <v>3.4011049999999998</v>
      </c>
      <c r="AM776">
        <v>10</v>
      </c>
      <c r="AN776">
        <v>0</v>
      </c>
      <c r="AO776">
        <v>10</v>
      </c>
      <c r="AP776" t="s">
        <v>441</v>
      </c>
      <c r="AQ776" t="s">
        <v>443</v>
      </c>
    </row>
    <row r="777" spans="1:43" x14ac:dyDescent="0.2">
      <c r="A777">
        <v>2021</v>
      </c>
      <c r="B777" t="s">
        <v>15</v>
      </c>
      <c r="C777" t="s">
        <v>19</v>
      </c>
      <c r="D777" t="s">
        <v>193</v>
      </c>
      <c r="E777" t="s">
        <v>111</v>
      </c>
      <c r="F777" s="8">
        <v>44496</v>
      </c>
      <c r="G777" s="5">
        <v>0.82719907407407411</v>
      </c>
      <c r="H777">
        <v>-76.680329999999998</v>
      </c>
      <c r="I777">
        <v>3.4011049999999998</v>
      </c>
      <c r="J777">
        <v>6</v>
      </c>
      <c r="K777" t="s">
        <v>112</v>
      </c>
      <c r="L777" t="s">
        <v>507</v>
      </c>
      <c r="M777">
        <v>3037</v>
      </c>
      <c r="N777" t="b">
        <v>1</v>
      </c>
      <c r="P777">
        <f t="shared" si="9"/>
        <v>11</v>
      </c>
      <c r="Q777">
        <f t="shared" si="10"/>
        <v>0</v>
      </c>
      <c r="R777">
        <f t="shared" si="11"/>
        <v>12.5</v>
      </c>
      <c r="S777" t="s">
        <v>442</v>
      </c>
      <c r="T777" t="s">
        <v>258</v>
      </c>
      <c r="V777" t="s">
        <v>37</v>
      </c>
      <c r="X777">
        <v>1</v>
      </c>
      <c r="AF777">
        <v>-76.680926670000005</v>
      </c>
      <c r="AG777">
        <v>3.40157</v>
      </c>
      <c r="AH777">
        <v>15</v>
      </c>
      <c r="AI777">
        <v>0</v>
      </c>
      <c r="AJ777">
        <v>12</v>
      </c>
      <c r="AK777">
        <v>-76.680329999999998</v>
      </c>
      <c r="AL777">
        <v>3.4011049999999998</v>
      </c>
      <c r="AM777">
        <v>10</v>
      </c>
      <c r="AN777">
        <v>0</v>
      </c>
      <c r="AO777">
        <v>10</v>
      </c>
      <c r="AP777" t="s">
        <v>450</v>
      </c>
      <c r="AQ777" t="s">
        <v>443</v>
      </c>
    </row>
    <row r="778" spans="1:43" x14ac:dyDescent="0.2">
      <c r="A778">
        <v>2021</v>
      </c>
      <c r="B778" t="s">
        <v>15</v>
      </c>
      <c r="C778" t="s">
        <v>19</v>
      </c>
      <c r="D778" t="s">
        <v>193</v>
      </c>
      <c r="E778" t="s">
        <v>111</v>
      </c>
      <c r="F778" s="8">
        <v>44496</v>
      </c>
      <c r="G778" s="5">
        <v>0.82719907407407411</v>
      </c>
      <c r="H778">
        <v>-76.680329999999998</v>
      </c>
      <c r="I778">
        <v>3.4011049999999998</v>
      </c>
      <c r="J778">
        <v>6</v>
      </c>
      <c r="K778" t="s">
        <v>112</v>
      </c>
      <c r="L778" t="s">
        <v>507</v>
      </c>
      <c r="M778">
        <v>3037</v>
      </c>
      <c r="N778" t="b">
        <v>1</v>
      </c>
      <c r="P778">
        <f t="shared" si="9"/>
        <v>11</v>
      </c>
      <c r="Q778">
        <f t="shared" si="10"/>
        <v>0</v>
      </c>
      <c r="R778">
        <f t="shared" si="11"/>
        <v>12.5</v>
      </c>
      <c r="S778" t="s">
        <v>442</v>
      </c>
      <c r="T778" t="s">
        <v>258</v>
      </c>
      <c r="V778" t="s">
        <v>37</v>
      </c>
      <c r="X778">
        <v>1</v>
      </c>
      <c r="AF778">
        <v>-76.680926670000005</v>
      </c>
      <c r="AG778">
        <v>3.40157</v>
      </c>
      <c r="AH778">
        <v>15</v>
      </c>
      <c r="AI778">
        <v>0</v>
      </c>
      <c r="AJ778">
        <v>12</v>
      </c>
      <c r="AK778">
        <v>-76.680329999999998</v>
      </c>
      <c r="AL778">
        <v>3.4011049999999998</v>
      </c>
      <c r="AM778">
        <v>10</v>
      </c>
      <c r="AN778">
        <v>0</v>
      </c>
      <c r="AO778">
        <v>10</v>
      </c>
      <c r="AP778" t="s">
        <v>441</v>
      </c>
      <c r="AQ778" t="s">
        <v>443</v>
      </c>
    </row>
    <row r="779" spans="1:43" x14ac:dyDescent="0.2">
      <c r="A779">
        <v>2021</v>
      </c>
      <c r="B779" t="s">
        <v>15</v>
      </c>
      <c r="C779" t="s">
        <v>19</v>
      </c>
      <c r="D779" t="s">
        <v>153</v>
      </c>
      <c r="E779" t="s">
        <v>127</v>
      </c>
      <c r="F779" s="8">
        <v>44496</v>
      </c>
      <c r="G779" s="5">
        <v>0.86635416666666665</v>
      </c>
      <c r="H779">
        <v>-76.678974999999994</v>
      </c>
      <c r="I779">
        <v>3.4006916669999998</v>
      </c>
      <c r="J779">
        <v>6</v>
      </c>
      <c r="K779" t="s">
        <v>112</v>
      </c>
      <c r="L779" t="s">
        <v>507</v>
      </c>
      <c r="M779">
        <v>3004</v>
      </c>
      <c r="O779" t="b">
        <v>1</v>
      </c>
      <c r="P779">
        <f t="shared" si="9"/>
        <v>9</v>
      </c>
      <c r="Q779">
        <f t="shared" si="10"/>
        <v>0</v>
      </c>
      <c r="R779">
        <f t="shared" si="11"/>
        <v>11</v>
      </c>
      <c r="S779" t="s">
        <v>442</v>
      </c>
      <c r="T779" t="s">
        <v>258</v>
      </c>
      <c r="V779" t="s">
        <v>57</v>
      </c>
      <c r="X779">
        <v>2</v>
      </c>
      <c r="AF779">
        <v>-76.679086670000004</v>
      </c>
      <c r="AG779">
        <v>3.4007450000000001</v>
      </c>
      <c r="AH779">
        <v>15</v>
      </c>
      <c r="AI779">
        <v>0</v>
      </c>
      <c r="AJ779">
        <v>8</v>
      </c>
      <c r="AK779">
        <v>-76.678691670000006</v>
      </c>
      <c r="AL779">
        <v>3.4014766669999998</v>
      </c>
      <c r="AM779">
        <v>7</v>
      </c>
      <c r="AN779">
        <v>0</v>
      </c>
      <c r="AO779">
        <v>10</v>
      </c>
      <c r="AP779" t="s">
        <v>441</v>
      </c>
      <c r="AQ779" t="s">
        <v>443</v>
      </c>
    </row>
    <row r="780" spans="1:43" x14ac:dyDescent="0.2">
      <c r="A780">
        <v>2021</v>
      </c>
      <c r="B780" t="s">
        <v>15</v>
      </c>
      <c r="C780" t="s">
        <v>19</v>
      </c>
      <c r="D780" t="s">
        <v>153</v>
      </c>
      <c r="E780" t="s">
        <v>127</v>
      </c>
      <c r="F780" s="8">
        <v>44496</v>
      </c>
      <c r="G780" s="5">
        <v>0.88577546296296295</v>
      </c>
      <c r="H780">
        <v>-76.678711669999998</v>
      </c>
      <c r="I780">
        <v>3.4011816669999999</v>
      </c>
      <c r="J780">
        <v>6</v>
      </c>
      <c r="K780" t="s">
        <v>119</v>
      </c>
      <c r="L780" t="s">
        <v>507</v>
      </c>
      <c r="M780">
        <v>3004</v>
      </c>
      <c r="N780" t="b">
        <v>1</v>
      </c>
      <c r="P780">
        <f t="shared" si="9"/>
        <v>9</v>
      </c>
      <c r="Q780">
        <f t="shared" si="10"/>
        <v>0</v>
      </c>
      <c r="R780">
        <f t="shared" si="11"/>
        <v>11</v>
      </c>
      <c r="S780" t="s">
        <v>442</v>
      </c>
      <c r="T780" t="s">
        <v>258</v>
      </c>
      <c r="U780" t="s">
        <v>508</v>
      </c>
      <c r="V780" t="s">
        <v>38</v>
      </c>
      <c r="X780">
        <v>1</v>
      </c>
      <c r="AF780">
        <v>-76.679086670000004</v>
      </c>
      <c r="AG780">
        <v>3.4007450000000001</v>
      </c>
      <c r="AH780">
        <v>15</v>
      </c>
      <c r="AI780">
        <v>0</v>
      </c>
      <c r="AJ780">
        <v>8</v>
      </c>
      <c r="AK780">
        <v>-76.678691670000006</v>
      </c>
      <c r="AL780">
        <v>3.4014766669999998</v>
      </c>
      <c r="AM780">
        <v>7</v>
      </c>
      <c r="AN780">
        <v>0</v>
      </c>
      <c r="AO780">
        <v>10</v>
      </c>
      <c r="AP780" t="s">
        <v>441</v>
      </c>
      <c r="AQ780" t="s">
        <v>443</v>
      </c>
    </row>
    <row r="781" spans="1:43" x14ac:dyDescent="0.2">
      <c r="A781">
        <v>2021</v>
      </c>
      <c r="B781" t="s">
        <v>15</v>
      </c>
      <c r="C781" t="s">
        <v>19</v>
      </c>
      <c r="D781" t="s">
        <v>150</v>
      </c>
      <c r="E781" t="s">
        <v>122</v>
      </c>
      <c r="F781" s="8">
        <v>44496</v>
      </c>
      <c r="G781" s="5">
        <v>0.8396527777777778</v>
      </c>
      <c r="H781">
        <v>-76.679869999999994</v>
      </c>
      <c r="I781">
        <v>3.400658333</v>
      </c>
      <c r="J781">
        <v>6</v>
      </c>
      <c r="K781" t="s">
        <v>119</v>
      </c>
      <c r="L781" t="s">
        <v>113</v>
      </c>
      <c r="M781">
        <v>3033</v>
      </c>
      <c r="N781" t="b">
        <v>1</v>
      </c>
      <c r="P781">
        <f t="shared" si="9"/>
        <v>14</v>
      </c>
      <c r="Q781">
        <f t="shared" si="10"/>
        <v>0</v>
      </c>
      <c r="R781">
        <f t="shared" si="11"/>
        <v>7.5</v>
      </c>
      <c r="S781" t="s">
        <v>442</v>
      </c>
      <c r="T781" t="s">
        <v>258</v>
      </c>
      <c r="V781" t="s">
        <v>38</v>
      </c>
      <c r="X781">
        <v>1</v>
      </c>
      <c r="AF781">
        <v>-76.680168330000001</v>
      </c>
      <c r="AG781">
        <v>3.4010983330000002</v>
      </c>
      <c r="AH781">
        <v>5</v>
      </c>
      <c r="AI781">
        <v>0</v>
      </c>
      <c r="AJ781">
        <v>18</v>
      </c>
      <c r="AK781">
        <v>-76.679281669999995</v>
      </c>
      <c r="AL781">
        <v>3.4007033330000001</v>
      </c>
      <c r="AM781">
        <v>10</v>
      </c>
      <c r="AN781">
        <v>0</v>
      </c>
      <c r="AO781">
        <v>10</v>
      </c>
      <c r="AP781" t="s">
        <v>441</v>
      </c>
      <c r="AQ781" t="s">
        <v>443</v>
      </c>
    </row>
    <row r="782" spans="1:43" x14ac:dyDescent="0.2">
      <c r="A782">
        <v>2021</v>
      </c>
      <c r="B782" t="s">
        <v>15</v>
      </c>
      <c r="C782" t="s">
        <v>19</v>
      </c>
      <c r="D782" t="s">
        <v>150</v>
      </c>
      <c r="E782" t="s">
        <v>122</v>
      </c>
      <c r="F782" s="8">
        <v>44496</v>
      </c>
      <c r="G782" s="5">
        <v>0.84420138888888885</v>
      </c>
      <c r="H782">
        <v>-76.679834999999997</v>
      </c>
      <c r="I782">
        <v>3.4008883330000002</v>
      </c>
      <c r="J782">
        <v>6</v>
      </c>
      <c r="K782" t="s">
        <v>119</v>
      </c>
      <c r="L782" t="s">
        <v>507</v>
      </c>
      <c r="M782">
        <v>3009</v>
      </c>
      <c r="N782" t="b">
        <v>1</v>
      </c>
      <c r="P782">
        <f t="shared" si="9"/>
        <v>14</v>
      </c>
      <c r="Q782">
        <f t="shared" si="10"/>
        <v>0</v>
      </c>
      <c r="R782">
        <f t="shared" si="11"/>
        <v>7.5</v>
      </c>
      <c r="S782" t="s">
        <v>442</v>
      </c>
      <c r="T782" t="s">
        <v>258</v>
      </c>
      <c r="V782" t="s">
        <v>39</v>
      </c>
      <c r="X782">
        <v>2</v>
      </c>
      <c r="AF782">
        <v>-76.680168330000001</v>
      </c>
      <c r="AG782">
        <v>3.4010983330000002</v>
      </c>
      <c r="AH782">
        <v>5</v>
      </c>
      <c r="AI782">
        <v>0</v>
      </c>
      <c r="AJ782">
        <v>18</v>
      </c>
      <c r="AK782">
        <v>-76.679281669999995</v>
      </c>
      <c r="AL782">
        <v>3.4007033330000001</v>
      </c>
      <c r="AM782">
        <v>10</v>
      </c>
      <c r="AN782">
        <v>0</v>
      </c>
      <c r="AO782">
        <v>10</v>
      </c>
      <c r="AP782" t="s">
        <v>441</v>
      </c>
      <c r="AQ782" t="s">
        <v>443</v>
      </c>
    </row>
    <row r="783" spans="1:43" x14ac:dyDescent="0.2">
      <c r="A783">
        <v>2021</v>
      </c>
      <c r="B783" t="s">
        <v>15</v>
      </c>
      <c r="C783" t="s">
        <v>19</v>
      </c>
      <c r="D783" t="s">
        <v>150</v>
      </c>
      <c r="E783" t="s">
        <v>122</v>
      </c>
      <c r="F783" s="8">
        <v>44496</v>
      </c>
      <c r="G783" s="5">
        <v>0.85269675925925925</v>
      </c>
      <c r="H783">
        <v>-76.679318330000001</v>
      </c>
      <c r="I783">
        <v>3.4008099999999999</v>
      </c>
      <c r="J783">
        <v>6</v>
      </c>
      <c r="K783" t="s">
        <v>119</v>
      </c>
      <c r="L783" t="s">
        <v>113</v>
      </c>
      <c r="M783">
        <v>3007</v>
      </c>
      <c r="N783" t="b">
        <v>1</v>
      </c>
      <c r="P783">
        <f t="shared" si="9"/>
        <v>14</v>
      </c>
      <c r="Q783">
        <f t="shared" si="10"/>
        <v>0</v>
      </c>
      <c r="R783">
        <f t="shared" si="11"/>
        <v>7.5</v>
      </c>
      <c r="S783" t="s">
        <v>442</v>
      </c>
      <c r="T783" t="s">
        <v>258</v>
      </c>
      <c r="V783" t="s">
        <v>38</v>
      </c>
      <c r="X783">
        <v>1</v>
      </c>
      <c r="AF783">
        <v>-76.680168330000001</v>
      </c>
      <c r="AG783">
        <v>3.4010983330000002</v>
      </c>
      <c r="AH783">
        <v>5</v>
      </c>
      <c r="AI783">
        <v>0</v>
      </c>
      <c r="AJ783">
        <v>18</v>
      </c>
      <c r="AK783">
        <v>-76.679281669999995</v>
      </c>
      <c r="AL783">
        <v>3.4007033330000001</v>
      </c>
      <c r="AM783">
        <v>10</v>
      </c>
      <c r="AN783">
        <v>0</v>
      </c>
      <c r="AO783">
        <v>10</v>
      </c>
      <c r="AP783" t="s">
        <v>441</v>
      </c>
      <c r="AQ783" t="s">
        <v>443</v>
      </c>
    </row>
    <row r="784" spans="1:43" x14ac:dyDescent="0.2">
      <c r="A784">
        <v>2021</v>
      </c>
      <c r="B784" t="s">
        <v>15</v>
      </c>
      <c r="C784" t="s">
        <v>19</v>
      </c>
      <c r="D784" t="s">
        <v>150</v>
      </c>
      <c r="E784" t="s">
        <v>122</v>
      </c>
      <c r="F784" s="8">
        <v>44496</v>
      </c>
      <c r="G784" s="5">
        <v>0.85269675925925925</v>
      </c>
      <c r="H784">
        <v>-76.679318330000001</v>
      </c>
      <c r="I784">
        <v>3.4008099999999999</v>
      </c>
      <c r="J784">
        <v>6</v>
      </c>
      <c r="K784" t="s">
        <v>119</v>
      </c>
      <c r="L784" t="s">
        <v>507</v>
      </c>
      <c r="M784">
        <v>3007</v>
      </c>
      <c r="N784" t="b">
        <v>1</v>
      </c>
      <c r="P784">
        <f t="shared" si="9"/>
        <v>14</v>
      </c>
      <c r="Q784">
        <f t="shared" si="10"/>
        <v>0</v>
      </c>
      <c r="R784">
        <f t="shared" si="11"/>
        <v>7.5</v>
      </c>
      <c r="S784" t="s">
        <v>442</v>
      </c>
      <c r="T784" t="s">
        <v>258</v>
      </c>
      <c r="V784" t="s">
        <v>38</v>
      </c>
      <c r="X784">
        <v>1</v>
      </c>
      <c r="AF784">
        <v>-76.680168330000001</v>
      </c>
      <c r="AG784">
        <v>3.4010983330000002</v>
      </c>
      <c r="AH784">
        <v>5</v>
      </c>
      <c r="AI784">
        <v>0</v>
      </c>
      <c r="AJ784">
        <v>18</v>
      </c>
      <c r="AK784">
        <v>-76.679281669999995</v>
      </c>
      <c r="AL784">
        <v>3.4007033330000001</v>
      </c>
      <c r="AM784">
        <v>10</v>
      </c>
      <c r="AN784">
        <v>0</v>
      </c>
      <c r="AO784">
        <v>10</v>
      </c>
      <c r="AP784" t="s">
        <v>441</v>
      </c>
      <c r="AQ784" t="s">
        <v>443</v>
      </c>
    </row>
    <row r="785" spans="1:43" x14ac:dyDescent="0.2">
      <c r="A785">
        <v>2021</v>
      </c>
      <c r="B785" t="s">
        <v>15</v>
      </c>
      <c r="C785" t="s">
        <v>20</v>
      </c>
      <c r="D785" t="s">
        <v>496</v>
      </c>
      <c r="E785" t="s">
        <v>122</v>
      </c>
      <c r="F785" s="8">
        <v>44496</v>
      </c>
      <c r="G785" s="5">
        <v>0.90221064814814811</v>
      </c>
      <c r="H785">
        <v>-76.67788333</v>
      </c>
      <c r="I785">
        <v>3.4025150000000002</v>
      </c>
      <c r="J785">
        <v>6</v>
      </c>
      <c r="K785" t="s">
        <v>112</v>
      </c>
      <c r="L785" t="s">
        <v>507</v>
      </c>
      <c r="M785">
        <v>3032</v>
      </c>
      <c r="N785" t="b">
        <v>1</v>
      </c>
      <c r="P785">
        <f t="shared" si="9"/>
        <v>6</v>
      </c>
      <c r="Q785">
        <f t="shared" si="10"/>
        <v>0</v>
      </c>
      <c r="R785">
        <f t="shared" si="11"/>
        <v>6.5</v>
      </c>
      <c r="S785" t="s">
        <v>442</v>
      </c>
      <c r="T785" t="s">
        <v>258</v>
      </c>
      <c r="V785" t="s">
        <v>38</v>
      </c>
      <c r="X785">
        <v>1</v>
      </c>
      <c r="AF785">
        <v>-76.726311670000001</v>
      </c>
      <c r="AG785">
        <v>3.5000450000000001</v>
      </c>
      <c r="AH785">
        <v>5</v>
      </c>
      <c r="AI785">
        <v>0</v>
      </c>
      <c r="AJ785">
        <v>8</v>
      </c>
      <c r="AK785">
        <v>-76.726856670000004</v>
      </c>
      <c r="AL785">
        <v>3.5003150000000001</v>
      </c>
      <c r="AM785">
        <v>8</v>
      </c>
      <c r="AN785">
        <v>0</v>
      </c>
      <c r="AO785">
        <v>4</v>
      </c>
      <c r="AP785" t="s">
        <v>467</v>
      </c>
      <c r="AQ785" t="s">
        <v>443</v>
      </c>
    </row>
    <row r="786" spans="1:43" x14ac:dyDescent="0.2">
      <c r="A786">
        <v>2021</v>
      </c>
      <c r="B786" t="s">
        <v>15</v>
      </c>
      <c r="C786" t="s">
        <v>20</v>
      </c>
      <c r="D786" t="s">
        <v>509</v>
      </c>
      <c r="E786" t="s">
        <v>127</v>
      </c>
      <c r="F786" s="8">
        <v>44496</v>
      </c>
      <c r="G786" s="5">
        <v>0.91848379629629628</v>
      </c>
      <c r="H786">
        <v>-76.676271670000006</v>
      </c>
      <c r="I786">
        <v>3.4021083330000002</v>
      </c>
      <c r="J786">
        <v>6</v>
      </c>
      <c r="K786" t="s">
        <v>119</v>
      </c>
      <c r="L786" t="s">
        <v>507</v>
      </c>
      <c r="M786">
        <v>2987</v>
      </c>
      <c r="O786" t="b">
        <v>1</v>
      </c>
      <c r="P786">
        <f t="shared" si="9"/>
        <v>9</v>
      </c>
      <c r="Q786">
        <f t="shared" si="10"/>
        <v>0.3</v>
      </c>
      <c r="R786">
        <f t="shared" si="11"/>
        <v>5</v>
      </c>
      <c r="S786" t="s">
        <v>442</v>
      </c>
      <c r="T786" t="s">
        <v>258</v>
      </c>
      <c r="V786" t="s">
        <v>39</v>
      </c>
      <c r="W786" t="s">
        <v>436</v>
      </c>
      <c r="X786">
        <v>1</v>
      </c>
      <c r="AF786">
        <v>-76.676884999999999</v>
      </c>
      <c r="AG786">
        <v>3.40259</v>
      </c>
      <c r="AH786">
        <v>5</v>
      </c>
      <c r="AI786">
        <v>0</v>
      </c>
      <c r="AJ786">
        <v>8</v>
      </c>
      <c r="AK786">
        <v>-76.676271670000006</v>
      </c>
      <c r="AL786">
        <v>3.4021083330000002</v>
      </c>
      <c r="AM786">
        <v>5</v>
      </c>
      <c r="AN786">
        <v>0.6</v>
      </c>
      <c r="AO786">
        <v>10</v>
      </c>
      <c r="AP786" t="s">
        <v>441</v>
      </c>
      <c r="AQ786" t="s">
        <v>443</v>
      </c>
    </row>
    <row r="787" spans="1:43" x14ac:dyDescent="0.2">
      <c r="A787">
        <v>2021</v>
      </c>
      <c r="B787" t="s">
        <v>10</v>
      </c>
      <c r="C787" t="s">
        <v>13</v>
      </c>
      <c r="D787" t="s">
        <v>179</v>
      </c>
      <c r="E787" t="s">
        <v>122</v>
      </c>
      <c r="F787" s="8">
        <v>44490</v>
      </c>
      <c r="G787" s="5">
        <v>0.85724537037037041</v>
      </c>
      <c r="H787">
        <v>-76.643213329999995</v>
      </c>
      <c r="I787">
        <v>3.3496233329999998</v>
      </c>
      <c r="J787">
        <v>6</v>
      </c>
      <c r="M787">
        <v>2375</v>
      </c>
      <c r="N787" t="b">
        <v>1</v>
      </c>
      <c r="P787">
        <f t="shared" si="9"/>
        <v>16.5</v>
      </c>
      <c r="Q787">
        <f t="shared" si="10"/>
        <v>0</v>
      </c>
      <c r="R787">
        <f t="shared" si="11"/>
        <v>25</v>
      </c>
      <c r="T787" t="s">
        <v>258</v>
      </c>
      <c r="V787" t="s">
        <v>47</v>
      </c>
      <c r="X787">
        <v>0</v>
      </c>
      <c r="AD787" t="s">
        <v>510</v>
      </c>
      <c r="AF787">
        <v>-76.643036670000001</v>
      </c>
      <c r="AG787">
        <v>3.34918</v>
      </c>
      <c r="AH787">
        <v>25</v>
      </c>
      <c r="AI787">
        <v>0</v>
      </c>
      <c r="AJ787">
        <v>15</v>
      </c>
      <c r="AK787">
        <v>-76.643213329999995</v>
      </c>
      <c r="AL787">
        <v>3.3496233329999998</v>
      </c>
      <c r="AM787">
        <v>25</v>
      </c>
      <c r="AN787">
        <v>0</v>
      </c>
      <c r="AO787">
        <v>18</v>
      </c>
    </row>
    <row r="788" spans="1:43" x14ac:dyDescent="0.2">
      <c r="A788">
        <v>2021</v>
      </c>
      <c r="B788" t="s">
        <v>10</v>
      </c>
      <c r="C788" t="s">
        <v>69</v>
      </c>
      <c r="D788" t="s">
        <v>461</v>
      </c>
      <c r="E788" t="s">
        <v>111</v>
      </c>
      <c r="F788" s="8">
        <v>44490</v>
      </c>
      <c r="G788" s="5">
        <v>0.81622685185185184</v>
      </c>
      <c r="H788">
        <v>-76.642165000000006</v>
      </c>
      <c r="I788">
        <v>3.349681667</v>
      </c>
      <c r="J788">
        <v>6</v>
      </c>
      <c r="K788" t="s">
        <v>119</v>
      </c>
      <c r="L788" t="s">
        <v>113</v>
      </c>
      <c r="M788">
        <v>2315</v>
      </c>
      <c r="N788" t="b">
        <v>1</v>
      </c>
      <c r="P788">
        <f t="shared" si="9"/>
        <v>16</v>
      </c>
      <c r="Q788">
        <f t="shared" si="10"/>
        <v>0</v>
      </c>
      <c r="R788">
        <f t="shared" si="11"/>
        <v>7.5</v>
      </c>
      <c r="S788" t="s">
        <v>442</v>
      </c>
      <c r="T788" t="s">
        <v>258</v>
      </c>
      <c r="V788" t="s">
        <v>9</v>
      </c>
      <c r="X788">
        <v>1</v>
      </c>
      <c r="AE788" t="s">
        <v>492</v>
      </c>
      <c r="AF788">
        <v>-76.641149999999996</v>
      </c>
      <c r="AG788">
        <v>3.3498049999999999</v>
      </c>
      <c r="AH788">
        <v>5</v>
      </c>
      <c r="AI788">
        <v>0</v>
      </c>
      <c r="AJ788">
        <v>15</v>
      </c>
      <c r="AK788">
        <v>-76.642165000000006</v>
      </c>
      <c r="AL788">
        <v>3.349681667</v>
      </c>
      <c r="AM788">
        <v>10</v>
      </c>
      <c r="AN788">
        <v>0</v>
      </c>
      <c r="AO788">
        <v>17</v>
      </c>
      <c r="AP788" t="s">
        <v>441</v>
      </c>
      <c r="AQ788" t="s">
        <v>443</v>
      </c>
    </row>
    <row r="789" spans="1:43" x14ac:dyDescent="0.2">
      <c r="A789">
        <v>2021</v>
      </c>
      <c r="B789" t="s">
        <v>10</v>
      </c>
      <c r="C789" t="s">
        <v>69</v>
      </c>
      <c r="D789" t="s">
        <v>461</v>
      </c>
      <c r="E789" t="s">
        <v>111</v>
      </c>
      <c r="F789" s="8">
        <v>44490</v>
      </c>
      <c r="G789" s="5">
        <v>0.80651620370370369</v>
      </c>
      <c r="H789">
        <v>-76.641554999999997</v>
      </c>
      <c r="I789">
        <v>3.3497783330000002</v>
      </c>
      <c r="J789">
        <v>6</v>
      </c>
      <c r="K789" t="s">
        <v>112</v>
      </c>
      <c r="L789" t="s">
        <v>488</v>
      </c>
      <c r="M789">
        <v>2344</v>
      </c>
      <c r="N789" t="b">
        <v>1</v>
      </c>
      <c r="P789">
        <f t="shared" si="9"/>
        <v>16</v>
      </c>
      <c r="Q789">
        <f t="shared" si="10"/>
        <v>0</v>
      </c>
      <c r="R789">
        <f t="shared" si="11"/>
        <v>7.5</v>
      </c>
      <c r="S789" t="s">
        <v>442</v>
      </c>
      <c r="T789" t="s">
        <v>258</v>
      </c>
      <c r="V789" t="s">
        <v>9</v>
      </c>
      <c r="X789">
        <v>1</v>
      </c>
      <c r="AF789">
        <v>-76.641149999999996</v>
      </c>
      <c r="AG789">
        <v>3.3498049999999999</v>
      </c>
      <c r="AH789">
        <v>5</v>
      </c>
      <c r="AI789">
        <v>0</v>
      </c>
      <c r="AJ789">
        <v>15</v>
      </c>
      <c r="AK789">
        <v>-76.642165000000006</v>
      </c>
      <c r="AL789">
        <v>3.349681667</v>
      </c>
      <c r="AM789">
        <v>10</v>
      </c>
      <c r="AN789">
        <v>0</v>
      </c>
      <c r="AO789">
        <v>17</v>
      </c>
      <c r="AP789" t="s">
        <v>441</v>
      </c>
      <c r="AQ789" t="s">
        <v>443</v>
      </c>
    </row>
    <row r="790" spans="1:43" x14ac:dyDescent="0.2">
      <c r="A790">
        <v>2021</v>
      </c>
      <c r="B790" t="s">
        <v>10</v>
      </c>
      <c r="C790" t="s">
        <v>69</v>
      </c>
      <c r="D790" t="s">
        <v>461</v>
      </c>
      <c r="E790" t="s">
        <v>111</v>
      </c>
      <c r="F790" s="8">
        <v>44490</v>
      </c>
      <c r="G790" s="5">
        <v>0.81024305555555554</v>
      </c>
      <c r="H790">
        <v>-76.641706670000005</v>
      </c>
      <c r="I790">
        <v>3.3496933329999998</v>
      </c>
      <c r="J790">
        <v>6</v>
      </c>
      <c r="K790" t="s">
        <v>119</v>
      </c>
      <c r="L790" t="s">
        <v>113</v>
      </c>
      <c r="M790">
        <v>2334</v>
      </c>
      <c r="N790" t="b">
        <v>1</v>
      </c>
      <c r="P790">
        <f t="shared" si="9"/>
        <v>16</v>
      </c>
      <c r="Q790">
        <f t="shared" si="10"/>
        <v>0</v>
      </c>
      <c r="R790">
        <f t="shared" si="11"/>
        <v>7.5</v>
      </c>
      <c r="S790" t="s">
        <v>442</v>
      </c>
      <c r="T790" t="s">
        <v>258</v>
      </c>
      <c r="V790" t="s">
        <v>9</v>
      </c>
      <c r="W790" t="s">
        <v>436</v>
      </c>
      <c r="X790">
        <v>1</v>
      </c>
      <c r="AD790" t="s">
        <v>511</v>
      </c>
      <c r="AE790" t="s">
        <v>490</v>
      </c>
      <c r="AF790">
        <v>-76.641149999999996</v>
      </c>
      <c r="AG790">
        <v>3.3498049999999999</v>
      </c>
      <c r="AH790">
        <v>5</v>
      </c>
      <c r="AI790">
        <v>0</v>
      </c>
      <c r="AJ790">
        <v>15</v>
      </c>
      <c r="AK790">
        <v>-76.642165000000006</v>
      </c>
      <c r="AL790">
        <v>3.349681667</v>
      </c>
      <c r="AM790">
        <v>10</v>
      </c>
      <c r="AN790">
        <v>0</v>
      </c>
      <c r="AO790">
        <v>17</v>
      </c>
      <c r="AP790" t="s">
        <v>441</v>
      </c>
      <c r="AQ790" t="s">
        <v>443</v>
      </c>
    </row>
    <row r="791" spans="1:43" x14ac:dyDescent="0.2">
      <c r="A791">
        <v>2021</v>
      </c>
      <c r="B791" t="s">
        <v>10</v>
      </c>
      <c r="C791" t="s">
        <v>69</v>
      </c>
      <c r="D791" t="s">
        <v>461</v>
      </c>
      <c r="E791" t="s">
        <v>111</v>
      </c>
      <c r="F791" s="8">
        <v>44490</v>
      </c>
      <c r="G791" s="5">
        <v>0.8041666666666667</v>
      </c>
      <c r="H791">
        <v>-76.641445000000004</v>
      </c>
      <c r="I791">
        <v>3.3498716669999999</v>
      </c>
      <c r="J791">
        <v>6</v>
      </c>
      <c r="K791" t="s">
        <v>119</v>
      </c>
      <c r="L791" t="s">
        <v>113</v>
      </c>
      <c r="M791">
        <v>2340</v>
      </c>
      <c r="N791" t="b">
        <v>1</v>
      </c>
      <c r="P791">
        <f t="shared" si="9"/>
        <v>16</v>
      </c>
      <c r="Q791">
        <f t="shared" si="10"/>
        <v>0</v>
      </c>
      <c r="R791">
        <f t="shared" si="11"/>
        <v>7.5</v>
      </c>
      <c r="S791" t="s">
        <v>442</v>
      </c>
      <c r="T791" t="s">
        <v>258</v>
      </c>
      <c r="V791" t="s">
        <v>9</v>
      </c>
      <c r="X791">
        <v>1</v>
      </c>
      <c r="AF791">
        <v>-76.641149999999996</v>
      </c>
      <c r="AG791">
        <v>3.3498049999999999</v>
      </c>
      <c r="AH791">
        <v>5</v>
      </c>
      <c r="AI791">
        <v>0</v>
      </c>
      <c r="AJ791">
        <v>15</v>
      </c>
      <c r="AK791">
        <v>-76.642165000000006</v>
      </c>
      <c r="AL791">
        <v>3.349681667</v>
      </c>
      <c r="AM791">
        <v>10</v>
      </c>
      <c r="AN791">
        <v>0</v>
      </c>
      <c r="AO791">
        <v>17</v>
      </c>
      <c r="AP791" t="s">
        <v>441</v>
      </c>
      <c r="AQ791" t="s">
        <v>443</v>
      </c>
    </row>
    <row r="792" spans="1:43" x14ac:dyDescent="0.2">
      <c r="A792">
        <v>2021</v>
      </c>
      <c r="B792" t="s">
        <v>10</v>
      </c>
      <c r="C792" t="s">
        <v>13</v>
      </c>
      <c r="D792" t="s">
        <v>464</v>
      </c>
      <c r="E792" t="s">
        <v>127</v>
      </c>
      <c r="F792" s="8">
        <v>44490</v>
      </c>
      <c r="G792" s="5">
        <v>0.82618055555555558</v>
      </c>
      <c r="H792">
        <v>-76.642523330000003</v>
      </c>
      <c r="I792">
        <v>3.349373333</v>
      </c>
      <c r="J792">
        <v>6</v>
      </c>
      <c r="K792" t="s">
        <v>112</v>
      </c>
      <c r="L792" t="s">
        <v>488</v>
      </c>
      <c r="M792">
        <v>2324</v>
      </c>
      <c r="N792" t="b">
        <v>1</v>
      </c>
      <c r="P792">
        <f t="shared" si="9"/>
        <v>9</v>
      </c>
      <c r="Q792">
        <f t="shared" si="10"/>
        <v>0</v>
      </c>
      <c r="R792">
        <f t="shared" si="11"/>
        <v>17.5</v>
      </c>
      <c r="S792" t="s">
        <v>442</v>
      </c>
      <c r="T792" t="s">
        <v>258</v>
      </c>
      <c r="V792" t="s">
        <v>9</v>
      </c>
      <c r="X792">
        <v>1</v>
      </c>
      <c r="AF792">
        <v>-76.642433330000003</v>
      </c>
      <c r="AG792">
        <v>3.3494766669999998</v>
      </c>
      <c r="AH792">
        <v>25</v>
      </c>
      <c r="AI792">
        <v>0</v>
      </c>
      <c r="AJ792">
        <v>8</v>
      </c>
      <c r="AK792">
        <v>-76.642838330000004</v>
      </c>
      <c r="AL792">
        <v>3.3490483329999998</v>
      </c>
      <c r="AM792">
        <v>10</v>
      </c>
      <c r="AN792">
        <v>0</v>
      </c>
      <c r="AO792">
        <v>10</v>
      </c>
      <c r="AP792" t="s">
        <v>467</v>
      </c>
      <c r="AQ792" t="s">
        <v>443</v>
      </c>
    </row>
    <row r="793" spans="1:43" x14ac:dyDescent="0.2">
      <c r="A793">
        <v>2021</v>
      </c>
      <c r="B793" t="s">
        <v>10</v>
      </c>
      <c r="C793" t="s">
        <v>13</v>
      </c>
      <c r="D793" t="s">
        <v>464</v>
      </c>
      <c r="E793" t="s">
        <v>127</v>
      </c>
      <c r="F793" s="8">
        <v>44490</v>
      </c>
      <c r="G793" s="5">
        <v>0.8300925925925926</v>
      </c>
      <c r="H793">
        <v>-76.642473330000001</v>
      </c>
      <c r="I793">
        <v>3.3491616670000002</v>
      </c>
      <c r="J793">
        <v>6</v>
      </c>
      <c r="K793" t="s">
        <v>119</v>
      </c>
      <c r="L793" t="s">
        <v>488</v>
      </c>
      <c r="M793">
        <v>2334</v>
      </c>
      <c r="N793" t="b">
        <v>1</v>
      </c>
      <c r="P793">
        <f t="shared" si="9"/>
        <v>9</v>
      </c>
      <c r="Q793">
        <f t="shared" si="10"/>
        <v>0</v>
      </c>
      <c r="R793">
        <f t="shared" si="11"/>
        <v>17.5</v>
      </c>
      <c r="S793" t="s">
        <v>442</v>
      </c>
      <c r="T793" t="s">
        <v>258</v>
      </c>
      <c r="V793" t="s">
        <v>9</v>
      </c>
      <c r="X793">
        <v>1</v>
      </c>
      <c r="AF793">
        <v>-76.642433330000003</v>
      </c>
      <c r="AG793">
        <v>3.3494766669999998</v>
      </c>
      <c r="AH793">
        <v>25</v>
      </c>
      <c r="AI793">
        <v>0</v>
      </c>
      <c r="AJ793">
        <v>8</v>
      </c>
      <c r="AK793">
        <v>-76.642838330000004</v>
      </c>
      <c r="AL793">
        <v>3.3490483329999998</v>
      </c>
      <c r="AM793">
        <v>10</v>
      </c>
      <c r="AN793">
        <v>0</v>
      </c>
      <c r="AO793">
        <v>10</v>
      </c>
      <c r="AP793" t="s">
        <v>441</v>
      </c>
      <c r="AQ793" t="s">
        <v>443</v>
      </c>
    </row>
    <row r="794" spans="1:43" x14ac:dyDescent="0.2">
      <c r="A794">
        <v>2021</v>
      </c>
      <c r="B794" t="s">
        <v>10</v>
      </c>
      <c r="C794" t="s">
        <v>69</v>
      </c>
      <c r="D794" t="s">
        <v>465</v>
      </c>
      <c r="E794" t="s">
        <v>122</v>
      </c>
      <c r="F794" s="8">
        <v>44490</v>
      </c>
      <c r="G794" s="5">
        <v>0.79200231481481487</v>
      </c>
      <c r="H794">
        <v>-76.64076</v>
      </c>
      <c r="I794">
        <v>3.3500700000000001</v>
      </c>
      <c r="J794">
        <v>6</v>
      </c>
      <c r="K794" t="s">
        <v>119</v>
      </c>
      <c r="L794" t="s">
        <v>113</v>
      </c>
      <c r="M794">
        <v>2339</v>
      </c>
      <c r="N794" t="b">
        <v>1</v>
      </c>
      <c r="P794">
        <f t="shared" si="9"/>
        <v>11.5</v>
      </c>
      <c r="Q794">
        <f t="shared" si="10"/>
        <v>0</v>
      </c>
      <c r="R794">
        <f t="shared" si="11"/>
        <v>17.5</v>
      </c>
      <c r="S794" t="s">
        <v>442</v>
      </c>
      <c r="T794" t="s">
        <v>258</v>
      </c>
      <c r="V794" t="s">
        <v>9</v>
      </c>
      <c r="X794">
        <v>1</v>
      </c>
      <c r="AD794" t="s">
        <v>512</v>
      </c>
      <c r="AF794">
        <v>-76.640358329999998</v>
      </c>
      <c r="AG794">
        <v>3.3503383329999998</v>
      </c>
      <c r="AH794">
        <v>20</v>
      </c>
      <c r="AI794">
        <v>0</v>
      </c>
      <c r="AJ794">
        <v>8</v>
      </c>
      <c r="AK794">
        <v>-76.641093330000004</v>
      </c>
      <c r="AL794">
        <v>3.3498766670000002</v>
      </c>
      <c r="AM794">
        <v>15</v>
      </c>
      <c r="AN794">
        <v>0</v>
      </c>
      <c r="AO794">
        <v>15</v>
      </c>
      <c r="AP794" t="s">
        <v>441</v>
      </c>
      <c r="AQ794" t="s">
        <v>443</v>
      </c>
    </row>
    <row r="795" spans="1:43" x14ac:dyDescent="0.2">
      <c r="A795">
        <v>2021</v>
      </c>
      <c r="B795" t="s">
        <v>10</v>
      </c>
      <c r="C795" t="s">
        <v>14</v>
      </c>
      <c r="D795" t="s">
        <v>324</v>
      </c>
      <c r="E795" t="s">
        <v>127</v>
      </c>
      <c r="F795" s="8">
        <v>44490</v>
      </c>
      <c r="G795" s="5">
        <v>0.92461805555555554</v>
      </c>
      <c r="H795">
        <v>-76.646711670000002</v>
      </c>
      <c r="I795">
        <v>3.3497650000000001</v>
      </c>
      <c r="J795">
        <v>6</v>
      </c>
      <c r="M795">
        <v>2403</v>
      </c>
      <c r="P795">
        <f t="shared" si="9"/>
        <v>2.5</v>
      </c>
      <c r="Q795">
        <f t="shared" si="10"/>
        <v>0</v>
      </c>
      <c r="R795">
        <f t="shared" si="11"/>
        <v>7.5</v>
      </c>
      <c r="V795" t="s">
        <v>47</v>
      </c>
      <c r="X795">
        <v>0</v>
      </c>
      <c r="AD795" t="s">
        <v>513</v>
      </c>
      <c r="AF795">
        <v>-76.645799999999994</v>
      </c>
      <c r="AG795">
        <v>3.3495983329999999</v>
      </c>
      <c r="AH795">
        <v>10</v>
      </c>
      <c r="AI795">
        <v>0</v>
      </c>
      <c r="AJ795">
        <v>2</v>
      </c>
      <c r="AK795">
        <v>-76.646711670000002</v>
      </c>
      <c r="AL795">
        <v>3.3497650000000001</v>
      </c>
      <c r="AM795">
        <v>5</v>
      </c>
      <c r="AN795">
        <v>0</v>
      </c>
      <c r="AO795">
        <v>3</v>
      </c>
    </row>
    <row r="796" spans="1:43" x14ac:dyDescent="0.2">
      <c r="A796">
        <v>2021</v>
      </c>
      <c r="B796" t="s">
        <v>10</v>
      </c>
      <c r="C796" t="s">
        <v>69</v>
      </c>
      <c r="D796" t="s">
        <v>466</v>
      </c>
      <c r="E796" t="s">
        <v>127</v>
      </c>
      <c r="F796" s="8">
        <v>44490</v>
      </c>
      <c r="G796" s="5">
        <v>0.77702546296296293</v>
      </c>
      <c r="H796">
        <v>-76.639696670000006</v>
      </c>
      <c r="I796">
        <v>3.3507766669999999</v>
      </c>
      <c r="J796">
        <v>6</v>
      </c>
      <c r="K796" t="s">
        <v>119</v>
      </c>
      <c r="L796" t="s">
        <v>113</v>
      </c>
      <c r="M796">
        <v>2349</v>
      </c>
      <c r="N796" t="b">
        <v>1</v>
      </c>
      <c r="P796">
        <f t="shared" ref="P796:P806" si="12">AVERAGE(AJ796,AO796)</f>
        <v>13.5</v>
      </c>
      <c r="Q796">
        <f t="shared" ref="Q796:Q806" si="13">AVERAGE(AI796,AN796)</f>
        <v>0</v>
      </c>
      <c r="R796">
        <f t="shared" ref="R796:R806" si="14">AVERAGE(AH796,AM796)</f>
        <v>10</v>
      </c>
      <c r="S796" t="s">
        <v>442</v>
      </c>
      <c r="T796" t="s">
        <v>258</v>
      </c>
      <c r="U796" t="s">
        <v>485</v>
      </c>
      <c r="V796" t="s">
        <v>36</v>
      </c>
      <c r="X796">
        <v>1</v>
      </c>
      <c r="AF796">
        <v>-76.639368329999996</v>
      </c>
      <c r="AG796">
        <v>3.3508783329999998</v>
      </c>
      <c r="AH796">
        <v>15</v>
      </c>
      <c r="AI796">
        <v>0</v>
      </c>
      <c r="AJ796">
        <v>15</v>
      </c>
      <c r="AK796">
        <v>-76.640253329999993</v>
      </c>
      <c r="AL796">
        <v>3.3506100000000001</v>
      </c>
      <c r="AM796">
        <v>5</v>
      </c>
      <c r="AN796">
        <v>0</v>
      </c>
      <c r="AO796">
        <v>12</v>
      </c>
      <c r="AP796" t="s">
        <v>441</v>
      </c>
      <c r="AQ796" t="s">
        <v>443</v>
      </c>
    </row>
    <row r="797" spans="1:43" x14ac:dyDescent="0.2">
      <c r="A797">
        <v>2021</v>
      </c>
      <c r="B797" t="s">
        <v>10</v>
      </c>
      <c r="C797" t="s">
        <v>69</v>
      </c>
      <c r="D797" t="s">
        <v>466</v>
      </c>
      <c r="E797" t="s">
        <v>127</v>
      </c>
      <c r="F797" s="8">
        <v>44490</v>
      </c>
      <c r="G797" s="5">
        <v>0.78506944444444449</v>
      </c>
      <c r="H797">
        <v>-76.640253329999993</v>
      </c>
      <c r="I797">
        <v>3.3506100000000001</v>
      </c>
      <c r="J797">
        <v>6</v>
      </c>
      <c r="K797" t="s">
        <v>112</v>
      </c>
      <c r="L797" t="s">
        <v>488</v>
      </c>
      <c r="M797">
        <v>2340</v>
      </c>
      <c r="N797" t="b">
        <v>1</v>
      </c>
      <c r="P797">
        <f t="shared" si="12"/>
        <v>13.5</v>
      </c>
      <c r="Q797">
        <f t="shared" si="13"/>
        <v>0</v>
      </c>
      <c r="R797">
        <f t="shared" si="14"/>
        <v>10</v>
      </c>
      <c r="S797" t="s">
        <v>442</v>
      </c>
      <c r="T797" t="s">
        <v>258</v>
      </c>
      <c r="V797" t="s">
        <v>9</v>
      </c>
      <c r="X797">
        <v>1</v>
      </c>
      <c r="AF797">
        <v>-76.639368329999996</v>
      </c>
      <c r="AG797">
        <v>3.3508783329999998</v>
      </c>
      <c r="AH797">
        <v>15</v>
      </c>
      <c r="AI797">
        <v>0</v>
      </c>
      <c r="AJ797">
        <v>15</v>
      </c>
      <c r="AK797">
        <v>-76.640253329999993</v>
      </c>
      <c r="AL797">
        <v>3.3506100000000001</v>
      </c>
      <c r="AM797">
        <v>5</v>
      </c>
      <c r="AN797">
        <v>0</v>
      </c>
      <c r="AO797">
        <v>12</v>
      </c>
      <c r="AP797" t="s">
        <v>441</v>
      </c>
      <c r="AQ797" t="s">
        <v>443</v>
      </c>
    </row>
    <row r="798" spans="1:43" x14ac:dyDescent="0.2">
      <c r="A798">
        <v>2021</v>
      </c>
      <c r="B798" t="s">
        <v>10</v>
      </c>
      <c r="C798" t="s">
        <v>69</v>
      </c>
      <c r="D798" t="s">
        <v>466</v>
      </c>
      <c r="E798" t="s">
        <v>127</v>
      </c>
      <c r="F798" s="8">
        <v>44490</v>
      </c>
      <c r="G798" s="5">
        <v>0.7740393518518518</v>
      </c>
      <c r="H798">
        <v>-76.639403329999993</v>
      </c>
      <c r="I798">
        <v>3.3507799999999999</v>
      </c>
      <c r="J798">
        <v>6</v>
      </c>
      <c r="K798" t="s">
        <v>119</v>
      </c>
      <c r="L798" t="s">
        <v>113</v>
      </c>
      <c r="M798">
        <v>2346</v>
      </c>
      <c r="N798" t="b">
        <v>1</v>
      </c>
      <c r="P798">
        <f t="shared" si="12"/>
        <v>13.5</v>
      </c>
      <c r="Q798">
        <f t="shared" si="13"/>
        <v>0</v>
      </c>
      <c r="R798">
        <f t="shared" si="14"/>
        <v>10</v>
      </c>
      <c r="S798" t="s">
        <v>442</v>
      </c>
      <c r="T798" t="s">
        <v>258</v>
      </c>
      <c r="V798" t="s">
        <v>9</v>
      </c>
      <c r="W798" t="s">
        <v>436</v>
      </c>
      <c r="X798">
        <v>1</v>
      </c>
      <c r="AD798" t="s">
        <v>514</v>
      </c>
      <c r="AF798">
        <v>-76.639368329999996</v>
      </c>
      <c r="AG798">
        <v>3.3508783329999998</v>
      </c>
      <c r="AH798">
        <v>15</v>
      </c>
      <c r="AI798">
        <v>0</v>
      </c>
      <c r="AJ798">
        <v>15</v>
      </c>
      <c r="AK798">
        <v>-76.640253329999993</v>
      </c>
      <c r="AL798">
        <v>3.3506100000000001</v>
      </c>
      <c r="AM798">
        <v>5</v>
      </c>
      <c r="AN798">
        <v>0</v>
      </c>
      <c r="AO798">
        <v>12</v>
      </c>
      <c r="AP798" t="s">
        <v>441</v>
      </c>
      <c r="AQ798" t="s">
        <v>443</v>
      </c>
    </row>
    <row r="799" spans="1:43" x14ac:dyDescent="0.2">
      <c r="A799">
        <v>2021</v>
      </c>
      <c r="B799" t="s">
        <v>10</v>
      </c>
      <c r="C799" t="s">
        <v>14</v>
      </c>
      <c r="D799" t="s">
        <v>225</v>
      </c>
      <c r="E799" t="s">
        <v>135</v>
      </c>
      <c r="F799" s="8">
        <v>44490</v>
      </c>
      <c r="G799" s="5">
        <v>0.91521990740740744</v>
      </c>
      <c r="H799">
        <v>-76.645433330000003</v>
      </c>
      <c r="I799">
        <v>3.349675</v>
      </c>
      <c r="J799">
        <v>6</v>
      </c>
      <c r="K799" t="s">
        <v>119</v>
      </c>
      <c r="L799" t="s">
        <v>113</v>
      </c>
      <c r="M799">
        <v>2435</v>
      </c>
      <c r="N799" t="b">
        <v>1</v>
      </c>
      <c r="P799">
        <f t="shared" si="12"/>
        <v>4.5</v>
      </c>
      <c r="Q799">
        <f t="shared" si="13"/>
        <v>0</v>
      </c>
      <c r="R799">
        <f t="shared" si="14"/>
        <v>7</v>
      </c>
      <c r="S799" t="s">
        <v>442</v>
      </c>
      <c r="T799" t="s">
        <v>201</v>
      </c>
      <c r="V799" t="s">
        <v>40</v>
      </c>
      <c r="X799">
        <v>1</v>
      </c>
      <c r="AD799" t="s">
        <v>513</v>
      </c>
      <c r="AF799">
        <v>-76.644673330000003</v>
      </c>
      <c r="AG799">
        <v>3.3496600000000001</v>
      </c>
      <c r="AH799">
        <v>7</v>
      </c>
      <c r="AI799">
        <v>0</v>
      </c>
      <c r="AJ799">
        <v>6</v>
      </c>
      <c r="AK799">
        <v>-76.645433330000003</v>
      </c>
      <c r="AL799">
        <v>3.349675</v>
      </c>
      <c r="AM799">
        <v>7</v>
      </c>
      <c r="AN799">
        <v>0</v>
      </c>
      <c r="AO799">
        <v>3</v>
      </c>
      <c r="AP799" t="s">
        <v>441</v>
      </c>
      <c r="AQ799" t="s">
        <v>244</v>
      </c>
    </row>
    <row r="800" spans="1:43" x14ac:dyDescent="0.2">
      <c r="A800">
        <v>2021</v>
      </c>
      <c r="B800" t="s">
        <v>10</v>
      </c>
      <c r="C800" t="s">
        <v>13</v>
      </c>
      <c r="D800" t="s">
        <v>177</v>
      </c>
      <c r="E800" t="s">
        <v>111</v>
      </c>
      <c r="F800" s="8">
        <v>44490</v>
      </c>
      <c r="G800" s="5">
        <v>0.90069444444444446</v>
      </c>
      <c r="H800">
        <v>-76.643691669999995</v>
      </c>
      <c r="I800">
        <v>3.3495599999999999</v>
      </c>
      <c r="J800">
        <v>6</v>
      </c>
      <c r="K800" t="s">
        <v>119</v>
      </c>
      <c r="L800" t="s">
        <v>113</v>
      </c>
      <c r="M800">
        <v>2447</v>
      </c>
      <c r="N800" t="b">
        <v>1</v>
      </c>
      <c r="P800">
        <f t="shared" si="12"/>
        <v>13.5</v>
      </c>
      <c r="Q800">
        <f t="shared" si="13"/>
        <v>0</v>
      </c>
      <c r="R800">
        <f t="shared" si="14"/>
        <v>11</v>
      </c>
      <c r="S800" t="s">
        <v>442</v>
      </c>
      <c r="T800" t="s">
        <v>258</v>
      </c>
      <c r="V800" t="s">
        <v>9</v>
      </c>
      <c r="X800">
        <v>1</v>
      </c>
      <c r="AD800" t="s">
        <v>492</v>
      </c>
      <c r="AF800">
        <v>-76.643535</v>
      </c>
      <c r="AG800">
        <v>3.3494816670000001</v>
      </c>
      <c r="AH800">
        <v>15</v>
      </c>
      <c r="AI800">
        <v>0</v>
      </c>
      <c r="AJ800">
        <v>15</v>
      </c>
      <c r="AK800">
        <v>-76.644324999999995</v>
      </c>
      <c r="AL800">
        <v>3.3495400000000002</v>
      </c>
      <c r="AM800">
        <v>7</v>
      </c>
      <c r="AN800">
        <v>0</v>
      </c>
      <c r="AO800">
        <v>12</v>
      </c>
      <c r="AP800" t="s">
        <v>441</v>
      </c>
      <c r="AQ800" t="s">
        <v>443</v>
      </c>
    </row>
    <row r="801" spans="1:44" x14ac:dyDescent="0.2">
      <c r="A801">
        <v>2021</v>
      </c>
      <c r="B801" t="s">
        <v>10</v>
      </c>
      <c r="C801" t="s">
        <v>13</v>
      </c>
      <c r="D801" t="s">
        <v>177</v>
      </c>
      <c r="E801" t="s">
        <v>111</v>
      </c>
      <c r="F801" s="8">
        <v>44490</v>
      </c>
      <c r="G801" s="5">
        <v>0.88982638888888888</v>
      </c>
      <c r="H801">
        <v>-76.643649999999994</v>
      </c>
      <c r="I801">
        <v>3.3494833329999998</v>
      </c>
      <c r="J801">
        <v>6</v>
      </c>
      <c r="K801" t="s">
        <v>119</v>
      </c>
      <c r="L801" t="s">
        <v>113</v>
      </c>
      <c r="M801">
        <v>2444</v>
      </c>
      <c r="N801" t="b">
        <v>1</v>
      </c>
      <c r="P801">
        <f t="shared" si="12"/>
        <v>13.5</v>
      </c>
      <c r="Q801">
        <f t="shared" si="13"/>
        <v>0</v>
      </c>
      <c r="R801">
        <f t="shared" si="14"/>
        <v>11</v>
      </c>
      <c r="S801" t="s">
        <v>442</v>
      </c>
      <c r="T801" t="s">
        <v>258</v>
      </c>
      <c r="V801" t="s">
        <v>2</v>
      </c>
      <c r="X801">
        <v>1</v>
      </c>
      <c r="AF801">
        <v>-76.643535</v>
      </c>
      <c r="AG801">
        <v>3.3494816670000001</v>
      </c>
      <c r="AH801">
        <v>15</v>
      </c>
      <c r="AI801">
        <v>0</v>
      </c>
      <c r="AJ801">
        <v>15</v>
      </c>
      <c r="AK801">
        <v>-76.644324999999995</v>
      </c>
      <c r="AL801">
        <v>3.3495400000000002</v>
      </c>
      <c r="AM801">
        <v>7</v>
      </c>
      <c r="AN801">
        <v>0</v>
      </c>
      <c r="AO801">
        <v>12</v>
      </c>
      <c r="AP801" t="s">
        <v>441</v>
      </c>
      <c r="AQ801" t="s">
        <v>443</v>
      </c>
    </row>
    <row r="802" spans="1:44" x14ac:dyDescent="0.2">
      <c r="A802">
        <v>2021</v>
      </c>
      <c r="B802" t="s">
        <v>10</v>
      </c>
      <c r="C802" t="s">
        <v>13</v>
      </c>
      <c r="D802" t="s">
        <v>177</v>
      </c>
      <c r="E802" t="s">
        <v>111</v>
      </c>
      <c r="F802" s="8">
        <v>44490</v>
      </c>
      <c r="G802" s="5">
        <v>0.88982638888888888</v>
      </c>
      <c r="H802">
        <v>-76.643649999999994</v>
      </c>
      <c r="I802">
        <v>3.3494833329999998</v>
      </c>
      <c r="J802">
        <v>6</v>
      </c>
      <c r="K802" t="s">
        <v>119</v>
      </c>
      <c r="L802" t="s">
        <v>113</v>
      </c>
      <c r="M802">
        <v>2444</v>
      </c>
      <c r="N802" t="b">
        <v>1</v>
      </c>
      <c r="P802">
        <f t="shared" si="12"/>
        <v>13.5</v>
      </c>
      <c r="Q802">
        <f t="shared" si="13"/>
        <v>0</v>
      </c>
      <c r="R802">
        <f t="shared" si="14"/>
        <v>11</v>
      </c>
      <c r="S802" t="s">
        <v>442</v>
      </c>
      <c r="T802" t="s">
        <v>258</v>
      </c>
      <c r="U802" t="s">
        <v>485</v>
      </c>
      <c r="V802" t="s">
        <v>36</v>
      </c>
      <c r="X802">
        <v>1</v>
      </c>
      <c r="AF802">
        <v>-76.643535</v>
      </c>
      <c r="AG802">
        <v>3.3494816670000001</v>
      </c>
      <c r="AH802">
        <v>15</v>
      </c>
      <c r="AI802">
        <v>0</v>
      </c>
      <c r="AJ802">
        <v>15</v>
      </c>
      <c r="AK802">
        <v>-76.644324999999995</v>
      </c>
      <c r="AL802">
        <v>3.3495400000000002</v>
      </c>
      <c r="AM802">
        <v>7</v>
      </c>
      <c r="AN802">
        <v>0</v>
      </c>
      <c r="AO802">
        <v>12</v>
      </c>
      <c r="AP802" t="s">
        <v>467</v>
      </c>
      <c r="AQ802" t="s">
        <v>443</v>
      </c>
    </row>
    <row r="803" spans="1:44" x14ac:dyDescent="0.2">
      <c r="A803">
        <v>2021</v>
      </c>
      <c r="B803" t="s">
        <v>10</v>
      </c>
      <c r="C803" t="s">
        <v>13</v>
      </c>
      <c r="D803" t="s">
        <v>177</v>
      </c>
      <c r="E803" t="s">
        <v>111</v>
      </c>
      <c r="F803" s="8">
        <v>44490</v>
      </c>
      <c r="G803" s="5">
        <v>0.89835648148148151</v>
      </c>
      <c r="H803">
        <v>-76.643743330000007</v>
      </c>
      <c r="I803">
        <v>3.3496266669999999</v>
      </c>
      <c r="J803">
        <v>6</v>
      </c>
      <c r="K803" t="s">
        <v>112</v>
      </c>
      <c r="L803" t="s">
        <v>488</v>
      </c>
      <c r="M803">
        <v>2446</v>
      </c>
      <c r="N803" t="b">
        <v>1</v>
      </c>
      <c r="P803">
        <f t="shared" si="12"/>
        <v>13.5</v>
      </c>
      <c r="Q803">
        <f t="shared" si="13"/>
        <v>0</v>
      </c>
      <c r="R803">
        <f t="shared" si="14"/>
        <v>11</v>
      </c>
      <c r="S803" t="s">
        <v>442</v>
      </c>
      <c r="T803" t="s">
        <v>258</v>
      </c>
      <c r="V803" t="s">
        <v>9</v>
      </c>
      <c r="X803">
        <v>1</v>
      </c>
      <c r="AF803">
        <v>-76.643535</v>
      </c>
      <c r="AG803">
        <v>3.3494816670000001</v>
      </c>
      <c r="AH803">
        <v>15</v>
      </c>
      <c r="AI803">
        <v>0</v>
      </c>
      <c r="AJ803">
        <v>15</v>
      </c>
      <c r="AK803">
        <v>-76.644324999999995</v>
      </c>
      <c r="AL803">
        <v>3.3495400000000002</v>
      </c>
      <c r="AM803">
        <v>7</v>
      </c>
      <c r="AN803">
        <v>0</v>
      </c>
      <c r="AO803">
        <v>12</v>
      </c>
      <c r="AP803" t="s">
        <v>441</v>
      </c>
      <c r="AQ803" t="s">
        <v>443</v>
      </c>
    </row>
    <row r="804" spans="1:44" x14ac:dyDescent="0.2">
      <c r="A804">
        <v>2021</v>
      </c>
      <c r="B804" t="s">
        <v>10</v>
      </c>
      <c r="C804" t="s">
        <v>14</v>
      </c>
      <c r="D804" t="s">
        <v>180</v>
      </c>
      <c r="E804" t="s">
        <v>122</v>
      </c>
      <c r="F804" s="8">
        <v>44488</v>
      </c>
      <c r="G804" s="5">
        <v>0.83791666666666664</v>
      </c>
      <c r="H804">
        <v>-76.647133330000003</v>
      </c>
      <c r="I804">
        <v>3.3495750000000002</v>
      </c>
      <c r="J804">
        <v>6</v>
      </c>
      <c r="K804" t="s">
        <v>119</v>
      </c>
      <c r="L804" t="s">
        <v>113</v>
      </c>
      <c r="M804">
        <v>2394</v>
      </c>
      <c r="O804" t="b">
        <v>1</v>
      </c>
      <c r="P804">
        <f t="shared" si="12"/>
        <v>5.5</v>
      </c>
      <c r="Q804">
        <f t="shared" si="13"/>
        <v>0.2</v>
      </c>
      <c r="R804">
        <f t="shared" si="14"/>
        <v>10</v>
      </c>
      <c r="S804" t="s">
        <v>442</v>
      </c>
      <c r="T804" t="s">
        <v>447</v>
      </c>
      <c r="U804" t="s">
        <v>445</v>
      </c>
      <c r="V804" t="s">
        <v>7</v>
      </c>
      <c r="X804">
        <v>1</v>
      </c>
      <c r="AD804" t="s">
        <v>515</v>
      </c>
      <c r="AE804" t="s">
        <v>469</v>
      </c>
      <c r="AF804">
        <v>-76.647313330000003</v>
      </c>
      <c r="AG804">
        <v>3.3498766670000002</v>
      </c>
      <c r="AH804">
        <v>10</v>
      </c>
      <c r="AI804">
        <v>0</v>
      </c>
      <c r="AJ804">
        <v>5</v>
      </c>
      <c r="AK804">
        <v>-76.647035000000002</v>
      </c>
      <c r="AL804">
        <v>3.3490000000000002</v>
      </c>
      <c r="AM804">
        <v>10</v>
      </c>
      <c r="AN804">
        <v>0.4</v>
      </c>
      <c r="AO804">
        <v>6</v>
      </c>
      <c r="AP804" t="s">
        <v>441</v>
      </c>
      <c r="AQ804" t="s">
        <v>443</v>
      </c>
    </row>
    <row r="805" spans="1:44" x14ac:dyDescent="0.2">
      <c r="A805">
        <v>2021</v>
      </c>
      <c r="B805" t="s">
        <v>10</v>
      </c>
      <c r="C805" t="s">
        <v>14</v>
      </c>
      <c r="D805" t="s">
        <v>180</v>
      </c>
      <c r="E805" t="s">
        <v>122</v>
      </c>
      <c r="F805" s="8">
        <v>44488</v>
      </c>
      <c r="G805" s="5">
        <v>0.83791666666666664</v>
      </c>
      <c r="H805">
        <v>-76.647133330000003</v>
      </c>
      <c r="I805">
        <v>3.3495750000000002</v>
      </c>
      <c r="J805">
        <v>6</v>
      </c>
      <c r="K805" t="s">
        <v>112</v>
      </c>
      <c r="L805" t="s">
        <v>113</v>
      </c>
      <c r="M805">
        <v>2394</v>
      </c>
      <c r="O805" t="b">
        <v>1</v>
      </c>
      <c r="P805">
        <f t="shared" si="12"/>
        <v>5.5</v>
      </c>
      <c r="Q805">
        <f t="shared" si="13"/>
        <v>0.2</v>
      </c>
      <c r="R805">
        <f t="shared" si="14"/>
        <v>10</v>
      </c>
      <c r="S805" t="s">
        <v>442</v>
      </c>
      <c r="T805" t="s">
        <v>447</v>
      </c>
      <c r="U805" t="s">
        <v>446</v>
      </c>
      <c r="V805" t="s">
        <v>40</v>
      </c>
      <c r="X805">
        <v>1</v>
      </c>
      <c r="AF805">
        <v>-76.647313330000003</v>
      </c>
      <c r="AG805">
        <v>3.3498766670000002</v>
      </c>
      <c r="AH805">
        <v>10</v>
      </c>
      <c r="AI805">
        <v>0</v>
      </c>
      <c r="AJ805">
        <v>5</v>
      </c>
      <c r="AK805">
        <v>-76.647035000000002</v>
      </c>
      <c r="AL805">
        <v>3.3490000000000002</v>
      </c>
      <c r="AM805">
        <v>10</v>
      </c>
      <c r="AN805">
        <v>0.4</v>
      </c>
      <c r="AO805">
        <v>6</v>
      </c>
      <c r="AP805" t="s">
        <v>441</v>
      </c>
      <c r="AQ805" t="s">
        <v>443</v>
      </c>
    </row>
    <row r="806" spans="1:44" x14ac:dyDescent="0.2">
      <c r="A806">
        <v>2021</v>
      </c>
      <c r="B806" t="s">
        <v>10</v>
      </c>
      <c r="C806" t="s">
        <v>14</v>
      </c>
      <c r="D806" t="s">
        <v>226</v>
      </c>
      <c r="E806" t="s">
        <v>111</v>
      </c>
      <c r="F806" s="8">
        <v>44488</v>
      </c>
      <c r="G806" s="5">
        <v>0.87254629629629632</v>
      </c>
      <c r="H806">
        <v>-76.647544999999994</v>
      </c>
      <c r="I806">
        <v>3.3481666670000001</v>
      </c>
      <c r="J806">
        <v>6</v>
      </c>
      <c r="P806">
        <f t="shared" si="12"/>
        <v>5.5</v>
      </c>
      <c r="Q806">
        <f t="shared" si="13"/>
        <v>0.5</v>
      </c>
      <c r="R806">
        <f t="shared" si="14"/>
        <v>17.5</v>
      </c>
      <c r="V806" t="s">
        <v>47</v>
      </c>
      <c r="X806">
        <v>0</v>
      </c>
      <c r="AD806" t="s">
        <v>495</v>
      </c>
      <c r="AE806" t="s">
        <v>516</v>
      </c>
      <c r="AF806">
        <v>-76.647046669999995</v>
      </c>
      <c r="AG806">
        <v>3.3489616670000002</v>
      </c>
      <c r="AH806">
        <v>20</v>
      </c>
      <c r="AI806">
        <v>0.4</v>
      </c>
      <c r="AJ806">
        <v>6</v>
      </c>
      <c r="AK806">
        <v>-76.647544999999994</v>
      </c>
      <c r="AL806">
        <v>3.3481666670000001</v>
      </c>
      <c r="AM806">
        <v>15</v>
      </c>
      <c r="AN806">
        <v>0.6</v>
      </c>
      <c r="AO806">
        <v>5</v>
      </c>
    </row>
    <row r="807" spans="1:44" x14ac:dyDescent="0.2">
      <c r="A807">
        <v>2022</v>
      </c>
      <c r="B807" t="s">
        <v>49</v>
      </c>
      <c r="C807" t="s">
        <v>50</v>
      </c>
      <c r="D807" t="s">
        <v>243</v>
      </c>
      <c r="E807" t="s">
        <v>135</v>
      </c>
      <c r="F807" s="9">
        <v>44908</v>
      </c>
      <c r="G807" s="5">
        <v>0.70988425925925924</v>
      </c>
      <c r="H807">
        <v>-76.880313330000007</v>
      </c>
      <c r="I807">
        <v>3.5793683330000001</v>
      </c>
      <c r="J807">
        <v>7</v>
      </c>
      <c r="K807" t="s">
        <v>112</v>
      </c>
      <c r="L807" t="s">
        <v>517</v>
      </c>
      <c r="M807">
        <v>630</v>
      </c>
      <c r="N807" t="b">
        <v>1</v>
      </c>
      <c r="P807">
        <f>AVERAGE(AJ807,AO807)</f>
        <v>19</v>
      </c>
      <c r="Q807">
        <f>AVERAGE(AI807,AN807)</f>
        <v>0</v>
      </c>
      <c r="R807">
        <f>AVERAGE(AH807,AM807)</f>
        <v>20</v>
      </c>
      <c r="S807" t="s">
        <v>518</v>
      </c>
      <c r="T807" t="s">
        <v>258</v>
      </c>
      <c r="V807" t="s">
        <v>71</v>
      </c>
      <c r="X807">
        <v>1</v>
      </c>
      <c r="AF807">
        <v>-76.880468329999999</v>
      </c>
      <c r="AG807">
        <v>3.5789650000000002</v>
      </c>
      <c r="AH807">
        <v>30</v>
      </c>
      <c r="AI807">
        <v>0</v>
      </c>
      <c r="AJ807">
        <v>20</v>
      </c>
      <c r="AK807">
        <v>-76.880390000000006</v>
      </c>
      <c r="AL807">
        <v>3.57965</v>
      </c>
      <c r="AM807">
        <v>10</v>
      </c>
      <c r="AN807">
        <v>0</v>
      </c>
      <c r="AO807">
        <v>18</v>
      </c>
      <c r="AP807" t="s">
        <v>450</v>
      </c>
      <c r="AQ807" t="s">
        <v>244</v>
      </c>
      <c r="AR807" t="s">
        <v>519</v>
      </c>
    </row>
    <row r="808" spans="1:44" x14ac:dyDescent="0.2">
      <c r="A808">
        <v>2022</v>
      </c>
      <c r="B808" t="s">
        <v>49</v>
      </c>
      <c r="C808" t="s">
        <v>50</v>
      </c>
      <c r="D808" t="s">
        <v>243</v>
      </c>
      <c r="E808" t="s">
        <v>135</v>
      </c>
      <c r="F808" s="9">
        <v>44908</v>
      </c>
      <c r="G808" s="5">
        <v>0.70230324074074069</v>
      </c>
      <c r="H808">
        <v>-76.880463329999998</v>
      </c>
      <c r="I808">
        <v>3.578906667</v>
      </c>
      <c r="J808">
        <v>7</v>
      </c>
      <c r="K808" t="s">
        <v>119</v>
      </c>
      <c r="L808" t="s">
        <v>520</v>
      </c>
      <c r="M808">
        <v>620</v>
      </c>
      <c r="N808" t="b">
        <v>1</v>
      </c>
      <c r="P808">
        <f t="shared" ref="P808:P871" si="15">AVERAGE(AJ808,AO808)</f>
        <v>19</v>
      </c>
      <c r="Q808">
        <f t="shared" ref="Q808:Q871" si="16">AVERAGE(AI808,AN808)</f>
        <v>0</v>
      </c>
      <c r="R808">
        <f t="shared" ref="R808:R871" si="17">AVERAGE(AH808,AM808)</f>
        <v>20</v>
      </c>
      <c r="S808" t="s">
        <v>318</v>
      </c>
      <c r="T808" t="s">
        <v>258</v>
      </c>
      <c r="V808" t="s">
        <v>71</v>
      </c>
      <c r="X808">
        <v>1</v>
      </c>
      <c r="AF808">
        <v>-76.880468329999999</v>
      </c>
      <c r="AG808">
        <v>3.5789650000000002</v>
      </c>
      <c r="AH808">
        <v>30</v>
      </c>
      <c r="AI808">
        <v>0</v>
      </c>
      <c r="AJ808">
        <v>20</v>
      </c>
      <c r="AK808">
        <v>-76.880390000000006</v>
      </c>
      <c r="AL808">
        <v>3.57965</v>
      </c>
      <c r="AM808">
        <v>10</v>
      </c>
      <c r="AN808">
        <v>0</v>
      </c>
      <c r="AO808">
        <v>18</v>
      </c>
      <c r="AP808" t="s">
        <v>450</v>
      </c>
      <c r="AQ808" t="s">
        <v>443</v>
      </c>
      <c r="AR808" t="s">
        <v>519</v>
      </c>
    </row>
    <row r="809" spans="1:44" x14ac:dyDescent="0.2">
      <c r="A809">
        <v>2022</v>
      </c>
      <c r="B809" t="s">
        <v>49</v>
      </c>
      <c r="C809" t="s">
        <v>50</v>
      </c>
      <c r="D809" t="s">
        <v>243</v>
      </c>
      <c r="E809" t="s">
        <v>135</v>
      </c>
      <c r="F809" s="9">
        <v>44908</v>
      </c>
      <c r="G809" s="5">
        <v>0.72038194444444448</v>
      </c>
      <c r="H809">
        <v>-76.880448329999993</v>
      </c>
      <c r="I809">
        <v>3.579681667</v>
      </c>
      <c r="J809">
        <v>7</v>
      </c>
      <c r="K809" t="s">
        <v>112</v>
      </c>
      <c r="L809" t="s">
        <v>113</v>
      </c>
      <c r="M809">
        <v>620</v>
      </c>
      <c r="N809" t="b">
        <v>1</v>
      </c>
      <c r="P809">
        <f t="shared" si="15"/>
        <v>19</v>
      </c>
      <c r="Q809">
        <f t="shared" si="16"/>
        <v>0</v>
      </c>
      <c r="R809">
        <f t="shared" si="17"/>
        <v>20</v>
      </c>
      <c r="S809" t="s">
        <v>318</v>
      </c>
      <c r="T809" t="s">
        <v>258</v>
      </c>
      <c r="V809" t="s">
        <v>71</v>
      </c>
      <c r="X809">
        <v>2</v>
      </c>
      <c r="AF809">
        <v>-76.880468329999999</v>
      </c>
      <c r="AG809">
        <v>3.5789650000000002</v>
      </c>
      <c r="AH809">
        <v>30</v>
      </c>
      <c r="AI809">
        <v>0</v>
      </c>
      <c r="AJ809">
        <v>20</v>
      </c>
      <c r="AK809">
        <v>-76.880390000000006</v>
      </c>
      <c r="AL809">
        <v>3.57965</v>
      </c>
      <c r="AM809">
        <v>10</v>
      </c>
      <c r="AN809">
        <v>0</v>
      </c>
      <c r="AO809">
        <v>18</v>
      </c>
      <c r="AP809" t="s">
        <v>450</v>
      </c>
      <c r="AQ809" t="s">
        <v>244</v>
      </c>
      <c r="AR809" t="s">
        <v>519</v>
      </c>
    </row>
    <row r="810" spans="1:44" x14ac:dyDescent="0.2">
      <c r="A810">
        <v>2022</v>
      </c>
      <c r="B810" t="s">
        <v>15</v>
      </c>
      <c r="C810" t="s">
        <v>17</v>
      </c>
      <c r="D810" t="s">
        <v>202</v>
      </c>
      <c r="E810" t="s">
        <v>122</v>
      </c>
      <c r="F810" s="9">
        <v>44869</v>
      </c>
      <c r="G810" s="5">
        <v>0.7996064814814815</v>
      </c>
      <c r="H810">
        <v>-76.689008329999993</v>
      </c>
      <c r="I810">
        <v>3.4076616670000002</v>
      </c>
      <c r="J810">
        <v>7</v>
      </c>
      <c r="L810" t="s">
        <v>136</v>
      </c>
      <c r="P810">
        <f t="shared" si="15"/>
        <v>6</v>
      </c>
      <c r="Q810">
        <f t="shared" si="16"/>
        <v>0</v>
      </c>
      <c r="R810">
        <f t="shared" si="17"/>
        <v>5</v>
      </c>
      <c r="V810" t="s">
        <v>47</v>
      </c>
      <c r="X810">
        <v>0</v>
      </c>
      <c r="AE810" t="s">
        <v>521</v>
      </c>
      <c r="AF810">
        <v>-76.689729999999997</v>
      </c>
      <c r="AG810">
        <v>3.407203333</v>
      </c>
      <c r="AH810">
        <v>5</v>
      </c>
      <c r="AI810">
        <v>0</v>
      </c>
      <c r="AJ810">
        <v>8</v>
      </c>
      <c r="AK810">
        <v>-76.689008329999993</v>
      </c>
      <c r="AL810">
        <v>3.4076616670000002</v>
      </c>
      <c r="AM810">
        <v>5</v>
      </c>
      <c r="AN810">
        <v>0</v>
      </c>
      <c r="AO810">
        <v>4</v>
      </c>
      <c r="AR810" t="s">
        <v>522</v>
      </c>
    </row>
    <row r="811" spans="1:44" x14ac:dyDescent="0.2">
      <c r="A811">
        <v>2022</v>
      </c>
      <c r="B811" t="s">
        <v>15</v>
      </c>
      <c r="C811" t="s">
        <v>17</v>
      </c>
      <c r="D811" t="s">
        <v>142</v>
      </c>
      <c r="E811" t="s">
        <v>111</v>
      </c>
      <c r="F811" s="9">
        <v>44869</v>
      </c>
      <c r="G811" s="5">
        <v>0.80417824074074074</v>
      </c>
      <c r="H811">
        <v>-76.688731669999996</v>
      </c>
      <c r="I811">
        <v>3.4073883330000001</v>
      </c>
      <c r="J811">
        <v>7</v>
      </c>
      <c r="K811" t="s">
        <v>119</v>
      </c>
      <c r="L811" t="s">
        <v>136</v>
      </c>
      <c r="M811">
        <v>3383</v>
      </c>
      <c r="N811" t="b">
        <v>1</v>
      </c>
      <c r="P811">
        <f t="shared" si="15"/>
        <v>6</v>
      </c>
      <c r="Q811">
        <f t="shared" si="16"/>
        <v>0</v>
      </c>
      <c r="R811">
        <f t="shared" si="17"/>
        <v>5</v>
      </c>
      <c r="S811" t="s">
        <v>442</v>
      </c>
      <c r="T811" t="s">
        <v>258</v>
      </c>
      <c r="V811" t="s">
        <v>37</v>
      </c>
      <c r="X811">
        <v>2</v>
      </c>
      <c r="AE811" t="s">
        <v>521</v>
      </c>
      <c r="AF811">
        <v>-76.688936670000004</v>
      </c>
      <c r="AG811">
        <v>3.4077216670000001</v>
      </c>
      <c r="AH811">
        <v>5</v>
      </c>
      <c r="AI811">
        <v>0</v>
      </c>
      <c r="AJ811">
        <v>4</v>
      </c>
      <c r="AK811">
        <v>-76.688393329999997</v>
      </c>
      <c r="AL811">
        <v>3.4079766669999998</v>
      </c>
      <c r="AM811">
        <v>5</v>
      </c>
      <c r="AN811">
        <v>0</v>
      </c>
      <c r="AO811">
        <v>8</v>
      </c>
      <c r="AP811" t="s">
        <v>450</v>
      </c>
      <c r="AQ811" t="s">
        <v>244</v>
      </c>
      <c r="AR811" t="s">
        <v>522</v>
      </c>
    </row>
    <row r="812" spans="1:44" x14ac:dyDescent="0.2">
      <c r="A812">
        <v>2022</v>
      </c>
      <c r="B812" t="s">
        <v>15</v>
      </c>
      <c r="C812" t="s">
        <v>17</v>
      </c>
      <c r="D812" t="s">
        <v>138</v>
      </c>
      <c r="E812" t="s">
        <v>135</v>
      </c>
      <c r="F812" s="9">
        <v>44869</v>
      </c>
      <c r="G812" s="5">
        <v>0.76616898148148149</v>
      </c>
      <c r="H812">
        <v>-76.690686670000005</v>
      </c>
      <c r="I812">
        <v>3.4061883329999998</v>
      </c>
      <c r="J812">
        <v>7</v>
      </c>
      <c r="K812" t="s">
        <v>112</v>
      </c>
      <c r="L812" t="s">
        <v>136</v>
      </c>
      <c r="M812">
        <v>3383</v>
      </c>
      <c r="N812" t="b">
        <v>1</v>
      </c>
      <c r="P812">
        <f t="shared" si="15"/>
        <v>3.5</v>
      </c>
      <c r="Q812">
        <f t="shared" si="16"/>
        <v>0</v>
      </c>
      <c r="R812">
        <f t="shared" si="17"/>
        <v>15</v>
      </c>
      <c r="S812" t="s">
        <v>442</v>
      </c>
      <c r="T812" t="s">
        <v>201</v>
      </c>
      <c r="V812" t="s">
        <v>6</v>
      </c>
      <c r="X812">
        <v>3</v>
      </c>
      <c r="AF812">
        <v>-76.690753330000007</v>
      </c>
      <c r="AG812">
        <v>3.4060166669999998</v>
      </c>
      <c r="AH812">
        <v>20</v>
      </c>
      <c r="AI812">
        <v>0</v>
      </c>
      <c r="AJ812">
        <v>2</v>
      </c>
      <c r="AK812">
        <v>-76.690614999999994</v>
      </c>
      <c r="AL812">
        <v>3.4064999999999999</v>
      </c>
      <c r="AM812">
        <v>10</v>
      </c>
      <c r="AN812">
        <v>0</v>
      </c>
      <c r="AO812">
        <v>5</v>
      </c>
      <c r="AP812" t="s">
        <v>441</v>
      </c>
      <c r="AQ812" t="s">
        <v>443</v>
      </c>
      <c r="AR812" t="s">
        <v>522</v>
      </c>
    </row>
    <row r="813" spans="1:44" x14ac:dyDescent="0.2">
      <c r="A813">
        <v>2022</v>
      </c>
      <c r="B813" t="s">
        <v>15</v>
      </c>
      <c r="C813" t="s">
        <v>17</v>
      </c>
      <c r="D813" t="s">
        <v>138</v>
      </c>
      <c r="E813" t="s">
        <v>135</v>
      </c>
      <c r="F813" s="9">
        <v>44869</v>
      </c>
      <c r="G813" s="5">
        <v>0.77351851851851849</v>
      </c>
      <c r="H813">
        <v>-76.690645000000004</v>
      </c>
      <c r="I813">
        <v>3.4063050000000001</v>
      </c>
      <c r="J813">
        <v>7</v>
      </c>
      <c r="K813" t="s">
        <v>119</v>
      </c>
      <c r="L813" t="s">
        <v>136</v>
      </c>
      <c r="N813" t="b">
        <v>1</v>
      </c>
      <c r="P813">
        <f t="shared" si="15"/>
        <v>3.5</v>
      </c>
      <c r="Q813">
        <f t="shared" si="16"/>
        <v>0</v>
      </c>
      <c r="R813">
        <f t="shared" si="17"/>
        <v>15</v>
      </c>
      <c r="S813" t="s">
        <v>442</v>
      </c>
      <c r="T813" t="s">
        <v>201</v>
      </c>
      <c r="V813" t="s">
        <v>6</v>
      </c>
      <c r="X813">
        <v>1</v>
      </c>
      <c r="AF813">
        <v>-76.690753330000007</v>
      </c>
      <c r="AG813">
        <v>3.4060166669999998</v>
      </c>
      <c r="AH813">
        <v>20</v>
      </c>
      <c r="AI813">
        <v>0</v>
      </c>
      <c r="AJ813">
        <v>2</v>
      </c>
      <c r="AK813">
        <v>-76.690614999999994</v>
      </c>
      <c r="AL813">
        <v>3.4064999999999999</v>
      </c>
      <c r="AM813">
        <v>10</v>
      </c>
      <c r="AN813">
        <v>0</v>
      </c>
      <c r="AO813">
        <v>5</v>
      </c>
      <c r="AP813" t="s">
        <v>441</v>
      </c>
      <c r="AQ813" t="s">
        <v>443</v>
      </c>
      <c r="AR813" t="s">
        <v>522</v>
      </c>
    </row>
    <row r="814" spans="1:44" x14ac:dyDescent="0.2">
      <c r="A814">
        <v>2022</v>
      </c>
      <c r="B814" t="s">
        <v>15</v>
      </c>
      <c r="C814" t="s">
        <v>17</v>
      </c>
      <c r="D814" t="s">
        <v>138</v>
      </c>
      <c r="E814" t="s">
        <v>135</v>
      </c>
      <c r="F814" s="9">
        <v>44869</v>
      </c>
      <c r="G814" s="5">
        <v>0.77351851851851849</v>
      </c>
      <c r="H814">
        <v>-76.690645000000004</v>
      </c>
      <c r="I814">
        <v>3.4063050000000001</v>
      </c>
      <c r="J814">
        <v>7</v>
      </c>
      <c r="K814" t="s">
        <v>119</v>
      </c>
      <c r="L814" t="s">
        <v>136</v>
      </c>
      <c r="M814">
        <v>3383</v>
      </c>
      <c r="N814" t="b">
        <v>1</v>
      </c>
      <c r="P814">
        <f t="shared" si="15"/>
        <v>3.5</v>
      </c>
      <c r="Q814">
        <f t="shared" si="16"/>
        <v>0</v>
      </c>
      <c r="R814">
        <f t="shared" si="17"/>
        <v>15</v>
      </c>
      <c r="S814" t="s">
        <v>442</v>
      </c>
      <c r="T814" t="s">
        <v>201</v>
      </c>
      <c r="V814" t="s">
        <v>37</v>
      </c>
      <c r="X814">
        <v>1</v>
      </c>
      <c r="AF814">
        <v>-76.690753330000007</v>
      </c>
      <c r="AG814">
        <v>3.4060166669999998</v>
      </c>
      <c r="AH814">
        <v>20</v>
      </c>
      <c r="AI814">
        <v>0</v>
      </c>
      <c r="AJ814">
        <v>2</v>
      </c>
      <c r="AK814">
        <v>-76.690614999999994</v>
      </c>
      <c r="AL814">
        <v>3.4064999999999999</v>
      </c>
      <c r="AM814">
        <v>10</v>
      </c>
      <c r="AN814">
        <v>0</v>
      </c>
      <c r="AO814">
        <v>5</v>
      </c>
      <c r="AP814" t="s">
        <v>441</v>
      </c>
      <c r="AQ814" t="s">
        <v>244</v>
      </c>
      <c r="AR814" t="s">
        <v>522</v>
      </c>
    </row>
    <row r="815" spans="1:44" x14ac:dyDescent="0.2">
      <c r="A815">
        <v>2022</v>
      </c>
      <c r="B815" t="s">
        <v>15</v>
      </c>
      <c r="C815" t="s">
        <v>17</v>
      </c>
      <c r="D815" t="s">
        <v>138</v>
      </c>
      <c r="E815" t="s">
        <v>135</v>
      </c>
      <c r="F815" s="9">
        <v>44869</v>
      </c>
      <c r="G815" s="5">
        <v>0.78135416666666668</v>
      </c>
      <c r="H815">
        <v>-76.690578329999994</v>
      </c>
      <c r="I815">
        <v>3.406463333</v>
      </c>
      <c r="J815">
        <v>7</v>
      </c>
      <c r="K815" t="s">
        <v>112</v>
      </c>
      <c r="L815" t="s">
        <v>136</v>
      </c>
      <c r="M815">
        <v>3383</v>
      </c>
      <c r="N815" t="b">
        <v>1</v>
      </c>
      <c r="P815">
        <f t="shared" si="15"/>
        <v>3.5</v>
      </c>
      <c r="Q815">
        <f t="shared" si="16"/>
        <v>0</v>
      </c>
      <c r="R815">
        <f t="shared" si="17"/>
        <v>15</v>
      </c>
      <c r="S815" t="s">
        <v>442</v>
      </c>
      <c r="T815" t="s">
        <v>201</v>
      </c>
      <c r="V815" t="s">
        <v>6</v>
      </c>
      <c r="X815">
        <v>3</v>
      </c>
      <c r="AE815" t="s">
        <v>440</v>
      </c>
      <c r="AF815">
        <v>-76.690753330000007</v>
      </c>
      <c r="AG815">
        <v>3.4060166669999998</v>
      </c>
      <c r="AH815">
        <v>20</v>
      </c>
      <c r="AI815">
        <v>0</v>
      </c>
      <c r="AJ815">
        <v>2</v>
      </c>
      <c r="AK815">
        <v>-76.690614999999994</v>
      </c>
      <c r="AL815">
        <v>3.4064999999999999</v>
      </c>
      <c r="AM815">
        <v>10</v>
      </c>
      <c r="AN815">
        <v>0</v>
      </c>
      <c r="AO815">
        <v>5</v>
      </c>
      <c r="AP815" t="s">
        <v>441</v>
      </c>
      <c r="AQ815" t="s">
        <v>244</v>
      </c>
      <c r="AR815" t="s">
        <v>522</v>
      </c>
    </row>
    <row r="816" spans="1:44" x14ac:dyDescent="0.2">
      <c r="A816">
        <v>2022</v>
      </c>
      <c r="B816" t="s">
        <v>15</v>
      </c>
      <c r="C816" t="s">
        <v>17</v>
      </c>
      <c r="D816" t="s">
        <v>143</v>
      </c>
      <c r="E816" t="s">
        <v>127</v>
      </c>
      <c r="F816" s="9">
        <v>44869</v>
      </c>
      <c r="G816" s="5">
        <v>0.78775462962962961</v>
      </c>
      <c r="H816">
        <v>-76.690568330000005</v>
      </c>
      <c r="I816">
        <v>3.406656667</v>
      </c>
      <c r="J816">
        <v>7</v>
      </c>
      <c r="K816" t="s">
        <v>119</v>
      </c>
      <c r="L816" t="s">
        <v>136</v>
      </c>
      <c r="M816">
        <v>3383</v>
      </c>
      <c r="N816" t="b">
        <v>1</v>
      </c>
      <c r="P816">
        <f t="shared" si="15"/>
        <v>8</v>
      </c>
      <c r="Q816">
        <f t="shared" si="16"/>
        <v>0</v>
      </c>
      <c r="R816">
        <f t="shared" si="17"/>
        <v>5</v>
      </c>
      <c r="S816" t="s">
        <v>442</v>
      </c>
      <c r="T816" t="s">
        <v>258</v>
      </c>
      <c r="V816" t="s">
        <v>37</v>
      </c>
      <c r="X816">
        <v>1</v>
      </c>
      <c r="AE816" t="s">
        <v>521</v>
      </c>
      <c r="AF816">
        <v>-76.690593329999999</v>
      </c>
      <c r="AG816">
        <v>3.4065650000000001</v>
      </c>
      <c r="AH816">
        <v>5</v>
      </c>
      <c r="AI816">
        <v>0</v>
      </c>
      <c r="AJ816">
        <v>8</v>
      </c>
      <c r="AK816">
        <v>-76.689711669999994</v>
      </c>
      <c r="AL816">
        <v>3.4071633330000002</v>
      </c>
      <c r="AM816">
        <v>5</v>
      </c>
      <c r="AN816">
        <v>0</v>
      </c>
      <c r="AO816">
        <v>8</v>
      </c>
      <c r="AP816" t="s">
        <v>450</v>
      </c>
      <c r="AQ816" t="s">
        <v>244</v>
      </c>
      <c r="AR816" t="s">
        <v>522</v>
      </c>
    </row>
    <row r="817" spans="1:44" x14ac:dyDescent="0.2">
      <c r="A817">
        <v>2022</v>
      </c>
      <c r="B817" t="s">
        <v>21</v>
      </c>
      <c r="C817" t="s">
        <v>22</v>
      </c>
      <c r="D817" t="s">
        <v>217</v>
      </c>
      <c r="E817" t="s">
        <v>122</v>
      </c>
      <c r="F817" s="9">
        <v>44898</v>
      </c>
      <c r="G817" s="5">
        <v>0.81870370370370371</v>
      </c>
      <c r="H817">
        <v>-76.722443330000004</v>
      </c>
      <c r="I817">
        <v>3.4774366670000001</v>
      </c>
      <c r="J817">
        <v>7</v>
      </c>
      <c r="K817" t="s">
        <v>112</v>
      </c>
      <c r="L817" t="s">
        <v>113</v>
      </c>
      <c r="N817" t="b">
        <v>1</v>
      </c>
      <c r="P817">
        <f t="shared" si="15"/>
        <v>11.5</v>
      </c>
      <c r="Q817">
        <f t="shared" si="16"/>
        <v>0</v>
      </c>
      <c r="R817">
        <f t="shared" si="17"/>
        <v>9</v>
      </c>
      <c r="S817" t="s">
        <v>442</v>
      </c>
      <c r="T817" t="s">
        <v>258</v>
      </c>
      <c r="V817" t="s">
        <v>73</v>
      </c>
      <c r="X817">
        <v>1</v>
      </c>
      <c r="AF817">
        <v>-76.722443330000004</v>
      </c>
      <c r="AG817">
        <v>3.4774366670000001</v>
      </c>
      <c r="AH817">
        <v>8</v>
      </c>
      <c r="AI817">
        <v>0</v>
      </c>
      <c r="AJ817">
        <v>15</v>
      </c>
      <c r="AK817">
        <v>-76.722831670000005</v>
      </c>
      <c r="AL817">
        <v>3.4779966670000002</v>
      </c>
      <c r="AM817">
        <v>10</v>
      </c>
      <c r="AN817">
        <v>0</v>
      </c>
      <c r="AO817">
        <v>8</v>
      </c>
      <c r="AP817" t="s">
        <v>441</v>
      </c>
      <c r="AQ817" t="s">
        <v>443</v>
      </c>
    </row>
    <row r="818" spans="1:44" x14ac:dyDescent="0.2">
      <c r="A818">
        <v>2022</v>
      </c>
      <c r="B818" t="s">
        <v>21</v>
      </c>
      <c r="C818" t="s">
        <v>22</v>
      </c>
      <c r="D818" t="s">
        <v>217</v>
      </c>
      <c r="E818" t="s">
        <v>122</v>
      </c>
      <c r="F818" s="9">
        <v>44898</v>
      </c>
      <c r="G818" s="5">
        <v>0.81870370370370371</v>
      </c>
      <c r="H818">
        <v>-76.722443330000004</v>
      </c>
      <c r="I818">
        <v>3.4774366670000001</v>
      </c>
      <c r="J818">
        <v>7</v>
      </c>
      <c r="K818" t="s">
        <v>112</v>
      </c>
      <c r="L818" t="s">
        <v>120</v>
      </c>
      <c r="N818" t="b">
        <v>1</v>
      </c>
      <c r="P818">
        <f t="shared" si="15"/>
        <v>11.5</v>
      </c>
      <c r="Q818">
        <f t="shared" si="16"/>
        <v>0</v>
      </c>
      <c r="R818">
        <f t="shared" si="17"/>
        <v>9</v>
      </c>
      <c r="S818" t="s">
        <v>442</v>
      </c>
      <c r="T818" t="s">
        <v>258</v>
      </c>
      <c r="V818" t="s">
        <v>2</v>
      </c>
      <c r="X818">
        <v>1</v>
      </c>
      <c r="AF818">
        <v>-76.722443330000004</v>
      </c>
      <c r="AG818">
        <v>3.4774366670000001</v>
      </c>
      <c r="AH818">
        <v>8</v>
      </c>
      <c r="AI818">
        <v>0</v>
      </c>
      <c r="AJ818">
        <v>15</v>
      </c>
      <c r="AK818">
        <v>-76.722831670000005</v>
      </c>
      <c r="AL818">
        <v>3.4779966670000002</v>
      </c>
      <c r="AM818">
        <v>10</v>
      </c>
      <c r="AN818">
        <v>0</v>
      </c>
      <c r="AO818">
        <v>8</v>
      </c>
      <c r="AP818" t="s">
        <v>441</v>
      </c>
      <c r="AQ818" t="s">
        <v>443</v>
      </c>
    </row>
    <row r="819" spans="1:44" x14ac:dyDescent="0.2">
      <c r="A819">
        <v>2022</v>
      </c>
      <c r="B819" t="s">
        <v>21</v>
      </c>
      <c r="C819" t="s">
        <v>22</v>
      </c>
      <c r="D819" t="s">
        <v>217</v>
      </c>
      <c r="E819" t="s">
        <v>122</v>
      </c>
      <c r="F819" s="9">
        <v>44898</v>
      </c>
      <c r="G819" s="5">
        <v>0.83151620370370372</v>
      </c>
      <c r="H819">
        <v>-76.722478330000001</v>
      </c>
      <c r="I819">
        <v>3.4775450000000001</v>
      </c>
      <c r="J819">
        <v>7</v>
      </c>
      <c r="K819" t="s">
        <v>119</v>
      </c>
      <c r="M819">
        <v>2100</v>
      </c>
      <c r="N819" t="b">
        <v>1</v>
      </c>
      <c r="P819">
        <f t="shared" si="15"/>
        <v>11.5</v>
      </c>
      <c r="Q819">
        <f t="shared" si="16"/>
        <v>0</v>
      </c>
      <c r="R819">
        <f t="shared" si="17"/>
        <v>9</v>
      </c>
      <c r="S819" t="s">
        <v>442</v>
      </c>
      <c r="T819" t="s">
        <v>258</v>
      </c>
      <c r="V819" t="s">
        <v>73</v>
      </c>
      <c r="X819">
        <v>1</v>
      </c>
      <c r="AF819">
        <v>-76.722443330000004</v>
      </c>
      <c r="AG819">
        <v>3.4774366670000001</v>
      </c>
      <c r="AH819">
        <v>8</v>
      </c>
      <c r="AI819">
        <v>0</v>
      </c>
      <c r="AJ819">
        <v>15</v>
      </c>
      <c r="AK819">
        <v>-76.722831670000005</v>
      </c>
      <c r="AL819">
        <v>3.4779966670000002</v>
      </c>
      <c r="AM819">
        <v>10</v>
      </c>
      <c r="AN819">
        <v>0</v>
      </c>
      <c r="AO819">
        <v>8</v>
      </c>
      <c r="AP819" t="s">
        <v>441</v>
      </c>
      <c r="AQ819" t="s">
        <v>443</v>
      </c>
    </row>
    <row r="820" spans="1:44" x14ac:dyDescent="0.2">
      <c r="A820">
        <v>2022</v>
      </c>
      <c r="B820" t="s">
        <v>21</v>
      </c>
      <c r="C820" t="s">
        <v>22</v>
      </c>
      <c r="D820" t="s">
        <v>217</v>
      </c>
      <c r="E820" t="s">
        <v>122</v>
      </c>
      <c r="F820" s="9">
        <v>44898</v>
      </c>
      <c r="G820" s="5">
        <v>0.82885416666666667</v>
      </c>
      <c r="H820">
        <v>-76.722498329999993</v>
      </c>
      <c r="I820">
        <v>3.4775466669999999</v>
      </c>
      <c r="J820">
        <v>7</v>
      </c>
      <c r="K820" t="s">
        <v>112</v>
      </c>
      <c r="L820" t="s">
        <v>136</v>
      </c>
      <c r="M820">
        <v>2100</v>
      </c>
      <c r="N820" t="b">
        <v>1</v>
      </c>
      <c r="P820">
        <f t="shared" si="15"/>
        <v>11.5</v>
      </c>
      <c r="Q820">
        <f t="shared" si="16"/>
        <v>0</v>
      </c>
      <c r="R820">
        <f t="shared" si="17"/>
        <v>9</v>
      </c>
      <c r="S820" t="s">
        <v>442</v>
      </c>
      <c r="T820" t="s">
        <v>258</v>
      </c>
      <c r="V820" t="s">
        <v>8</v>
      </c>
      <c r="X820">
        <v>1</v>
      </c>
      <c r="AF820">
        <v>-76.722443330000004</v>
      </c>
      <c r="AG820">
        <v>3.4774366670000001</v>
      </c>
      <c r="AH820">
        <v>8</v>
      </c>
      <c r="AI820">
        <v>0</v>
      </c>
      <c r="AJ820">
        <v>15</v>
      </c>
      <c r="AK820">
        <v>-76.722831670000005</v>
      </c>
      <c r="AL820">
        <v>3.4779966670000002</v>
      </c>
      <c r="AM820">
        <v>10</v>
      </c>
      <c r="AN820">
        <v>0</v>
      </c>
      <c r="AO820">
        <v>8</v>
      </c>
      <c r="AP820" t="s">
        <v>441</v>
      </c>
      <c r="AQ820" t="s">
        <v>443</v>
      </c>
    </row>
    <row r="821" spans="1:44" x14ac:dyDescent="0.2">
      <c r="A821">
        <v>2022</v>
      </c>
      <c r="B821" t="s">
        <v>21</v>
      </c>
      <c r="C821" t="s">
        <v>22</v>
      </c>
      <c r="D821" t="s">
        <v>217</v>
      </c>
      <c r="E821" t="s">
        <v>122</v>
      </c>
      <c r="F821" s="9">
        <v>44898</v>
      </c>
      <c r="G821" s="5">
        <v>0.83849537037037036</v>
      </c>
      <c r="H821">
        <v>-76.722656670000006</v>
      </c>
      <c r="I821">
        <v>3.4776850000000001</v>
      </c>
      <c r="J821">
        <v>7</v>
      </c>
      <c r="K821" t="s">
        <v>112</v>
      </c>
      <c r="L821" t="s">
        <v>113</v>
      </c>
      <c r="M821">
        <v>2100</v>
      </c>
      <c r="N821" t="b">
        <v>1</v>
      </c>
      <c r="P821">
        <f t="shared" si="15"/>
        <v>11.5</v>
      </c>
      <c r="Q821">
        <f t="shared" si="16"/>
        <v>0</v>
      </c>
      <c r="R821">
        <f t="shared" si="17"/>
        <v>9</v>
      </c>
      <c r="S821" t="s">
        <v>442</v>
      </c>
      <c r="T821" t="s">
        <v>258</v>
      </c>
      <c r="V821" t="s">
        <v>2</v>
      </c>
      <c r="X821">
        <v>2</v>
      </c>
      <c r="AF821">
        <v>-76.722443330000004</v>
      </c>
      <c r="AG821">
        <v>3.4774366670000001</v>
      </c>
      <c r="AH821">
        <v>8</v>
      </c>
      <c r="AI821">
        <v>0</v>
      </c>
      <c r="AJ821">
        <v>15</v>
      </c>
      <c r="AK821">
        <v>-76.722831670000005</v>
      </c>
      <c r="AL821">
        <v>3.4779966670000002</v>
      </c>
      <c r="AM821">
        <v>10</v>
      </c>
      <c r="AN821">
        <v>0</v>
      </c>
      <c r="AO821">
        <v>8</v>
      </c>
      <c r="AP821" t="s">
        <v>441</v>
      </c>
      <c r="AQ821" t="s">
        <v>443</v>
      </c>
    </row>
    <row r="822" spans="1:44" x14ac:dyDescent="0.2">
      <c r="A822">
        <v>2022</v>
      </c>
      <c r="B822" t="s">
        <v>21</v>
      </c>
      <c r="C822" t="s">
        <v>22</v>
      </c>
      <c r="D822" t="s">
        <v>217</v>
      </c>
      <c r="E822" t="s">
        <v>122</v>
      </c>
      <c r="F822" s="9">
        <v>44898</v>
      </c>
      <c r="G822" s="5">
        <v>0.8465625</v>
      </c>
      <c r="H822">
        <v>-76.722831670000005</v>
      </c>
      <c r="I822">
        <v>3.4779966670000002</v>
      </c>
      <c r="J822">
        <v>7</v>
      </c>
      <c r="K822" t="s">
        <v>119</v>
      </c>
      <c r="L822" t="s">
        <v>136</v>
      </c>
      <c r="M822">
        <v>2100</v>
      </c>
      <c r="N822" t="b">
        <v>1</v>
      </c>
      <c r="P822">
        <f t="shared" si="15"/>
        <v>11.5</v>
      </c>
      <c r="Q822">
        <f t="shared" si="16"/>
        <v>0</v>
      </c>
      <c r="R822">
        <f t="shared" si="17"/>
        <v>9</v>
      </c>
      <c r="S822" t="s">
        <v>442</v>
      </c>
      <c r="T822" t="s">
        <v>258</v>
      </c>
      <c r="V822" t="s">
        <v>8</v>
      </c>
      <c r="X822">
        <v>2</v>
      </c>
      <c r="AF822">
        <v>-76.722443330000004</v>
      </c>
      <c r="AG822">
        <v>3.4774366670000001</v>
      </c>
      <c r="AH822">
        <v>8</v>
      </c>
      <c r="AI822">
        <v>0</v>
      </c>
      <c r="AJ822">
        <v>15</v>
      </c>
      <c r="AK822">
        <v>-76.722831670000005</v>
      </c>
      <c r="AL822">
        <v>3.4779966670000002</v>
      </c>
      <c r="AM822">
        <v>10</v>
      </c>
      <c r="AN822">
        <v>0</v>
      </c>
      <c r="AO822">
        <v>8</v>
      </c>
      <c r="AP822" t="s">
        <v>441</v>
      </c>
      <c r="AQ822" t="s">
        <v>443</v>
      </c>
    </row>
    <row r="823" spans="1:44" x14ac:dyDescent="0.2">
      <c r="A823">
        <v>2022</v>
      </c>
      <c r="B823" t="s">
        <v>21</v>
      </c>
      <c r="C823" t="s">
        <v>22</v>
      </c>
      <c r="D823" t="s">
        <v>217</v>
      </c>
      <c r="E823" t="s">
        <v>122</v>
      </c>
      <c r="F823" s="9">
        <v>44898</v>
      </c>
      <c r="G823" s="5">
        <v>0.83474537037037033</v>
      </c>
      <c r="H823">
        <v>-76.722539999999995</v>
      </c>
      <c r="I823">
        <v>3.477668333</v>
      </c>
      <c r="J823">
        <v>7</v>
      </c>
      <c r="K823" t="s">
        <v>119</v>
      </c>
      <c r="M823">
        <v>2100</v>
      </c>
      <c r="N823" t="b">
        <v>1</v>
      </c>
      <c r="P823">
        <f t="shared" si="15"/>
        <v>11.5</v>
      </c>
      <c r="Q823">
        <f t="shared" si="16"/>
        <v>0</v>
      </c>
      <c r="R823">
        <f t="shared" si="17"/>
        <v>9</v>
      </c>
      <c r="S823" t="s">
        <v>442</v>
      </c>
      <c r="T823" t="s">
        <v>258</v>
      </c>
      <c r="V823" t="s">
        <v>73</v>
      </c>
      <c r="X823">
        <v>1</v>
      </c>
      <c r="AF823">
        <v>-76.722443330000004</v>
      </c>
      <c r="AG823">
        <v>3.4774366670000001</v>
      </c>
      <c r="AH823">
        <v>8</v>
      </c>
      <c r="AI823">
        <v>0</v>
      </c>
      <c r="AJ823">
        <v>15</v>
      </c>
      <c r="AK823">
        <v>-76.722831670000005</v>
      </c>
      <c r="AL823">
        <v>3.4779966670000002</v>
      </c>
      <c r="AM823">
        <v>10</v>
      </c>
      <c r="AN823">
        <v>0</v>
      </c>
      <c r="AO823">
        <v>8</v>
      </c>
      <c r="AP823" t="s">
        <v>441</v>
      </c>
      <c r="AQ823" t="s">
        <v>443</v>
      </c>
    </row>
    <row r="824" spans="1:44" x14ac:dyDescent="0.2">
      <c r="A824">
        <v>2022</v>
      </c>
      <c r="B824" t="s">
        <v>21</v>
      </c>
      <c r="C824" t="s">
        <v>22</v>
      </c>
      <c r="D824" t="s">
        <v>217</v>
      </c>
      <c r="E824" t="s">
        <v>122</v>
      </c>
      <c r="F824" s="9">
        <v>44898</v>
      </c>
      <c r="G824" s="5">
        <v>0.82805555555555554</v>
      </c>
      <c r="H824">
        <v>-76.722498329999993</v>
      </c>
      <c r="I824">
        <v>3.4775466669999999</v>
      </c>
      <c r="J824">
        <v>7</v>
      </c>
      <c r="K824" t="s">
        <v>112</v>
      </c>
      <c r="L824" t="s">
        <v>136</v>
      </c>
      <c r="N824" t="b">
        <v>1</v>
      </c>
      <c r="P824">
        <f t="shared" si="15"/>
        <v>11.5</v>
      </c>
      <c r="Q824">
        <f t="shared" si="16"/>
        <v>0</v>
      </c>
      <c r="R824">
        <f t="shared" si="17"/>
        <v>9</v>
      </c>
      <c r="S824" t="s">
        <v>442</v>
      </c>
      <c r="T824" t="s">
        <v>258</v>
      </c>
      <c r="V824" t="s">
        <v>2</v>
      </c>
      <c r="X824">
        <v>2</v>
      </c>
      <c r="AF824">
        <v>-76.722443330000004</v>
      </c>
      <c r="AG824">
        <v>3.4774366670000001</v>
      </c>
      <c r="AH824">
        <v>8</v>
      </c>
      <c r="AI824">
        <v>0</v>
      </c>
      <c r="AJ824">
        <v>15</v>
      </c>
      <c r="AK824">
        <v>-76.722831670000005</v>
      </c>
      <c r="AL824">
        <v>3.4779966670000002</v>
      </c>
      <c r="AM824">
        <v>10</v>
      </c>
      <c r="AN824">
        <v>0</v>
      </c>
      <c r="AO824">
        <v>8</v>
      </c>
      <c r="AP824" t="s">
        <v>441</v>
      </c>
      <c r="AQ824" t="s">
        <v>443</v>
      </c>
    </row>
    <row r="825" spans="1:44" x14ac:dyDescent="0.2">
      <c r="A825">
        <v>2022</v>
      </c>
      <c r="B825" t="s">
        <v>21</v>
      </c>
      <c r="C825" t="s">
        <v>22</v>
      </c>
      <c r="D825" t="s">
        <v>217</v>
      </c>
      <c r="E825" t="s">
        <v>122</v>
      </c>
      <c r="F825" s="9">
        <v>44898</v>
      </c>
      <c r="G825" s="5">
        <v>0.82805555555555554</v>
      </c>
      <c r="H825">
        <v>-76.722498329999993</v>
      </c>
      <c r="I825">
        <v>3.4775466669999999</v>
      </c>
      <c r="J825">
        <v>7</v>
      </c>
      <c r="K825" t="s">
        <v>112</v>
      </c>
      <c r="N825" t="b">
        <v>1</v>
      </c>
      <c r="P825">
        <f t="shared" si="15"/>
        <v>11.5</v>
      </c>
      <c r="Q825">
        <f t="shared" si="16"/>
        <v>0</v>
      </c>
      <c r="R825">
        <f t="shared" si="17"/>
        <v>9</v>
      </c>
      <c r="S825" t="s">
        <v>442</v>
      </c>
      <c r="T825" t="s">
        <v>258</v>
      </c>
      <c r="V825" t="s">
        <v>73</v>
      </c>
      <c r="X825">
        <v>2</v>
      </c>
      <c r="AF825">
        <v>-76.722443330000004</v>
      </c>
      <c r="AG825">
        <v>3.4774366670000001</v>
      </c>
      <c r="AH825">
        <v>8</v>
      </c>
      <c r="AI825">
        <v>0</v>
      </c>
      <c r="AJ825">
        <v>15</v>
      </c>
      <c r="AK825">
        <v>-76.722831670000005</v>
      </c>
      <c r="AL825">
        <v>3.4779966670000002</v>
      </c>
      <c r="AM825">
        <v>10</v>
      </c>
      <c r="AN825">
        <v>0</v>
      </c>
      <c r="AO825">
        <v>8</v>
      </c>
      <c r="AP825" t="s">
        <v>441</v>
      </c>
      <c r="AQ825" t="s">
        <v>244</v>
      </c>
    </row>
    <row r="826" spans="1:44" x14ac:dyDescent="0.2">
      <c r="A826">
        <v>2022</v>
      </c>
      <c r="B826" t="s">
        <v>21</v>
      </c>
      <c r="C826" t="s">
        <v>22</v>
      </c>
      <c r="D826" t="s">
        <v>217</v>
      </c>
      <c r="E826" t="s">
        <v>122</v>
      </c>
      <c r="F826" s="9">
        <v>44898</v>
      </c>
      <c r="G826" s="5">
        <v>0.81980324074074074</v>
      </c>
      <c r="H826">
        <v>-76.722431670000006</v>
      </c>
      <c r="I826">
        <v>3.4774383329999998</v>
      </c>
      <c r="J826">
        <v>7</v>
      </c>
      <c r="K826" t="s">
        <v>119</v>
      </c>
      <c r="L826" t="s">
        <v>120</v>
      </c>
      <c r="M826">
        <v>2100</v>
      </c>
      <c r="N826" t="b">
        <v>1</v>
      </c>
      <c r="P826">
        <f t="shared" si="15"/>
        <v>11.5</v>
      </c>
      <c r="Q826">
        <f t="shared" si="16"/>
        <v>0</v>
      </c>
      <c r="R826">
        <f t="shared" si="17"/>
        <v>9</v>
      </c>
      <c r="S826" t="s">
        <v>442</v>
      </c>
      <c r="T826" t="s">
        <v>258</v>
      </c>
      <c r="V826" t="s">
        <v>2</v>
      </c>
      <c r="X826">
        <v>1</v>
      </c>
      <c r="AF826">
        <v>-76.722443330000004</v>
      </c>
      <c r="AG826">
        <v>3.4774366670000001</v>
      </c>
      <c r="AH826">
        <v>8</v>
      </c>
      <c r="AI826">
        <v>0</v>
      </c>
      <c r="AJ826">
        <v>15</v>
      </c>
      <c r="AK826">
        <v>-76.722831670000005</v>
      </c>
      <c r="AL826">
        <v>3.4779966670000002</v>
      </c>
      <c r="AM826">
        <v>10</v>
      </c>
      <c r="AN826">
        <v>0</v>
      </c>
      <c r="AO826">
        <v>8</v>
      </c>
      <c r="AP826" t="s">
        <v>441</v>
      </c>
      <c r="AQ826" t="s">
        <v>443</v>
      </c>
    </row>
    <row r="827" spans="1:44" x14ac:dyDescent="0.2">
      <c r="A827">
        <v>2022</v>
      </c>
      <c r="B827" t="s">
        <v>21</v>
      </c>
      <c r="C827" t="s">
        <v>22</v>
      </c>
      <c r="D827" t="s">
        <v>214</v>
      </c>
      <c r="E827" t="s">
        <v>127</v>
      </c>
      <c r="F827" s="9">
        <v>44898</v>
      </c>
      <c r="G827" s="5">
        <v>0.87084490740740739</v>
      </c>
      <c r="H827">
        <v>-76.72286167</v>
      </c>
      <c r="I827">
        <v>3.478411667</v>
      </c>
      <c r="J827">
        <v>7</v>
      </c>
      <c r="K827" t="s">
        <v>119</v>
      </c>
      <c r="L827" t="s">
        <v>136</v>
      </c>
      <c r="M827">
        <v>2100</v>
      </c>
      <c r="N827" t="b">
        <v>1</v>
      </c>
      <c r="P827">
        <f t="shared" si="15"/>
        <v>12.5</v>
      </c>
      <c r="Q827">
        <f t="shared" si="16"/>
        <v>0</v>
      </c>
      <c r="R827">
        <f t="shared" si="17"/>
        <v>10</v>
      </c>
      <c r="S827" t="s">
        <v>442</v>
      </c>
      <c r="T827" t="s">
        <v>258</v>
      </c>
      <c r="V827" t="s">
        <v>65</v>
      </c>
      <c r="X827">
        <v>1</v>
      </c>
      <c r="AF827">
        <v>-76.722821670000002</v>
      </c>
      <c r="AG827">
        <v>3.4779583330000001</v>
      </c>
      <c r="AH827">
        <v>12</v>
      </c>
      <c r="AI827">
        <v>0</v>
      </c>
      <c r="AJ827">
        <v>10</v>
      </c>
      <c r="AK827">
        <v>-76.722941669999997</v>
      </c>
      <c r="AL827">
        <v>3.4790033330000001</v>
      </c>
      <c r="AM827">
        <v>8</v>
      </c>
      <c r="AN827">
        <v>0</v>
      </c>
      <c r="AO827">
        <v>15</v>
      </c>
      <c r="AP827" t="s">
        <v>441</v>
      </c>
      <c r="AQ827" t="s">
        <v>443</v>
      </c>
      <c r="AR827" t="s">
        <v>522</v>
      </c>
    </row>
    <row r="828" spans="1:44" x14ac:dyDescent="0.2">
      <c r="A828">
        <v>2022</v>
      </c>
      <c r="B828" t="s">
        <v>21</v>
      </c>
      <c r="C828" t="s">
        <v>22</v>
      </c>
      <c r="D828" t="s">
        <v>214</v>
      </c>
      <c r="E828" t="s">
        <v>127</v>
      </c>
      <c r="F828" s="9">
        <v>44898</v>
      </c>
      <c r="G828" s="5">
        <v>0.90173611111111107</v>
      </c>
      <c r="H828">
        <v>-76.722813329999994</v>
      </c>
      <c r="I828">
        <v>3.4785033329999999</v>
      </c>
      <c r="J828">
        <v>7</v>
      </c>
      <c r="K828" t="s">
        <v>119</v>
      </c>
      <c r="L828" t="s">
        <v>136</v>
      </c>
      <c r="M828">
        <v>2100</v>
      </c>
      <c r="N828" t="b">
        <v>1</v>
      </c>
      <c r="P828">
        <f t="shared" si="15"/>
        <v>12.5</v>
      </c>
      <c r="Q828">
        <f t="shared" si="16"/>
        <v>0</v>
      </c>
      <c r="R828">
        <f t="shared" si="17"/>
        <v>10</v>
      </c>
      <c r="S828" t="s">
        <v>442</v>
      </c>
      <c r="T828" t="s">
        <v>258</v>
      </c>
      <c r="V828" t="s">
        <v>4</v>
      </c>
      <c r="X828">
        <v>1</v>
      </c>
      <c r="AF828">
        <v>-76.722821670000002</v>
      </c>
      <c r="AG828">
        <v>3.4779583330000001</v>
      </c>
      <c r="AH828">
        <v>12</v>
      </c>
      <c r="AI828">
        <v>0</v>
      </c>
      <c r="AJ828">
        <v>10</v>
      </c>
      <c r="AK828">
        <v>-76.722941669999997</v>
      </c>
      <c r="AL828">
        <v>3.4790033330000001</v>
      </c>
      <c r="AM828">
        <v>8</v>
      </c>
      <c r="AN828">
        <v>0</v>
      </c>
      <c r="AO828">
        <v>15</v>
      </c>
      <c r="AP828" t="s">
        <v>450</v>
      </c>
      <c r="AQ828" t="s">
        <v>244</v>
      </c>
      <c r="AR828" t="s">
        <v>522</v>
      </c>
    </row>
    <row r="829" spans="1:44" x14ac:dyDescent="0.2">
      <c r="A829">
        <v>2022</v>
      </c>
      <c r="B829" t="s">
        <v>21</v>
      </c>
      <c r="C829" t="s">
        <v>22</v>
      </c>
      <c r="D829" t="s">
        <v>214</v>
      </c>
      <c r="E829" t="s">
        <v>127</v>
      </c>
      <c r="F829" s="9">
        <v>44898</v>
      </c>
      <c r="G829" s="5">
        <v>0.88687499999999997</v>
      </c>
      <c r="H829">
        <v>-76.722825</v>
      </c>
      <c r="I829">
        <v>3.4785466669999998</v>
      </c>
      <c r="J829">
        <v>7</v>
      </c>
      <c r="K829" t="s">
        <v>112</v>
      </c>
      <c r="L829" t="s">
        <v>113</v>
      </c>
      <c r="M829">
        <v>2100</v>
      </c>
      <c r="N829" t="b">
        <v>1</v>
      </c>
      <c r="P829">
        <f t="shared" si="15"/>
        <v>12.5</v>
      </c>
      <c r="Q829">
        <f t="shared" si="16"/>
        <v>0</v>
      </c>
      <c r="R829">
        <f t="shared" si="17"/>
        <v>10</v>
      </c>
      <c r="S829" t="s">
        <v>442</v>
      </c>
      <c r="T829" t="s">
        <v>258</v>
      </c>
      <c r="V829" t="s">
        <v>62</v>
      </c>
      <c r="X829">
        <v>1</v>
      </c>
      <c r="AF829">
        <v>-76.722821670000002</v>
      </c>
      <c r="AG829">
        <v>3.4779583330000001</v>
      </c>
      <c r="AH829">
        <v>12</v>
      </c>
      <c r="AI829">
        <v>0</v>
      </c>
      <c r="AJ829">
        <v>10</v>
      </c>
      <c r="AK829">
        <v>-76.722941669999997</v>
      </c>
      <c r="AL829">
        <v>3.4790033330000001</v>
      </c>
      <c r="AM829">
        <v>8</v>
      </c>
      <c r="AN829">
        <v>0</v>
      </c>
      <c r="AO829">
        <v>15</v>
      </c>
      <c r="AP829" t="s">
        <v>450</v>
      </c>
      <c r="AQ829" t="s">
        <v>443</v>
      </c>
    </row>
    <row r="830" spans="1:44" x14ac:dyDescent="0.2">
      <c r="A830">
        <v>2022</v>
      </c>
      <c r="B830" t="s">
        <v>21</v>
      </c>
      <c r="C830" t="s">
        <v>22</v>
      </c>
      <c r="D830" t="s">
        <v>214</v>
      </c>
      <c r="E830" t="s">
        <v>127</v>
      </c>
      <c r="F830" s="9">
        <v>44898</v>
      </c>
      <c r="G830" s="5">
        <v>0.86818287037037034</v>
      </c>
      <c r="H830">
        <v>-76.722803330000005</v>
      </c>
      <c r="I830">
        <v>3.4783183329999998</v>
      </c>
      <c r="J830">
        <v>7</v>
      </c>
      <c r="K830" t="s">
        <v>112</v>
      </c>
      <c r="L830" t="s">
        <v>136</v>
      </c>
      <c r="M830">
        <v>2100</v>
      </c>
      <c r="N830" t="b">
        <v>1</v>
      </c>
      <c r="P830">
        <f t="shared" si="15"/>
        <v>12.5</v>
      </c>
      <c r="Q830">
        <f t="shared" si="16"/>
        <v>0</v>
      </c>
      <c r="R830">
        <f t="shared" si="17"/>
        <v>10</v>
      </c>
      <c r="S830" t="s">
        <v>442</v>
      </c>
      <c r="T830" t="s">
        <v>258</v>
      </c>
      <c r="V830" t="s">
        <v>4</v>
      </c>
      <c r="X830">
        <v>1</v>
      </c>
      <c r="AF830">
        <v>-76.722821670000002</v>
      </c>
      <c r="AG830">
        <v>3.4779583330000001</v>
      </c>
      <c r="AH830">
        <v>12</v>
      </c>
      <c r="AI830">
        <v>0</v>
      </c>
      <c r="AJ830">
        <v>10</v>
      </c>
      <c r="AK830">
        <v>-76.722941669999997</v>
      </c>
      <c r="AL830">
        <v>3.4790033330000001</v>
      </c>
      <c r="AM830">
        <v>8</v>
      </c>
      <c r="AN830">
        <v>0</v>
      </c>
      <c r="AO830">
        <v>15</v>
      </c>
      <c r="AP830" t="s">
        <v>450</v>
      </c>
      <c r="AQ830" t="s">
        <v>244</v>
      </c>
      <c r="AR830" t="s">
        <v>522</v>
      </c>
    </row>
    <row r="831" spans="1:44" x14ac:dyDescent="0.2">
      <c r="A831">
        <v>2022</v>
      </c>
      <c r="B831" t="s">
        <v>21</v>
      </c>
      <c r="C831" t="s">
        <v>22</v>
      </c>
      <c r="D831" t="s">
        <v>214</v>
      </c>
      <c r="E831" t="s">
        <v>127</v>
      </c>
      <c r="F831" s="9">
        <v>44898</v>
      </c>
      <c r="G831" s="5">
        <v>0.86818287037037034</v>
      </c>
      <c r="H831">
        <v>-76.722803330000005</v>
      </c>
      <c r="I831">
        <v>3.4783183329999998</v>
      </c>
      <c r="J831">
        <v>7</v>
      </c>
      <c r="K831" t="s">
        <v>119</v>
      </c>
      <c r="L831" t="s">
        <v>113</v>
      </c>
      <c r="M831">
        <v>2100</v>
      </c>
      <c r="N831" t="b">
        <v>1</v>
      </c>
      <c r="P831">
        <f t="shared" si="15"/>
        <v>12.5</v>
      </c>
      <c r="Q831">
        <f t="shared" si="16"/>
        <v>0</v>
      </c>
      <c r="R831">
        <f t="shared" si="17"/>
        <v>10</v>
      </c>
      <c r="S831" t="s">
        <v>442</v>
      </c>
      <c r="T831" t="s">
        <v>258</v>
      </c>
      <c r="V831" t="s">
        <v>64</v>
      </c>
      <c r="X831">
        <v>2</v>
      </c>
      <c r="AF831">
        <v>-76.722821670000002</v>
      </c>
      <c r="AG831">
        <v>3.4779583330000001</v>
      </c>
      <c r="AH831">
        <v>12</v>
      </c>
      <c r="AI831">
        <v>0</v>
      </c>
      <c r="AJ831">
        <v>10</v>
      </c>
      <c r="AK831">
        <v>-76.722941669999997</v>
      </c>
      <c r="AL831">
        <v>3.4790033330000001</v>
      </c>
      <c r="AM831">
        <v>8</v>
      </c>
      <c r="AN831">
        <v>0</v>
      </c>
      <c r="AO831">
        <v>15</v>
      </c>
      <c r="AP831" t="s">
        <v>441</v>
      </c>
      <c r="AQ831" t="s">
        <v>244</v>
      </c>
    </row>
    <row r="832" spans="1:44" x14ac:dyDescent="0.2">
      <c r="A832">
        <v>2022</v>
      </c>
      <c r="B832" t="s">
        <v>21</v>
      </c>
      <c r="C832" t="s">
        <v>22</v>
      </c>
      <c r="D832" t="s">
        <v>214</v>
      </c>
      <c r="E832" t="s">
        <v>127</v>
      </c>
      <c r="F832" s="9">
        <v>44898</v>
      </c>
      <c r="G832" s="5">
        <v>0.85643518518518513</v>
      </c>
      <c r="H832">
        <v>-76.72277167</v>
      </c>
      <c r="I832">
        <v>3.4781200000000001</v>
      </c>
      <c r="J832">
        <v>7</v>
      </c>
      <c r="K832" t="s">
        <v>112</v>
      </c>
      <c r="L832" t="s">
        <v>120</v>
      </c>
      <c r="M832">
        <v>2100</v>
      </c>
      <c r="N832" t="b">
        <v>1</v>
      </c>
      <c r="P832">
        <f t="shared" si="15"/>
        <v>12.5</v>
      </c>
      <c r="Q832">
        <f t="shared" si="16"/>
        <v>0</v>
      </c>
      <c r="R832">
        <f t="shared" si="17"/>
        <v>10</v>
      </c>
      <c r="S832" t="s">
        <v>442</v>
      </c>
      <c r="T832" t="s">
        <v>258</v>
      </c>
      <c r="V832" t="s">
        <v>73</v>
      </c>
      <c r="X832">
        <v>1</v>
      </c>
      <c r="AF832">
        <v>-76.722821670000002</v>
      </c>
      <c r="AG832">
        <v>3.4779583330000001</v>
      </c>
      <c r="AH832">
        <v>12</v>
      </c>
      <c r="AI832">
        <v>0</v>
      </c>
      <c r="AJ832">
        <v>10</v>
      </c>
      <c r="AK832">
        <v>-76.722941669999997</v>
      </c>
      <c r="AL832">
        <v>3.4790033330000001</v>
      </c>
      <c r="AM832">
        <v>8</v>
      </c>
      <c r="AN832">
        <v>0</v>
      </c>
      <c r="AO832">
        <v>15</v>
      </c>
      <c r="AP832" t="s">
        <v>467</v>
      </c>
      <c r="AQ832" t="s">
        <v>443</v>
      </c>
    </row>
    <row r="833" spans="1:44" x14ac:dyDescent="0.2">
      <c r="A833">
        <v>2022</v>
      </c>
      <c r="B833" t="s">
        <v>21</v>
      </c>
      <c r="C833" t="s">
        <v>22</v>
      </c>
      <c r="D833" t="s">
        <v>214</v>
      </c>
      <c r="E833" t="s">
        <v>127</v>
      </c>
      <c r="F833" s="9">
        <v>44898</v>
      </c>
      <c r="G833" s="5">
        <v>0.8575694444444445</v>
      </c>
      <c r="H833">
        <v>-76.722755000000006</v>
      </c>
      <c r="I833">
        <v>3.4779849999999999</v>
      </c>
      <c r="J833">
        <v>7</v>
      </c>
      <c r="K833" t="s">
        <v>112</v>
      </c>
      <c r="L833" t="s">
        <v>136</v>
      </c>
      <c r="M833">
        <v>2100</v>
      </c>
      <c r="N833" t="b">
        <v>1</v>
      </c>
      <c r="P833">
        <f t="shared" si="15"/>
        <v>12.5</v>
      </c>
      <c r="Q833">
        <f t="shared" si="16"/>
        <v>0</v>
      </c>
      <c r="R833">
        <f t="shared" si="17"/>
        <v>10</v>
      </c>
      <c r="S833" t="s">
        <v>442</v>
      </c>
      <c r="T833" t="s">
        <v>258</v>
      </c>
      <c r="V833" t="s">
        <v>8</v>
      </c>
      <c r="X833">
        <v>1</v>
      </c>
      <c r="AF833">
        <v>-76.722821670000002</v>
      </c>
      <c r="AG833">
        <v>3.4779583330000001</v>
      </c>
      <c r="AH833">
        <v>12</v>
      </c>
      <c r="AI833">
        <v>0</v>
      </c>
      <c r="AJ833">
        <v>10</v>
      </c>
      <c r="AK833">
        <v>-76.722941669999997</v>
      </c>
      <c r="AL833">
        <v>3.4790033330000001</v>
      </c>
      <c r="AM833">
        <v>8</v>
      </c>
      <c r="AN833">
        <v>0</v>
      </c>
      <c r="AO833">
        <v>15</v>
      </c>
      <c r="AP833" t="s">
        <v>441</v>
      </c>
      <c r="AQ833" t="s">
        <v>443</v>
      </c>
      <c r="AR833" t="s">
        <v>522</v>
      </c>
    </row>
    <row r="834" spans="1:44" x14ac:dyDescent="0.2">
      <c r="A834">
        <v>2022</v>
      </c>
      <c r="B834" t="s">
        <v>21</v>
      </c>
      <c r="C834" t="s">
        <v>22</v>
      </c>
      <c r="D834" t="s">
        <v>214</v>
      </c>
      <c r="E834" t="s">
        <v>127</v>
      </c>
      <c r="F834" s="9">
        <v>44898</v>
      </c>
      <c r="G834" s="5">
        <v>0.88465277777777773</v>
      </c>
      <c r="H834">
        <v>-76.722876670000005</v>
      </c>
      <c r="I834">
        <v>3.478443333</v>
      </c>
      <c r="J834">
        <v>7</v>
      </c>
      <c r="K834" t="s">
        <v>119</v>
      </c>
      <c r="L834" t="s">
        <v>113</v>
      </c>
      <c r="M834">
        <v>2100</v>
      </c>
      <c r="N834" t="b">
        <v>1</v>
      </c>
      <c r="P834">
        <f t="shared" si="15"/>
        <v>12.5</v>
      </c>
      <c r="Q834">
        <f t="shared" si="16"/>
        <v>0</v>
      </c>
      <c r="R834">
        <f t="shared" si="17"/>
        <v>10</v>
      </c>
      <c r="S834" t="s">
        <v>442</v>
      </c>
      <c r="T834" t="s">
        <v>258</v>
      </c>
      <c r="V834" t="s">
        <v>64</v>
      </c>
      <c r="X834">
        <v>1</v>
      </c>
      <c r="AF834">
        <v>-76.722821670000002</v>
      </c>
      <c r="AG834">
        <v>3.4779583330000001</v>
      </c>
      <c r="AH834">
        <v>12</v>
      </c>
      <c r="AI834">
        <v>0</v>
      </c>
      <c r="AJ834">
        <v>10</v>
      </c>
      <c r="AK834">
        <v>-76.722941669999997</v>
      </c>
      <c r="AL834">
        <v>3.4790033330000001</v>
      </c>
      <c r="AM834">
        <v>8</v>
      </c>
      <c r="AN834">
        <v>0</v>
      </c>
      <c r="AO834">
        <v>15</v>
      </c>
      <c r="AP834" t="s">
        <v>441</v>
      </c>
      <c r="AQ834" t="s">
        <v>443</v>
      </c>
    </row>
    <row r="835" spans="1:44" x14ac:dyDescent="0.2">
      <c r="A835">
        <v>2022</v>
      </c>
      <c r="B835" t="s">
        <v>21</v>
      </c>
      <c r="C835" t="s">
        <v>22</v>
      </c>
      <c r="D835" t="s">
        <v>214</v>
      </c>
      <c r="E835" t="s">
        <v>127</v>
      </c>
      <c r="F835" s="9">
        <v>44898</v>
      </c>
      <c r="G835" s="5">
        <v>0.91380787037037037</v>
      </c>
      <c r="H835">
        <v>-76.722841669999994</v>
      </c>
      <c r="I835">
        <v>3.4785499999999998</v>
      </c>
      <c r="J835">
        <v>7</v>
      </c>
      <c r="K835" t="s">
        <v>112</v>
      </c>
      <c r="L835" t="s">
        <v>120</v>
      </c>
      <c r="M835">
        <v>2100</v>
      </c>
      <c r="N835" t="b">
        <v>1</v>
      </c>
      <c r="P835">
        <f t="shared" si="15"/>
        <v>12.5</v>
      </c>
      <c r="Q835">
        <f t="shared" si="16"/>
        <v>0</v>
      </c>
      <c r="R835">
        <f t="shared" si="17"/>
        <v>10</v>
      </c>
      <c r="S835" t="s">
        <v>442</v>
      </c>
      <c r="T835" t="s">
        <v>258</v>
      </c>
      <c r="V835" t="s">
        <v>8</v>
      </c>
      <c r="X835">
        <v>1</v>
      </c>
      <c r="AF835">
        <v>-76.722821670000002</v>
      </c>
      <c r="AG835">
        <v>3.4779583330000001</v>
      </c>
      <c r="AH835">
        <v>12</v>
      </c>
      <c r="AI835">
        <v>0</v>
      </c>
      <c r="AJ835">
        <v>10</v>
      </c>
      <c r="AK835">
        <v>-76.722941669999997</v>
      </c>
      <c r="AL835">
        <v>3.4790033330000001</v>
      </c>
      <c r="AM835">
        <v>8</v>
      </c>
      <c r="AN835">
        <v>0</v>
      </c>
      <c r="AO835">
        <v>15</v>
      </c>
      <c r="AP835" t="s">
        <v>441</v>
      </c>
      <c r="AQ835" t="s">
        <v>443</v>
      </c>
    </row>
    <row r="836" spans="1:44" x14ac:dyDescent="0.2">
      <c r="A836">
        <v>2022</v>
      </c>
      <c r="B836" t="s">
        <v>21</v>
      </c>
      <c r="C836" t="s">
        <v>23</v>
      </c>
      <c r="D836" t="s">
        <v>158</v>
      </c>
      <c r="E836" t="s">
        <v>111</v>
      </c>
      <c r="F836" s="9">
        <v>44898</v>
      </c>
      <c r="G836" s="5">
        <v>0.96666666666666667</v>
      </c>
      <c r="H836">
        <v>-76.723218329999995</v>
      </c>
      <c r="I836">
        <v>3.4831249999999998</v>
      </c>
      <c r="J836">
        <v>7</v>
      </c>
      <c r="K836" t="s">
        <v>119</v>
      </c>
      <c r="L836" t="s">
        <v>120</v>
      </c>
      <c r="M836">
        <v>2100</v>
      </c>
      <c r="N836" t="b">
        <v>1</v>
      </c>
      <c r="P836">
        <f t="shared" si="15"/>
        <v>9</v>
      </c>
      <c r="Q836">
        <f t="shared" si="16"/>
        <v>0</v>
      </c>
      <c r="R836">
        <f t="shared" si="17"/>
        <v>15</v>
      </c>
      <c r="S836" t="s">
        <v>442</v>
      </c>
      <c r="T836" t="s">
        <v>145</v>
      </c>
      <c r="V836" t="s">
        <v>9</v>
      </c>
      <c r="X836">
        <v>1</v>
      </c>
      <c r="AF836">
        <v>-76.722986669999997</v>
      </c>
      <c r="AG836">
        <v>3.4827900000000001</v>
      </c>
      <c r="AH836">
        <v>15</v>
      </c>
      <c r="AI836">
        <v>0</v>
      </c>
      <c r="AJ836">
        <v>8</v>
      </c>
      <c r="AK836">
        <v>-76.723496670000003</v>
      </c>
      <c r="AL836">
        <v>3.48339</v>
      </c>
      <c r="AM836">
        <v>15</v>
      </c>
      <c r="AN836">
        <v>0</v>
      </c>
      <c r="AO836">
        <v>10</v>
      </c>
      <c r="AP836" t="s">
        <v>441</v>
      </c>
      <c r="AQ836" t="s">
        <v>443</v>
      </c>
    </row>
    <row r="837" spans="1:44" x14ac:dyDescent="0.2">
      <c r="A837">
        <v>2022</v>
      </c>
      <c r="B837" t="s">
        <v>21</v>
      </c>
      <c r="C837" t="s">
        <v>23</v>
      </c>
      <c r="D837" t="s">
        <v>158</v>
      </c>
      <c r="E837" t="s">
        <v>111</v>
      </c>
      <c r="F837" s="9">
        <v>44898</v>
      </c>
      <c r="G837" s="5">
        <v>0.96370370370370373</v>
      </c>
      <c r="H837">
        <v>-76.723050000000001</v>
      </c>
      <c r="I837">
        <v>3.4828749999999999</v>
      </c>
      <c r="J837">
        <v>7</v>
      </c>
      <c r="K837" t="s">
        <v>112</v>
      </c>
      <c r="L837" t="s">
        <v>120</v>
      </c>
      <c r="M837">
        <v>2100</v>
      </c>
      <c r="N837" t="b">
        <v>1</v>
      </c>
      <c r="P837">
        <f t="shared" si="15"/>
        <v>9</v>
      </c>
      <c r="Q837">
        <f t="shared" si="16"/>
        <v>0</v>
      </c>
      <c r="R837">
        <f t="shared" si="17"/>
        <v>15</v>
      </c>
      <c r="S837" t="s">
        <v>442</v>
      </c>
      <c r="T837" t="s">
        <v>145</v>
      </c>
      <c r="V837" t="s">
        <v>9</v>
      </c>
      <c r="X837">
        <v>2</v>
      </c>
      <c r="AF837">
        <v>-76.722986669999997</v>
      </c>
      <c r="AG837">
        <v>3.4827900000000001</v>
      </c>
      <c r="AH837">
        <v>15</v>
      </c>
      <c r="AI837">
        <v>0</v>
      </c>
      <c r="AJ837">
        <v>8</v>
      </c>
      <c r="AK837">
        <v>-76.723496670000003</v>
      </c>
      <c r="AL837">
        <v>3.48339</v>
      </c>
      <c r="AM837">
        <v>15</v>
      </c>
      <c r="AN837">
        <v>0</v>
      </c>
      <c r="AO837">
        <v>10</v>
      </c>
      <c r="AP837" t="s">
        <v>441</v>
      </c>
      <c r="AQ837" t="s">
        <v>443</v>
      </c>
    </row>
    <row r="838" spans="1:44" x14ac:dyDescent="0.2">
      <c r="A838">
        <v>2022</v>
      </c>
      <c r="B838" t="s">
        <v>21</v>
      </c>
      <c r="C838" t="s">
        <v>23</v>
      </c>
      <c r="D838" t="s">
        <v>158</v>
      </c>
      <c r="E838" t="s">
        <v>111</v>
      </c>
      <c r="F838" s="9">
        <v>44898</v>
      </c>
      <c r="G838" s="5">
        <v>0.96370370370370373</v>
      </c>
      <c r="H838">
        <v>-76.723050000000001</v>
      </c>
      <c r="I838">
        <v>3.4828749999999999</v>
      </c>
      <c r="J838">
        <v>7</v>
      </c>
      <c r="K838" t="s">
        <v>119</v>
      </c>
      <c r="L838" t="s">
        <v>113</v>
      </c>
      <c r="M838">
        <v>2100</v>
      </c>
      <c r="N838" t="b">
        <v>1</v>
      </c>
      <c r="P838">
        <f t="shared" si="15"/>
        <v>9</v>
      </c>
      <c r="Q838">
        <f t="shared" si="16"/>
        <v>0</v>
      </c>
      <c r="R838">
        <f t="shared" si="17"/>
        <v>15</v>
      </c>
      <c r="S838" t="s">
        <v>442</v>
      </c>
      <c r="T838" t="s">
        <v>145</v>
      </c>
      <c r="V838" t="s">
        <v>9</v>
      </c>
      <c r="X838">
        <v>1</v>
      </c>
      <c r="AF838">
        <v>-76.722986669999997</v>
      </c>
      <c r="AG838">
        <v>3.4827900000000001</v>
      </c>
      <c r="AH838">
        <v>15</v>
      </c>
      <c r="AI838">
        <v>0</v>
      </c>
      <c r="AJ838">
        <v>8</v>
      </c>
      <c r="AK838">
        <v>-76.723496670000003</v>
      </c>
      <c r="AL838">
        <v>3.48339</v>
      </c>
      <c r="AM838">
        <v>15</v>
      </c>
      <c r="AN838">
        <v>0</v>
      </c>
      <c r="AO838">
        <v>10</v>
      </c>
      <c r="AP838" t="s">
        <v>441</v>
      </c>
      <c r="AQ838" t="s">
        <v>443</v>
      </c>
    </row>
    <row r="839" spans="1:44" x14ac:dyDescent="0.2">
      <c r="A839">
        <v>2022</v>
      </c>
      <c r="B839" t="s">
        <v>21</v>
      </c>
      <c r="C839" t="s">
        <v>23</v>
      </c>
      <c r="D839" t="s">
        <v>158</v>
      </c>
      <c r="E839" t="s">
        <v>111</v>
      </c>
      <c r="F839" s="9">
        <v>44898</v>
      </c>
      <c r="G839" s="5">
        <v>0.96998842592592593</v>
      </c>
      <c r="H839">
        <v>-76.723496670000003</v>
      </c>
      <c r="I839">
        <v>3.48339</v>
      </c>
      <c r="J839">
        <v>7</v>
      </c>
      <c r="K839" t="s">
        <v>112</v>
      </c>
      <c r="L839" t="s">
        <v>136</v>
      </c>
      <c r="M839">
        <v>2100</v>
      </c>
      <c r="N839" t="b">
        <v>1</v>
      </c>
      <c r="P839">
        <f t="shared" si="15"/>
        <v>9</v>
      </c>
      <c r="Q839">
        <f t="shared" si="16"/>
        <v>0</v>
      </c>
      <c r="R839">
        <f t="shared" si="17"/>
        <v>15</v>
      </c>
      <c r="S839" t="s">
        <v>442</v>
      </c>
      <c r="T839" t="s">
        <v>145</v>
      </c>
      <c r="V839" t="s">
        <v>9</v>
      </c>
      <c r="X839">
        <v>1</v>
      </c>
      <c r="AF839">
        <v>-76.722986669999997</v>
      </c>
      <c r="AG839">
        <v>3.4827900000000001</v>
      </c>
      <c r="AH839">
        <v>15</v>
      </c>
      <c r="AI839">
        <v>0</v>
      </c>
      <c r="AJ839">
        <v>8</v>
      </c>
      <c r="AK839">
        <v>-76.723496670000003</v>
      </c>
      <c r="AL839">
        <v>3.48339</v>
      </c>
      <c r="AM839">
        <v>15</v>
      </c>
      <c r="AN839">
        <v>0</v>
      </c>
      <c r="AO839">
        <v>10</v>
      </c>
      <c r="AP839" t="s">
        <v>441</v>
      </c>
      <c r="AQ839" t="s">
        <v>443</v>
      </c>
      <c r="AR839" t="s">
        <v>522</v>
      </c>
    </row>
    <row r="840" spans="1:44" x14ac:dyDescent="0.2">
      <c r="A840">
        <v>2022</v>
      </c>
      <c r="B840" t="s">
        <v>21</v>
      </c>
      <c r="C840" t="s">
        <v>23</v>
      </c>
      <c r="D840" t="s">
        <v>158</v>
      </c>
      <c r="E840" t="s">
        <v>111</v>
      </c>
      <c r="F840" s="9">
        <v>44898</v>
      </c>
      <c r="G840" s="5">
        <v>0.96554398148148146</v>
      </c>
      <c r="H840">
        <v>-76.723159999999993</v>
      </c>
      <c r="I840">
        <v>3.4830333329999998</v>
      </c>
      <c r="J840">
        <v>7</v>
      </c>
      <c r="K840" t="s">
        <v>119</v>
      </c>
      <c r="L840" t="s">
        <v>136</v>
      </c>
      <c r="M840">
        <v>2100</v>
      </c>
      <c r="N840" t="b">
        <v>1</v>
      </c>
      <c r="P840">
        <f t="shared" si="15"/>
        <v>9</v>
      </c>
      <c r="Q840">
        <f t="shared" si="16"/>
        <v>0</v>
      </c>
      <c r="R840">
        <f t="shared" si="17"/>
        <v>15</v>
      </c>
      <c r="S840" t="s">
        <v>442</v>
      </c>
      <c r="T840" t="s">
        <v>145</v>
      </c>
      <c r="V840" t="s">
        <v>9</v>
      </c>
      <c r="X840">
        <v>1</v>
      </c>
      <c r="AF840">
        <v>-76.722986669999997</v>
      </c>
      <c r="AG840">
        <v>3.4827900000000001</v>
      </c>
      <c r="AH840">
        <v>15</v>
      </c>
      <c r="AI840">
        <v>0</v>
      </c>
      <c r="AJ840">
        <v>8</v>
      </c>
      <c r="AK840">
        <v>-76.723496670000003</v>
      </c>
      <c r="AL840">
        <v>3.48339</v>
      </c>
      <c r="AM840">
        <v>15</v>
      </c>
      <c r="AN840">
        <v>0</v>
      </c>
      <c r="AO840">
        <v>10</v>
      </c>
      <c r="AP840" t="s">
        <v>441</v>
      </c>
      <c r="AQ840" t="s">
        <v>443</v>
      </c>
      <c r="AR840" t="s">
        <v>522</v>
      </c>
    </row>
    <row r="841" spans="1:44" x14ac:dyDescent="0.2">
      <c r="A841">
        <v>2022</v>
      </c>
      <c r="B841" t="s">
        <v>21</v>
      </c>
      <c r="C841" t="s">
        <v>23</v>
      </c>
      <c r="D841" t="s">
        <v>499</v>
      </c>
      <c r="E841" t="s">
        <v>127</v>
      </c>
      <c r="F841" s="9">
        <v>44898</v>
      </c>
      <c r="G841" s="5">
        <v>0.9797569444444445</v>
      </c>
      <c r="H841">
        <v>-76.72363833</v>
      </c>
      <c r="I841">
        <v>3.484343333</v>
      </c>
      <c r="J841">
        <v>7</v>
      </c>
      <c r="L841" t="s">
        <v>136</v>
      </c>
      <c r="P841">
        <f t="shared" si="15"/>
        <v>7</v>
      </c>
      <c r="Q841">
        <f t="shared" si="16"/>
        <v>0</v>
      </c>
      <c r="R841">
        <f t="shared" si="17"/>
        <v>7.5</v>
      </c>
      <c r="V841" t="s">
        <v>47</v>
      </c>
      <c r="X841">
        <v>0</v>
      </c>
      <c r="AF841">
        <v>-76.723363329999998</v>
      </c>
      <c r="AG841">
        <v>3.4838133330000001</v>
      </c>
      <c r="AH841">
        <v>10</v>
      </c>
      <c r="AI841">
        <v>0</v>
      </c>
      <c r="AJ841">
        <v>8</v>
      </c>
      <c r="AK841">
        <v>-76.723518330000005</v>
      </c>
      <c r="AL841">
        <v>3.4849033330000001</v>
      </c>
      <c r="AM841">
        <v>5</v>
      </c>
      <c r="AN841">
        <v>0</v>
      </c>
      <c r="AO841">
        <v>6</v>
      </c>
      <c r="AR841" t="s">
        <v>522</v>
      </c>
    </row>
    <row r="842" spans="1:44" x14ac:dyDescent="0.2">
      <c r="A842">
        <v>2022</v>
      </c>
      <c r="B842" t="s">
        <v>21</v>
      </c>
      <c r="C842" t="s">
        <v>22</v>
      </c>
      <c r="D842" t="s">
        <v>163</v>
      </c>
      <c r="E842" t="s">
        <v>157</v>
      </c>
      <c r="F842" s="9">
        <v>44898</v>
      </c>
      <c r="G842" s="5">
        <v>0.94459490740740737</v>
      </c>
      <c r="H842">
        <v>-76.723198330000002</v>
      </c>
      <c r="I842">
        <v>3.4810266670000001</v>
      </c>
      <c r="J842">
        <v>7</v>
      </c>
      <c r="K842" t="s">
        <v>112</v>
      </c>
      <c r="L842" t="s">
        <v>136</v>
      </c>
      <c r="M842">
        <v>2100</v>
      </c>
      <c r="N842" t="b">
        <v>1</v>
      </c>
      <c r="P842">
        <f t="shared" si="15"/>
        <v>15</v>
      </c>
      <c r="Q842">
        <f t="shared" si="16"/>
        <v>0</v>
      </c>
      <c r="R842">
        <f t="shared" si="17"/>
        <v>9</v>
      </c>
      <c r="S842" t="s">
        <v>442</v>
      </c>
      <c r="T842" t="s">
        <v>258</v>
      </c>
      <c r="V842" t="s">
        <v>8</v>
      </c>
      <c r="X842">
        <v>1</v>
      </c>
      <c r="AF842">
        <v>-76.723145000000002</v>
      </c>
      <c r="AG842">
        <v>3.480276667</v>
      </c>
      <c r="AH842">
        <v>8</v>
      </c>
      <c r="AI842">
        <v>0</v>
      </c>
      <c r="AJ842">
        <v>15</v>
      </c>
      <c r="AK842">
        <v>-76.723198330000002</v>
      </c>
      <c r="AL842">
        <v>3.4810266670000001</v>
      </c>
      <c r="AM842">
        <v>10</v>
      </c>
      <c r="AN842">
        <v>0</v>
      </c>
      <c r="AO842">
        <v>15</v>
      </c>
      <c r="AP842" t="s">
        <v>441</v>
      </c>
      <c r="AQ842" t="s">
        <v>443</v>
      </c>
      <c r="AR842" t="s">
        <v>522</v>
      </c>
    </row>
    <row r="843" spans="1:44" x14ac:dyDescent="0.2">
      <c r="A843">
        <v>2022</v>
      </c>
      <c r="B843" t="s">
        <v>21</v>
      </c>
      <c r="C843" t="s">
        <v>22</v>
      </c>
      <c r="D843" t="s">
        <v>163</v>
      </c>
      <c r="E843" t="s">
        <v>157</v>
      </c>
      <c r="F843" s="9">
        <v>44898</v>
      </c>
      <c r="G843" s="5">
        <v>0.94070601851851854</v>
      </c>
      <c r="H843">
        <v>-76.723325000000003</v>
      </c>
      <c r="I843">
        <v>3.4808783330000002</v>
      </c>
      <c r="J843">
        <v>7</v>
      </c>
      <c r="K843" t="s">
        <v>112</v>
      </c>
      <c r="L843" t="s">
        <v>136</v>
      </c>
      <c r="M843">
        <v>2100</v>
      </c>
      <c r="N843" t="b">
        <v>1</v>
      </c>
      <c r="P843">
        <f t="shared" si="15"/>
        <v>15</v>
      </c>
      <c r="Q843">
        <f t="shared" si="16"/>
        <v>0</v>
      </c>
      <c r="R843">
        <f t="shared" si="17"/>
        <v>9</v>
      </c>
      <c r="S843" t="s">
        <v>442</v>
      </c>
      <c r="T843" t="s">
        <v>258</v>
      </c>
      <c r="V843" t="s">
        <v>8</v>
      </c>
      <c r="X843">
        <v>1</v>
      </c>
      <c r="AF843">
        <v>-76.723145000000002</v>
      </c>
      <c r="AG843">
        <v>3.480276667</v>
      </c>
      <c r="AH843">
        <v>8</v>
      </c>
      <c r="AI843">
        <v>0</v>
      </c>
      <c r="AJ843">
        <v>15</v>
      </c>
      <c r="AK843">
        <v>-76.723198330000002</v>
      </c>
      <c r="AL843">
        <v>3.4810266670000001</v>
      </c>
      <c r="AM843">
        <v>10</v>
      </c>
      <c r="AN843">
        <v>0</v>
      </c>
      <c r="AO843">
        <v>15</v>
      </c>
      <c r="AP843" t="s">
        <v>441</v>
      </c>
      <c r="AQ843" t="s">
        <v>443</v>
      </c>
      <c r="AR843" t="s">
        <v>522</v>
      </c>
    </row>
    <row r="844" spans="1:44" x14ac:dyDescent="0.2">
      <c r="A844">
        <v>2022</v>
      </c>
      <c r="B844" t="s">
        <v>21</v>
      </c>
      <c r="C844" t="s">
        <v>22</v>
      </c>
      <c r="D844" t="s">
        <v>163</v>
      </c>
      <c r="E844" t="s">
        <v>157</v>
      </c>
      <c r="F844" s="9">
        <v>44898</v>
      </c>
      <c r="G844" s="5">
        <v>0.94267361111111114</v>
      </c>
      <c r="H844">
        <v>-76.723150000000004</v>
      </c>
      <c r="I844">
        <v>3.480823333</v>
      </c>
      <c r="J844">
        <v>7</v>
      </c>
      <c r="K844" t="s">
        <v>119</v>
      </c>
      <c r="L844" t="s">
        <v>136</v>
      </c>
      <c r="M844">
        <v>2100</v>
      </c>
      <c r="N844" t="b">
        <v>1</v>
      </c>
      <c r="P844">
        <f t="shared" si="15"/>
        <v>15</v>
      </c>
      <c r="Q844">
        <f t="shared" si="16"/>
        <v>0</v>
      </c>
      <c r="R844">
        <f t="shared" si="17"/>
        <v>9</v>
      </c>
      <c r="S844" t="s">
        <v>442</v>
      </c>
      <c r="T844" t="s">
        <v>258</v>
      </c>
      <c r="V844" t="s">
        <v>8</v>
      </c>
      <c r="X844">
        <v>1</v>
      </c>
      <c r="AF844">
        <v>-76.723145000000002</v>
      </c>
      <c r="AG844">
        <v>3.480276667</v>
      </c>
      <c r="AH844">
        <v>8</v>
      </c>
      <c r="AI844">
        <v>0</v>
      </c>
      <c r="AJ844">
        <v>15</v>
      </c>
      <c r="AK844">
        <v>-76.723198330000002</v>
      </c>
      <c r="AL844">
        <v>3.4810266670000001</v>
      </c>
      <c r="AM844">
        <v>10</v>
      </c>
      <c r="AN844">
        <v>0</v>
      </c>
      <c r="AO844">
        <v>15</v>
      </c>
      <c r="AP844" t="s">
        <v>441</v>
      </c>
      <c r="AQ844" t="s">
        <v>443</v>
      </c>
      <c r="AR844" t="s">
        <v>522</v>
      </c>
    </row>
    <row r="845" spans="1:44" x14ac:dyDescent="0.2">
      <c r="A845">
        <v>2022</v>
      </c>
      <c r="B845" t="s">
        <v>21</v>
      </c>
      <c r="C845" t="s">
        <v>22</v>
      </c>
      <c r="D845" t="s">
        <v>163</v>
      </c>
      <c r="E845" t="s">
        <v>157</v>
      </c>
      <c r="F845" s="9">
        <v>44898</v>
      </c>
      <c r="G845" s="5">
        <v>0.93425925925925923</v>
      </c>
      <c r="H845">
        <v>-76.723183329999998</v>
      </c>
      <c r="I845">
        <v>3.4803483329999998</v>
      </c>
      <c r="J845">
        <v>7</v>
      </c>
      <c r="K845" t="s">
        <v>112</v>
      </c>
      <c r="L845" t="s">
        <v>136</v>
      </c>
      <c r="M845">
        <v>2100</v>
      </c>
      <c r="P845">
        <f t="shared" si="15"/>
        <v>15</v>
      </c>
      <c r="Q845">
        <f t="shared" si="16"/>
        <v>0</v>
      </c>
      <c r="R845">
        <f t="shared" si="17"/>
        <v>9</v>
      </c>
      <c r="S845" t="s">
        <v>442</v>
      </c>
      <c r="T845" t="s">
        <v>258</v>
      </c>
      <c r="V845" t="s">
        <v>4</v>
      </c>
      <c r="X845">
        <v>1</v>
      </c>
      <c r="AF845">
        <v>-76.723145000000002</v>
      </c>
      <c r="AG845">
        <v>3.480276667</v>
      </c>
      <c r="AH845">
        <v>8</v>
      </c>
      <c r="AI845">
        <v>0</v>
      </c>
      <c r="AJ845">
        <v>15</v>
      </c>
      <c r="AK845">
        <v>-76.723198330000002</v>
      </c>
      <c r="AL845">
        <v>3.4810266670000001</v>
      </c>
      <c r="AM845">
        <v>10</v>
      </c>
      <c r="AN845">
        <v>0</v>
      </c>
      <c r="AO845">
        <v>15</v>
      </c>
      <c r="AP845" t="s">
        <v>450</v>
      </c>
      <c r="AQ845" t="s">
        <v>244</v>
      </c>
      <c r="AR845" t="s">
        <v>522</v>
      </c>
    </row>
    <row r="846" spans="1:44" x14ac:dyDescent="0.2">
      <c r="A846">
        <v>2022</v>
      </c>
      <c r="B846" t="s">
        <v>21</v>
      </c>
      <c r="C846" t="s">
        <v>22</v>
      </c>
      <c r="D846" t="s">
        <v>163</v>
      </c>
      <c r="E846" t="s">
        <v>157</v>
      </c>
      <c r="F846" s="9">
        <v>44898</v>
      </c>
      <c r="G846" s="5">
        <v>0.93425925925925923</v>
      </c>
      <c r="H846">
        <v>-76.723183329999998</v>
      </c>
      <c r="I846">
        <v>3.4803483329999998</v>
      </c>
      <c r="J846">
        <v>7</v>
      </c>
      <c r="K846" t="s">
        <v>112</v>
      </c>
      <c r="L846" t="s">
        <v>113</v>
      </c>
      <c r="M846">
        <v>2100</v>
      </c>
      <c r="N846" t="b">
        <v>1</v>
      </c>
      <c r="P846">
        <f t="shared" si="15"/>
        <v>15</v>
      </c>
      <c r="Q846">
        <f t="shared" si="16"/>
        <v>0</v>
      </c>
      <c r="R846">
        <f t="shared" si="17"/>
        <v>9</v>
      </c>
      <c r="S846" t="s">
        <v>442</v>
      </c>
      <c r="T846" t="s">
        <v>258</v>
      </c>
      <c r="V846" t="s">
        <v>64</v>
      </c>
      <c r="X846">
        <v>3</v>
      </c>
      <c r="AF846">
        <v>-76.723145000000002</v>
      </c>
      <c r="AG846">
        <v>3.480276667</v>
      </c>
      <c r="AH846">
        <v>8</v>
      </c>
      <c r="AI846">
        <v>0</v>
      </c>
      <c r="AJ846">
        <v>15</v>
      </c>
      <c r="AK846">
        <v>-76.723198330000002</v>
      </c>
      <c r="AL846">
        <v>3.4810266670000001</v>
      </c>
      <c r="AM846">
        <v>10</v>
      </c>
      <c r="AN846">
        <v>0</v>
      </c>
      <c r="AO846">
        <v>15</v>
      </c>
      <c r="AP846" t="s">
        <v>441</v>
      </c>
      <c r="AQ846" t="s">
        <v>244</v>
      </c>
    </row>
    <row r="847" spans="1:44" x14ac:dyDescent="0.2">
      <c r="A847">
        <v>2022</v>
      </c>
      <c r="B847" t="s">
        <v>21</v>
      </c>
      <c r="C847" t="s">
        <v>22</v>
      </c>
      <c r="D847" t="s">
        <v>163</v>
      </c>
      <c r="E847" t="s">
        <v>157</v>
      </c>
      <c r="F847" s="9">
        <v>44898</v>
      </c>
      <c r="G847" s="5">
        <v>0.93782407407407409</v>
      </c>
      <c r="H847">
        <v>-76.723238330000001</v>
      </c>
      <c r="I847">
        <v>3.48062</v>
      </c>
      <c r="J847">
        <v>7</v>
      </c>
      <c r="K847" t="s">
        <v>112</v>
      </c>
      <c r="L847" t="s">
        <v>113</v>
      </c>
      <c r="N847" t="b">
        <v>1</v>
      </c>
      <c r="P847">
        <f t="shared" si="15"/>
        <v>15</v>
      </c>
      <c r="Q847">
        <f t="shared" si="16"/>
        <v>0</v>
      </c>
      <c r="R847">
        <f t="shared" si="17"/>
        <v>9</v>
      </c>
      <c r="S847" t="s">
        <v>318</v>
      </c>
      <c r="T847" t="s">
        <v>258</v>
      </c>
      <c r="V847" t="s">
        <v>4</v>
      </c>
      <c r="X847">
        <v>1</v>
      </c>
      <c r="AF847">
        <v>-76.723145000000002</v>
      </c>
      <c r="AG847">
        <v>3.480276667</v>
      </c>
      <c r="AH847">
        <v>8</v>
      </c>
      <c r="AI847">
        <v>0</v>
      </c>
      <c r="AJ847">
        <v>15</v>
      </c>
      <c r="AK847">
        <v>-76.723198330000002</v>
      </c>
      <c r="AL847">
        <v>3.4810266670000001</v>
      </c>
      <c r="AM847">
        <v>10</v>
      </c>
      <c r="AN847">
        <v>0</v>
      </c>
      <c r="AO847">
        <v>15</v>
      </c>
      <c r="AP847" t="s">
        <v>450</v>
      </c>
      <c r="AQ847" t="s">
        <v>443</v>
      </c>
    </row>
    <row r="848" spans="1:44" x14ac:dyDescent="0.2">
      <c r="A848">
        <v>2022</v>
      </c>
      <c r="B848" t="s">
        <v>21</v>
      </c>
      <c r="C848" t="s">
        <v>22</v>
      </c>
      <c r="D848" t="s">
        <v>211</v>
      </c>
      <c r="E848" t="s">
        <v>135</v>
      </c>
      <c r="F848" s="9">
        <v>44898</v>
      </c>
      <c r="G848" s="5">
        <v>0.92159722222222218</v>
      </c>
      <c r="H848">
        <v>-76.723048329999997</v>
      </c>
      <c r="I848">
        <v>3.4791949999999998</v>
      </c>
      <c r="J848">
        <v>7</v>
      </c>
      <c r="K848" t="s">
        <v>112</v>
      </c>
      <c r="L848" t="s">
        <v>120</v>
      </c>
      <c r="M848">
        <v>2100</v>
      </c>
      <c r="N848" t="b">
        <v>1</v>
      </c>
      <c r="P848">
        <f t="shared" si="15"/>
        <v>15</v>
      </c>
      <c r="Q848">
        <f t="shared" si="16"/>
        <v>0</v>
      </c>
      <c r="R848">
        <f t="shared" si="17"/>
        <v>9</v>
      </c>
      <c r="S848" t="s">
        <v>442</v>
      </c>
      <c r="T848" t="s">
        <v>258</v>
      </c>
      <c r="V848" t="s">
        <v>8</v>
      </c>
      <c r="X848">
        <v>1</v>
      </c>
      <c r="AF848">
        <v>-76.723048329999997</v>
      </c>
      <c r="AG848">
        <v>3.4791949999999998</v>
      </c>
      <c r="AH848">
        <v>10</v>
      </c>
      <c r="AI848">
        <v>0</v>
      </c>
      <c r="AJ848">
        <v>15</v>
      </c>
      <c r="AK848">
        <v>-76.723145000000002</v>
      </c>
      <c r="AL848">
        <v>3.480276667</v>
      </c>
      <c r="AM848">
        <v>8</v>
      </c>
      <c r="AN848">
        <v>0</v>
      </c>
      <c r="AO848">
        <v>15</v>
      </c>
      <c r="AP848" t="s">
        <v>441</v>
      </c>
      <c r="AQ848" t="s">
        <v>443</v>
      </c>
    </row>
    <row r="849" spans="1:44" x14ac:dyDescent="0.2">
      <c r="A849">
        <v>2022</v>
      </c>
      <c r="B849" t="s">
        <v>21</v>
      </c>
      <c r="C849" t="s">
        <v>22</v>
      </c>
      <c r="D849" t="s">
        <v>211</v>
      </c>
      <c r="E849" t="s">
        <v>135</v>
      </c>
      <c r="F849" s="9">
        <v>44898</v>
      </c>
      <c r="G849" s="5">
        <v>0.9271759259259259</v>
      </c>
      <c r="H849">
        <v>-76.723073330000005</v>
      </c>
      <c r="I849">
        <v>3.4795466670000001</v>
      </c>
      <c r="J849">
        <v>7</v>
      </c>
      <c r="K849" t="s">
        <v>112</v>
      </c>
      <c r="L849" t="s">
        <v>136</v>
      </c>
      <c r="M849">
        <v>2100</v>
      </c>
      <c r="N849" t="b">
        <v>1</v>
      </c>
      <c r="P849">
        <f t="shared" si="15"/>
        <v>15</v>
      </c>
      <c r="Q849">
        <f t="shared" si="16"/>
        <v>0</v>
      </c>
      <c r="R849">
        <f t="shared" si="17"/>
        <v>9</v>
      </c>
      <c r="S849" t="s">
        <v>442</v>
      </c>
      <c r="T849" t="s">
        <v>258</v>
      </c>
      <c r="V849" t="s">
        <v>8</v>
      </c>
      <c r="X849">
        <v>1</v>
      </c>
      <c r="AF849">
        <v>-76.723048329999997</v>
      </c>
      <c r="AG849">
        <v>3.4791949999999998</v>
      </c>
      <c r="AH849">
        <v>10</v>
      </c>
      <c r="AI849">
        <v>0</v>
      </c>
      <c r="AJ849">
        <v>15</v>
      </c>
      <c r="AK849">
        <v>-76.723145000000002</v>
      </c>
      <c r="AL849">
        <v>3.480276667</v>
      </c>
      <c r="AM849">
        <v>8</v>
      </c>
      <c r="AN849">
        <v>0</v>
      </c>
      <c r="AO849">
        <v>15</v>
      </c>
      <c r="AP849" t="s">
        <v>441</v>
      </c>
      <c r="AQ849" t="s">
        <v>443</v>
      </c>
      <c r="AR849" t="s">
        <v>522</v>
      </c>
    </row>
    <row r="850" spans="1:44" x14ac:dyDescent="0.2">
      <c r="A850">
        <v>2022</v>
      </c>
      <c r="B850" t="s">
        <v>21</v>
      </c>
      <c r="C850" t="s">
        <v>22</v>
      </c>
      <c r="D850" t="s">
        <v>211</v>
      </c>
      <c r="E850" t="s">
        <v>135</v>
      </c>
      <c r="F850" s="9">
        <v>44898</v>
      </c>
      <c r="G850" s="5">
        <v>0.9271759259259259</v>
      </c>
      <c r="H850">
        <v>-76.723073330000005</v>
      </c>
      <c r="I850">
        <v>3.4795466670000001</v>
      </c>
      <c r="J850">
        <v>7</v>
      </c>
      <c r="K850" t="s">
        <v>119</v>
      </c>
      <c r="L850" t="s">
        <v>113</v>
      </c>
      <c r="M850">
        <v>2100</v>
      </c>
      <c r="N850" t="b">
        <v>1</v>
      </c>
      <c r="P850">
        <f t="shared" si="15"/>
        <v>15</v>
      </c>
      <c r="Q850">
        <f t="shared" si="16"/>
        <v>0</v>
      </c>
      <c r="R850">
        <f t="shared" si="17"/>
        <v>9</v>
      </c>
      <c r="S850" t="s">
        <v>442</v>
      </c>
      <c r="T850" t="s">
        <v>258</v>
      </c>
      <c r="V850" t="s">
        <v>8</v>
      </c>
      <c r="X850">
        <v>1</v>
      </c>
      <c r="AF850">
        <v>-76.723048329999997</v>
      </c>
      <c r="AG850">
        <v>3.4791949999999998</v>
      </c>
      <c r="AH850">
        <v>10</v>
      </c>
      <c r="AI850">
        <v>0</v>
      </c>
      <c r="AJ850">
        <v>15</v>
      </c>
      <c r="AK850">
        <v>-76.723145000000002</v>
      </c>
      <c r="AL850">
        <v>3.480276667</v>
      </c>
      <c r="AM850">
        <v>8</v>
      </c>
      <c r="AN850">
        <v>0</v>
      </c>
      <c r="AO850">
        <v>15</v>
      </c>
      <c r="AP850" t="s">
        <v>441</v>
      </c>
      <c r="AQ850" t="s">
        <v>443</v>
      </c>
    </row>
    <row r="851" spans="1:44" x14ac:dyDescent="0.2">
      <c r="A851">
        <v>2022</v>
      </c>
      <c r="B851" t="s">
        <v>21</v>
      </c>
      <c r="C851" t="s">
        <v>23</v>
      </c>
      <c r="D851" t="s">
        <v>165</v>
      </c>
      <c r="E851" t="s">
        <v>122</v>
      </c>
      <c r="F851" s="9">
        <v>44898</v>
      </c>
      <c r="G851" s="5">
        <v>0.97346064814814814</v>
      </c>
      <c r="H851">
        <v>-76.72345833</v>
      </c>
      <c r="I851">
        <v>3.483691667</v>
      </c>
      <c r="J851">
        <v>7</v>
      </c>
      <c r="K851" t="s">
        <v>119</v>
      </c>
      <c r="N851" t="b">
        <v>1</v>
      </c>
      <c r="P851">
        <f t="shared" si="15"/>
        <v>8</v>
      </c>
      <c r="Q851">
        <f t="shared" si="16"/>
        <v>0</v>
      </c>
      <c r="R851">
        <f t="shared" si="17"/>
        <v>10</v>
      </c>
      <c r="S851" t="s">
        <v>318</v>
      </c>
      <c r="T851" t="s">
        <v>145</v>
      </c>
      <c r="V851" t="s">
        <v>9</v>
      </c>
      <c r="X851">
        <v>1</v>
      </c>
      <c r="AF851">
        <v>-76.723583329999997</v>
      </c>
      <c r="AG851">
        <v>3.4834533329999999</v>
      </c>
      <c r="AH851">
        <v>10</v>
      </c>
      <c r="AI851">
        <v>0</v>
      </c>
      <c r="AJ851">
        <v>8</v>
      </c>
      <c r="AK851">
        <v>-76.723363329999998</v>
      </c>
      <c r="AL851">
        <v>3.4838133330000001</v>
      </c>
      <c r="AM851">
        <v>10</v>
      </c>
      <c r="AN851">
        <v>0</v>
      </c>
      <c r="AO851">
        <v>8</v>
      </c>
      <c r="AP851" t="s">
        <v>441</v>
      </c>
      <c r="AQ851" t="s">
        <v>443</v>
      </c>
    </row>
    <row r="852" spans="1:44" x14ac:dyDescent="0.2">
      <c r="A852">
        <v>2022</v>
      </c>
      <c r="B852" t="s">
        <v>10</v>
      </c>
      <c r="C852" t="s">
        <v>13</v>
      </c>
      <c r="D852" t="s">
        <v>179</v>
      </c>
      <c r="E852" t="s">
        <v>122</v>
      </c>
      <c r="F852" s="9">
        <v>44882</v>
      </c>
      <c r="G852" s="5">
        <v>0.87718750000000001</v>
      </c>
      <c r="H852">
        <v>-76.643013330000002</v>
      </c>
      <c r="I852">
        <v>3.3496083329999999</v>
      </c>
      <c r="J852">
        <v>7</v>
      </c>
      <c r="K852" t="s">
        <v>112</v>
      </c>
      <c r="L852" t="s">
        <v>523</v>
      </c>
      <c r="M852">
        <v>2369</v>
      </c>
      <c r="N852" t="b">
        <v>1</v>
      </c>
      <c r="P852">
        <f t="shared" si="15"/>
        <v>9</v>
      </c>
      <c r="Q852">
        <f t="shared" si="16"/>
        <v>0</v>
      </c>
      <c r="R852">
        <f t="shared" si="17"/>
        <v>12.5</v>
      </c>
      <c r="S852" t="s">
        <v>518</v>
      </c>
      <c r="T852" t="s">
        <v>258</v>
      </c>
      <c r="V852" t="s">
        <v>9</v>
      </c>
      <c r="X852">
        <v>1</v>
      </c>
      <c r="AF852">
        <v>-76.642979999999994</v>
      </c>
      <c r="AG852">
        <v>3.3492250000000001</v>
      </c>
      <c r="AH852">
        <v>15</v>
      </c>
      <c r="AI852">
        <v>0</v>
      </c>
      <c r="AJ852">
        <v>10</v>
      </c>
      <c r="AK852">
        <v>-76.643304999999998</v>
      </c>
      <c r="AL852">
        <v>3.3496583329999998</v>
      </c>
      <c r="AM852">
        <v>10</v>
      </c>
      <c r="AN852">
        <v>0</v>
      </c>
      <c r="AO852">
        <v>8</v>
      </c>
      <c r="AP852" t="s">
        <v>441</v>
      </c>
      <c r="AQ852" t="s">
        <v>443</v>
      </c>
    </row>
    <row r="853" spans="1:44" x14ac:dyDescent="0.2">
      <c r="A853">
        <v>2022</v>
      </c>
      <c r="B853" t="s">
        <v>10</v>
      </c>
      <c r="C853" t="s">
        <v>13</v>
      </c>
      <c r="D853" t="s">
        <v>179</v>
      </c>
      <c r="E853" t="s">
        <v>122</v>
      </c>
      <c r="F853" s="9">
        <v>44882</v>
      </c>
      <c r="G853" s="5">
        <v>0.87418981481481484</v>
      </c>
      <c r="H853">
        <v>-76.642908329999997</v>
      </c>
      <c r="I853">
        <v>3.3493283329999999</v>
      </c>
      <c r="J853">
        <v>7</v>
      </c>
      <c r="K853" t="s">
        <v>119</v>
      </c>
      <c r="L853" t="s">
        <v>524</v>
      </c>
      <c r="M853">
        <v>2369</v>
      </c>
      <c r="N853" t="b">
        <v>1</v>
      </c>
      <c r="P853">
        <f t="shared" si="15"/>
        <v>9</v>
      </c>
      <c r="Q853">
        <f t="shared" si="16"/>
        <v>0</v>
      </c>
      <c r="R853">
        <f t="shared" si="17"/>
        <v>12.5</v>
      </c>
      <c r="S853" t="s">
        <v>518</v>
      </c>
      <c r="T853" t="s">
        <v>258</v>
      </c>
      <c r="V853" t="s">
        <v>9</v>
      </c>
      <c r="X853">
        <v>1</v>
      </c>
      <c r="AF853">
        <v>-76.642979999999994</v>
      </c>
      <c r="AG853">
        <v>3.3492250000000001</v>
      </c>
      <c r="AH853">
        <v>15</v>
      </c>
      <c r="AI853">
        <v>0</v>
      </c>
      <c r="AJ853">
        <v>10</v>
      </c>
      <c r="AK853">
        <v>-76.643304999999998</v>
      </c>
      <c r="AL853">
        <v>3.3496583329999998</v>
      </c>
      <c r="AM853">
        <v>10</v>
      </c>
      <c r="AN853">
        <v>0</v>
      </c>
      <c r="AO853">
        <v>8</v>
      </c>
      <c r="AP853" t="s">
        <v>441</v>
      </c>
      <c r="AQ853" t="s">
        <v>443</v>
      </c>
    </row>
    <row r="854" spans="1:44" x14ac:dyDescent="0.2">
      <c r="A854">
        <v>2022</v>
      </c>
      <c r="B854" t="s">
        <v>10</v>
      </c>
      <c r="C854" t="s">
        <v>13</v>
      </c>
      <c r="D854" t="s">
        <v>179</v>
      </c>
      <c r="E854" t="s">
        <v>122</v>
      </c>
      <c r="F854" s="9">
        <v>44882</v>
      </c>
      <c r="G854" s="5">
        <v>0.88339120370370372</v>
      </c>
      <c r="H854">
        <v>-76.643021669999996</v>
      </c>
      <c r="I854">
        <v>3.3496166669999998</v>
      </c>
      <c r="J854">
        <v>7</v>
      </c>
      <c r="K854" t="s">
        <v>112</v>
      </c>
      <c r="L854" t="s">
        <v>523</v>
      </c>
      <c r="M854">
        <v>2369</v>
      </c>
      <c r="N854" t="b">
        <v>1</v>
      </c>
      <c r="P854">
        <f t="shared" si="15"/>
        <v>9</v>
      </c>
      <c r="Q854">
        <f t="shared" si="16"/>
        <v>0</v>
      </c>
      <c r="R854">
        <f t="shared" si="17"/>
        <v>12.5</v>
      </c>
      <c r="S854" t="s">
        <v>518</v>
      </c>
      <c r="T854" t="s">
        <v>258</v>
      </c>
      <c r="V854" t="s">
        <v>9</v>
      </c>
      <c r="X854">
        <v>2</v>
      </c>
      <c r="AF854">
        <v>-76.642979999999994</v>
      </c>
      <c r="AG854">
        <v>3.3492250000000001</v>
      </c>
      <c r="AH854">
        <v>15</v>
      </c>
      <c r="AI854">
        <v>0</v>
      </c>
      <c r="AJ854">
        <v>10</v>
      </c>
      <c r="AK854">
        <v>-76.643304999999998</v>
      </c>
      <c r="AL854">
        <v>3.3496583329999998</v>
      </c>
      <c r="AM854">
        <v>10</v>
      </c>
      <c r="AN854">
        <v>0</v>
      </c>
      <c r="AO854">
        <v>8</v>
      </c>
      <c r="AP854" t="s">
        <v>441</v>
      </c>
      <c r="AQ854" t="s">
        <v>443</v>
      </c>
    </row>
    <row r="855" spans="1:44" x14ac:dyDescent="0.2">
      <c r="A855">
        <v>2022</v>
      </c>
      <c r="B855" t="s">
        <v>10</v>
      </c>
      <c r="C855" t="s">
        <v>13</v>
      </c>
      <c r="D855" t="s">
        <v>179</v>
      </c>
      <c r="E855" t="s">
        <v>122</v>
      </c>
      <c r="F855" s="9">
        <v>44882</v>
      </c>
      <c r="G855" s="5">
        <v>0.8860069444444445</v>
      </c>
      <c r="H855">
        <v>-76.642705000000007</v>
      </c>
      <c r="I855">
        <v>3.34931</v>
      </c>
      <c r="J855">
        <v>7</v>
      </c>
      <c r="K855" t="s">
        <v>119</v>
      </c>
      <c r="L855" t="s">
        <v>113</v>
      </c>
      <c r="M855">
        <v>2369</v>
      </c>
      <c r="N855" t="b">
        <v>1</v>
      </c>
      <c r="P855">
        <f t="shared" si="15"/>
        <v>9</v>
      </c>
      <c r="Q855">
        <f t="shared" si="16"/>
        <v>0</v>
      </c>
      <c r="R855">
        <f t="shared" si="17"/>
        <v>12.5</v>
      </c>
      <c r="S855" t="s">
        <v>518</v>
      </c>
      <c r="T855" t="s">
        <v>258</v>
      </c>
      <c r="V855" t="s">
        <v>9</v>
      </c>
      <c r="X855">
        <v>1</v>
      </c>
      <c r="AF855">
        <v>-76.642979999999994</v>
      </c>
      <c r="AG855">
        <v>3.3492250000000001</v>
      </c>
      <c r="AH855">
        <v>15</v>
      </c>
      <c r="AI855">
        <v>0</v>
      </c>
      <c r="AJ855">
        <v>10</v>
      </c>
      <c r="AK855">
        <v>-76.643304999999998</v>
      </c>
      <c r="AL855">
        <v>3.3496583329999998</v>
      </c>
      <c r="AM855">
        <v>10</v>
      </c>
      <c r="AN855">
        <v>0</v>
      </c>
      <c r="AO855">
        <v>8</v>
      </c>
      <c r="AP855" t="s">
        <v>441</v>
      </c>
      <c r="AQ855" t="s">
        <v>443</v>
      </c>
    </row>
    <row r="856" spans="1:44" x14ac:dyDescent="0.2">
      <c r="A856">
        <v>2022</v>
      </c>
      <c r="B856" t="s">
        <v>10</v>
      </c>
      <c r="C856" t="s">
        <v>13</v>
      </c>
      <c r="D856" t="s">
        <v>179</v>
      </c>
      <c r="E856" t="s">
        <v>122</v>
      </c>
      <c r="F856" s="9">
        <v>44882</v>
      </c>
      <c r="G856" s="5">
        <v>0.88148148148148153</v>
      </c>
      <c r="H856">
        <v>-76.643036670000001</v>
      </c>
      <c r="I856">
        <v>3.3495783330000002</v>
      </c>
      <c r="J856">
        <v>7</v>
      </c>
      <c r="K856" t="s">
        <v>119</v>
      </c>
      <c r="L856" t="s">
        <v>524</v>
      </c>
      <c r="M856">
        <v>2369</v>
      </c>
      <c r="N856" t="b">
        <v>1</v>
      </c>
      <c r="P856">
        <f t="shared" si="15"/>
        <v>9</v>
      </c>
      <c r="Q856">
        <f t="shared" si="16"/>
        <v>0</v>
      </c>
      <c r="R856">
        <f t="shared" si="17"/>
        <v>12.5</v>
      </c>
      <c r="S856" t="s">
        <v>518</v>
      </c>
      <c r="T856" t="s">
        <v>258</v>
      </c>
      <c r="V856" t="s">
        <v>36</v>
      </c>
      <c r="X856">
        <v>1</v>
      </c>
      <c r="AA856" t="s">
        <v>436</v>
      </c>
      <c r="AF856">
        <v>-76.642979999999994</v>
      </c>
      <c r="AG856">
        <v>3.3492250000000001</v>
      </c>
      <c r="AH856">
        <v>15</v>
      </c>
      <c r="AI856">
        <v>0</v>
      </c>
      <c r="AJ856">
        <v>10</v>
      </c>
      <c r="AK856">
        <v>-76.643304999999998</v>
      </c>
      <c r="AL856">
        <v>3.3496583329999998</v>
      </c>
      <c r="AM856">
        <v>10</v>
      </c>
      <c r="AN856">
        <v>0</v>
      </c>
      <c r="AO856">
        <v>8</v>
      </c>
      <c r="AP856" t="s">
        <v>441</v>
      </c>
      <c r="AQ856" t="s">
        <v>443</v>
      </c>
    </row>
    <row r="857" spans="1:44" x14ac:dyDescent="0.2">
      <c r="A857">
        <v>2022</v>
      </c>
      <c r="B857" t="s">
        <v>10</v>
      </c>
      <c r="C857" t="s">
        <v>69</v>
      </c>
      <c r="D857" t="s">
        <v>461</v>
      </c>
      <c r="E857" t="s">
        <v>111</v>
      </c>
      <c r="F857" s="9">
        <v>44882</v>
      </c>
      <c r="G857" s="5">
        <v>0.83174768518518516</v>
      </c>
      <c r="H857">
        <v>-76.642153329999999</v>
      </c>
      <c r="I857">
        <v>3.3496766670000002</v>
      </c>
      <c r="J857">
        <v>7</v>
      </c>
      <c r="K857" t="s">
        <v>119</v>
      </c>
      <c r="L857" t="s">
        <v>524</v>
      </c>
      <c r="M857">
        <v>2369</v>
      </c>
      <c r="N857" t="b">
        <v>1</v>
      </c>
      <c r="P857">
        <f t="shared" si="15"/>
        <v>17.5</v>
      </c>
      <c r="Q857">
        <f t="shared" si="16"/>
        <v>0</v>
      </c>
      <c r="R857">
        <f t="shared" si="17"/>
        <v>20</v>
      </c>
      <c r="S857" t="s">
        <v>518</v>
      </c>
      <c r="T857" t="s">
        <v>258</v>
      </c>
      <c r="V857" t="s">
        <v>9</v>
      </c>
      <c r="X857">
        <v>1</v>
      </c>
      <c r="AF857">
        <v>-76.641183330000004</v>
      </c>
      <c r="AG857">
        <v>3.3499099999999999</v>
      </c>
      <c r="AH857">
        <v>10</v>
      </c>
      <c r="AI857">
        <v>0</v>
      </c>
      <c r="AJ857">
        <v>20</v>
      </c>
      <c r="AK857">
        <v>-76.642153329999999</v>
      </c>
      <c r="AL857">
        <v>3.3496766670000002</v>
      </c>
      <c r="AM857">
        <v>30</v>
      </c>
      <c r="AN857">
        <v>0</v>
      </c>
      <c r="AO857">
        <v>15</v>
      </c>
      <c r="AP857" t="s">
        <v>450</v>
      </c>
      <c r="AQ857" t="s">
        <v>443</v>
      </c>
    </row>
    <row r="858" spans="1:44" x14ac:dyDescent="0.2">
      <c r="A858">
        <v>2022</v>
      </c>
      <c r="B858" t="s">
        <v>10</v>
      </c>
      <c r="C858" t="s">
        <v>69</v>
      </c>
      <c r="D858" t="s">
        <v>461</v>
      </c>
      <c r="E858" t="s">
        <v>111</v>
      </c>
      <c r="F858" s="9">
        <v>44882</v>
      </c>
      <c r="G858" s="5">
        <v>0.81657407407407412</v>
      </c>
      <c r="H858">
        <v>-76.641151669999999</v>
      </c>
      <c r="I858">
        <v>3.3498549999999998</v>
      </c>
      <c r="J858">
        <v>7</v>
      </c>
      <c r="K858" t="s">
        <v>119</v>
      </c>
      <c r="L858" t="s">
        <v>113</v>
      </c>
      <c r="M858">
        <v>2369</v>
      </c>
      <c r="N858" t="b">
        <v>1</v>
      </c>
      <c r="P858">
        <f t="shared" si="15"/>
        <v>17.5</v>
      </c>
      <c r="Q858">
        <f t="shared" si="16"/>
        <v>0</v>
      </c>
      <c r="R858">
        <f t="shared" si="17"/>
        <v>20</v>
      </c>
      <c r="S858" t="s">
        <v>518</v>
      </c>
      <c r="T858" t="s">
        <v>258</v>
      </c>
      <c r="V858" t="s">
        <v>9</v>
      </c>
      <c r="X858">
        <v>1</v>
      </c>
      <c r="AF858">
        <v>-76.641183330000004</v>
      </c>
      <c r="AG858">
        <v>3.3499099999999999</v>
      </c>
      <c r="AH858">
        <v>10</v>
      </c>
      <c r="AI858">
        <v>0</v>
      </c>
      <c r="AJ858">
        <v>20</v>
      </c>
      <c r="AK858">
        <v>-76.642153329999999</v>
      </c>
      <c r="AL858">
        <v>3.3496766670000002</v>
      </c>
      <c r="AM858">
        <v>30</v>
      </c>
      <c r="AN858">
        <v>0</v>
      </c>
      <c r="AO858">
        <v>15</v>
      </c>
      <c r="AP858" t="s">
        <v>441</v>
      </c>
      <c r="AQ858" t="s">
        <v>443</v>
      </c>
    </row>
    <row r="859" spans="1:44" x14ac:dyDescent="0.2">
      <c r="A859">
        <v>2022</v>
      </c>
      <c r="B859" t="s">
        <v>10</v>
      </c>
      <c r="C859" t="s">
        <v>69</v>
      </c>
      <c r="D859" t="s">
        <v>461</v>
      </c>
      <c r="E859" t="s">
        <v>111</v>
      </c>
      <c r="F859" s="9">
        <v>44882</v>
      </c>
      <c r="G859" s="5">
        <v>0.8235069444444445</v>
      </c>
      <c r="H859">
        <v>-76.641673330000003</v>
      </c>
      <c r="I859">
        <v>3.3497599999999998</v>
      </c>
      <c r="J859">
        <v>7</v>
      </c>
      <c r="K859" t="s">
        <v>112</v>
      </c>
      <c r="L859" t="s">
        <v>523</v>
      </c>
      <c r="M859">
        <v>2369</v>
      </c>
      <c r="N859" t="b">
        <v>1</v>
      </c>
      <c r="P859">
        <f t="shared" si="15"/>
        <v>17.5</v>
      </c>
      <c r="Q859">
        <f t="shared" si="16"/>
        <v>0</v>
      </c>
      <c r="R859">
        <f t="shared" si="17"/>
        <v>20</v>
      </c>
      <c r="S859" t="s">
        <v>518</v>
      </c>
      <c r="T859" t="s">
        <v>258</v>
      </c>
      <c r="V859" t="s">
        <v>9</v>
      </c>
      <c r="X859">
        <v>1</v>
      </c>
      <c r="AF859">
        <v>-76.641183330000004</v>
      </c>
      <c r="AG859">
        <v>3.3499099999999999</v>
      </c>
      <c r="AH859">
        <v>10</v>
      </c>
      <c r="AI859">
        <v>0</v>
      </c>
      <c r="AJ859">
        <v>20</v>
      </c>
      <c r="AK859">
        <v>-76.642153329999999</v>
      </c>
      <c r="AL859">
        <v>3.3496766670000002</v>
      </c>
      <c r="AM859">
        <v>30</v>
      </c>
      <c r="AN859">
        <v>0</v>
      </c>
      <c r="AO859">
        <v>15</v>
      </c>
      <c r="AP859" t="s">
        <v>441</v>
      </c>
      <c r="AQ859" t="s">
        <v>443</v>
      </c>
    </row>
    <row r="860" spans="1:44" x14ac:dyDescent="0.2">
      <c r="A860">
        <v>2022</v>
      </c>
      <c r="B860" t="s">
        <v>10</v>
      </c>
      <c r="C860" t="s">
        <v>69</v>
      </c>
      <c r="D860" t="s">
        <v>461</v>
      </c>
      <c r="E860" t="s">
        <v>111</v>
      </c>
      <c r="F860" s="9">
        <v>44882</v>
      </c>
      <c r="G860" s="5">
        <v>0.81545138888888891</v>
      </c>
      <c r="H860">
        <v>-76.641183330000004</v>
      </c>
      <c r="I860">
        <v>3.3499099999999999</v>
      </c>
      <c r="J860">
        <v>7</v>
      </c>
      <c r="K860" t="s">
        <v>112</v>
      </c>
      <c r="L860" t="s">
        <v>523</v>
      </c>
      <c r="M860">
        <v>2369</v>
      </c>
      <c r="N860" t="b">
        <v>1</v>
      </c>
      <c r="P860">
        <f t="shared" si="15"/>
        <v>17.5</v>
      </c>
      <c r="Q860">
        <f t="shared" si="16"/>
        <v>0</v>
      </c>
      <c r="R860">
        <f t="shared" si="17"/>
        <v>20</v>
      </c>
      <c r="S860" t="s">
        <v>518</v>
      </c>
      <c r="T860" t="s">
        <v>258</v>
      </c>
      <c r="V860" t="s">
        <v>9</v>
      </c>
      <c r="X860">
        <v>1</v>
      </c>
      <c r="AF860">
        <v>-76.641183330000004</v>
      </c>
      <c r="AG860">
        <v>3.3499099999999999</v>
      </c>
      <c r="AH860">
        <v>10</v>
      </c>
      <c r="AI860">
        <v>0</v>
      </c>
      <c r="AJ860">
        <v>20</v>
      </c>
      <c r="AK860">
        <v>-76.642153329999999</v>
      </c>
      <c r="AL860">
        <v>3.3496766670000002</v>
      </c>
      <c r="AM860">
        <v>30</v>
      </c>
      <c r="AN860">
        <v>0</v>
      </c>
      <c r="AO860">
        <v>15</v>
      </c>
      <c r="AP860" t="s">
        <v>441</v>
      </c>
      <c r="AQ860" t="s">
        <v>443</v>
      </c>
    </row>
    <row r="861" spans="1:44" x14ac:dyDescent="0.2">
      <c r="A861">
        <v>2022</v>
      </c>
      <c r="B861" t="s">
        <v>10</v>
      </c>
      <c r="C861" t="s">
        <v>69</v>
      </c>
      <c r="D861" t="s">
        <v>461</v>
      </c>
      <c r="E861" t="s">
        <v>111</v>
      </c>
      <c r="F861" s="9">
        <v>44882</v>
      </c>
      <c r="G861" s="5">
        <v>0.82765046296296296</v>
      </c>
      <c r="H861">
        <v>-76.642004999999997</v>
      </c>
      <c r="I861">
        <v>3.3495983329999999</v>
      </c>
      <c r="J861">
        <v>7</v>
      </c>
      <c r="K861" t="s">
        <v>119</v>
      </c>
      <c r="L861" t="s">
        <v>113</v>
      </c>
      <c r="M861">
        <v>2369</v>
      </c>
      <c r="N861" t="b">
        <v>1</v>
      </c>
      <c r="P861">
        <f t="shared" si="15"/>
        <v>17.5</v>
      </c>
      <c r="Q861">
        <f t="shared" si="16"/>
        <v>0</v>
      </c>
      <c r="R861">
        <f t="shared" si="17"/>
        <v>20</v>
      </c>
      <c r="S861" t="s">
        <v>518</v>
      </c>
      <c r="T861" t="s">
        <v>258</v>
      </c>
      <c r="V861" t="s">
        <v>7</v>
      </c>
      <c r="X861">
        <v>1</v>
      </c>
      <c r="AF861">
        <v>-76.641183330000004</v>
      </c>
      <c r="AG861">
        <v>3.3499099999999999</v>
      </c>
      <c r="AH861">
        <v>10</v>
      </c>
      <c r="AI861">
        <v>0</v>
      </c>
      <c r="AJ861">
        <v>20</v>
      </c>
      <c r="AK861">
        <v>-76.642153329999999</v>
      </c>
      <c r="AL861">
        <v>3.3496766670000002</v>
      </c>
      <c r="AM861">
        <v>30</v>
      </c>
      <c r="AN861">
        <v>0</v>
      </c>
      <c r="AO861">
        <v>15</v>
      </c>
      <c r="AP861" t="s">
        <v>441</v>
      </c>
      <c r="AQ861" t="s">
        <v>443</v>
      </c>
    </row>
    <row r="862" spans="1:44" x14ac:dyDescent="0.2">
      <c r="A862">
        <v>2022</v>
      </c>
      <c r="B862" t="s">
        <v>10</v>
      </c>
      <c r="C862" t="s">
        <v>13</v>
      </c>
      <c r="D862" t="s">
        <v>464</v>
      </c>
      <c r="E862" t="s">
        <v>127</v>
      </c>
      <c r="F862" s="9">
        <v>44882</v>
      </c>
      <c r="G862" s="5">
        <v>0.84591435185185182</v>
      </c>
      <c r="H862">
        <v>-76.642256669999995</v>
      </c>
      <c r="I862">
        <v>3.3494799999999998</v>
      </c>
      <c r="J862">
        <v>7</v>
      </c>
      <c r="K862" t="s">
        <v>112</v>
      </c>
      <c r="L862" t="s">
        <v>523</v>
      </c>
      <c r="M862">
        <v>2369</v>
      </c>
      <c r="N862" t="b">
        <v>1</v>
      </c>
      <c r="P862">
        <f t="shared" si="15"/>
        <v>10</v>
      </c>
      <c r="Q862">
        <f t="shared" si="16"/>
        <v>0</v>
      </c>
      <c r="R862">
        <f t="shared" si="17"/>
        <v>25</v>
      </c>
      <c r="S862" t="s">
        <v>518</v>
      </c>
      <c r="T862" t="s">
        <v>258</v>
      </c>
      <c r="V862" t="s">
        <v>9</v>
      </c>
      <c r="X862">
        <v>1</v>
      </c>
      <c r="AF862">
        <v>-76.642178329999993</v>
      </c>
      <c r="AG862">
        <v>3.3494666670000002</v>
      </c>
      <c r="AH862">
        <v>20</v>
      </c>
      <c r="AI862">
        <v>0</v>
      </c>
      <c r="AJ862">
        <v>10</v>
      </c>
      <c r="AK862">
        <v>-76.642859999999999</v>
      </c>
      <c r="AL862">
        <v>3.3491516670000001</v>
      </c>
      <c r="AM862">
        <v>30</v>
      </c>
      <c r="AN862">
        <v>0</v>
      </c>
      <c r="AO862">
        <v>10</v>
      </c>
      <c r="AP862" t="s">
        <v>441</v>
      </c>
      <c r="AQ862" t="s">
        <v>443</v>
      </c>
    </row>
    <row r="863" spans="1:44" x14ac:dyDescent="0.2">
      <c r="A863">
        <v>2022</v>
      </c>
      <c r="B863" t="s">
        <v>10</v>
      </c>
      <c r="C863" t="s">
        <v>13</v>
      </c>
      <c r="D863" t="s">
        <v>464</v>
      </c>
      <c r="E863" t="s">
        <v>127</v>
      </c>
      <c r="F863" s="9">
        <v>44882</v>
      </c>
      <c r="G863" s="5">
        <v>0.866724537037037</v>
      </c>
      <c r="H863">
        <v>-76.642690000000002</v>
      </c>
      <c r="I863">
        <v>3.3491399999999998</v>
      </c>
      <c r="J863">
        <v>7</v>
      </c>
      <c r="K863" t="s">
        <v>112</v>
      </c>
      <c r="L863" t="s">
        <v>523</v>
      </c>
      <c r="N863" t="b">
        <v>1</v>
      </c>
      <c r="P863">
        <f t="shared" si="15"/>
        <v>10</v>
      </c>
      <c r="Q863">
        <f t="shared" si="16"/>
        <v>0</v>
      </c>
      <c r="R863">
        <f t="shared" si="17"/>
        <v>25</v>
      </c>
      <c r="S863" t="s">
        <v>518</v>
      </c>
      <c r="T863" t="s">
        <v>258</v>
      </c>
      <c r="V863" t="s">
        <v>38</v>
      </c>
      <c r="X863">
        <v>2</v>
      </c>
      <c r="AF863">
        <v>-76.642178329999993</v>
      </c>
      <c r="AG863">
        <v>3.3494666670000002</v>
      </c>
      <c r="AH863">
        <v>20</v>
      </c>
      <c r="AI863">
        <v>0</v>
      </c>
      <c r="AJ863">
        <v>10</v>
      </c>
      <c r="AK863">
        <v>-76.642859999999999</v>
      </c>
      <c r="AL863">
        <v>3.3491516670000001</v>
      </c>
      <c r="AM863">
        <v>30</v>
      </c>
      <c r="AN863">
        <v>0</v>
      </c>
      <c r="AO863">
        <v>10</v>
      </c>
      <c r="AP863" t="s">
        <v>441</v>
      </c>
      <c r="AQ863" t="s">
        <v>443</v>
      </c>
    </row>
    <row r="864" spans="1:44" x14ac:dyDescent="0.2">
      <c r="A864">
        <v>2022</v>
      </c>
      <c r="B864" t="s">
        <v>10</v>
      </c>
      <c r="C864" t="s">
        <v>13</v>
      </c>
      <c r="D864" t="s">
        <v>464</v>
      </c>
      <c r="E864" t="s">
        <v>127</v>
      </c>
      <c r="F864" s="9">
        <v>44882</v>
      </c>
      <c r="G864" s="5">
        <v>0.84539351851851852</v>
      </c>
      <c r="H864">
        <v>-76.642210000000006</v>
      </c>
      <c r="I864">
        <v>3.3495266670000001</v>
      </c>
      <c r="J864">
        <v>7</v>
      </c>
      <c r="K864" t="s">
        <v>112</v>
      </c>
      <c r="L864" t="s">
        <v>113</v>
      </c>
      <c r="M864">
        <v>2369</v>
      </c>
      <c r="N864" t="b">
        <v>1</v>
      </c>
      <c r="P864">
        <f t="shared" si="15"/>
        <v>10</v>
      </c>
      <c r="Q864">
        <f t="shared" si="16"/>
        <v>0</v>
      </c>
      <c r="R864">
        <f t="shared" si="17"/>
        <v>25</v>
      </c>
      <c r="S864" t="s">
        <v>518</v>
      </c>
      <c r="T864" t="s">
        <v>258</v>
      </c>
      <c r="U864" t="s">
        <v>525</v>
      </c>
      <c r="V864" t="s">
        <v>7</v>
      </c>
      <c r="X864">
        <v>4</v>
      </c>
      <c r="AF864">
        <v>-76.642178329999993</v>
      </c>
      <c r="AG864">
        <v>3.3494666670000002</v>
      </c>
      <c r="AH864">
        <v>20</v>
      </c>
      <c r="AI864">
        <v>0</v>
      </c>
      <c r="AJ864">
        <v>10</v>
      </c>
      <c r="AK864">
        <v>-76.642859999999999</v>
      </c>
      <c r="AL864">
        <v>3.3491516670000001</v>
      </c>
      <c r="AM864">
        <v>30</v>
      </c>
      <c r="AN864">
        <v>0</v>
      </c>
      <c r="AO864">
        <v>10</v>
      </c>
      <c r="AP864" t="s">
        <v>441</v>
      </c>
      <c r="AQ864" t="s">
        <v>443</v>
      </c>
    </row>
    <row r="865" spans="1:43" x14ac:dyDescent="0.2">
      <c r="A865">
        <v>2022</v>
      </c>
      <c r="B865" t="s">
        <v>10</v>
      </c>
      <c r="C865" t="s">
        <v>13</v>
      </c>
      <c r="D865" t="s">
        <v>464</v>
      </c>
      <c r="E865" t="s">
        <v>127</v>
      </c>
      <c r="F865" s="9">
        <v>44882</v>
      </c>
      <c r="G865" s="5">
        <v>0.86431712962962959</v>
      </c>
      <c r="H865">
        <v>-76.642515000000003</v>
      </c>
      <c r="I865">
        <v>3.349135</v>
      </c>
      <c r="J865">
        <v>7</v>
      </c>
      <c r="K865" t="s">
        <v>112</v>
      </c>
      <c r="L865" t="s">
        <v>523</v>
      </c>
      <c r="M865">
        <v>2369</v>
      </c>
      <c r="N865" t="b">
        <v>1</v>
      </c>
      <c r="P865">
        <f t="shared" si="15"/>
        <v>10</v>
      </c>
      <c r="Q865">
        <f t="shared" si="16"/>
        <v>0</v>
      </c>
      <c r="R865">
        <f t="shared" si="17"/>
        <v>25</v>
      </c>
      <c r="S865" t="s">
        <v>518</v>
      </c>
      <c r="T865" t="s">
        <v>258</v>
      </c>
      <c r="V865" t="s">
        <v>38</v>
      </c>
      <c r="X865">
        <v>2</v>
      </c>
      <c r="AF865">
        <v>-76.642178329999993</v>
      </c>
      <c r="AG865">
        <v>3.3494666670000002</v>
      </c>
      <c r="AH865">
        <v>20</v>
      </c>
      <c r="AI865">
        <v>0</v>
      </c>
      <c r="AJ865">
        <v>10</v>
      </c>
      <c r="AK865">
        <v>-76.642859999999999</v>
      </c>
      <c r="AL865">
        <v>3.3491516670000001</v>
      </c>
      <c r="AM865">
        <v>30</v>
      </c>
      <c r="AN865">
        <v>0</v>
      </c>
      <c r="AO865">
        <v>10</v>
      </c>
      <c r="AP865" t="s">
        <v>441</v>
      </c>
      <c r="AQ865" t="s">
        <v>443</v>
      </c>
    </row>
    <row r="866" spans="1:43" x14ac:dyDescent="0.2">
      <c r="A866">
        <v>2022</v>
      </c>
      <c r="B866" t="s">
        <v>10</v>
      </c>
      <c r="C866" t="s">
        <v>13</v>
      </c>
      <c r="D866" t="s">
        <v>464</v>
      </c>
      <c r="E866" t="s">
        <v>127</v>
      </c>
      <c r="F866" s="9">
        <v>44882</v>
      </c>
      <c r="G866" s="5">
        <v>0.86059027777777775</v>
      </c>
      <c r="H866">
        <v>-76.642366670000001</v>
      </c>
      <c r="I866">
        <v>3.3492866669999999</v>
      </c>
      <c r="J866">
        <v>7</v>
      </c>
      <c r="K866" t="s">
        <v>119</v>
      </c>
      <c r="L866" t="s">
        <v>113</v>
      </c>
      <c r="M866">
        <v>2369</v>
      </c>
      <c r="N866" t="b">
        <v>1</v>
      </c>
      <c r="P866">
        <f t="shared" si="15"/>
        <v>10</v>
      </c>
      <c r="Q866">
        <f t="shared" si="16"/>
        <v>0</v>
      </c>
      <c r="R866">
        <f t="shared" si="17"/>
        <v>25</v>
      </c>
      <c r="S866" t="s">
        <v>518</v>
      </c>
      <c r="T866" t="s">
        <v>258</v>
      </c>
      <c r="V866" t="s">
        <v>9</v>
      </c>
      <c r="X866">
        <v>1</v>
      </c>
      <c r="AF866">
        <v>-76.642178329999993</v>
      </c>
      <c r="AG866">
        <v>3.3494666670000002</v>
      </c>
      <c r="AH866">
        <v>20</v>
      </c>
      <c r="AI866">
        <v>0</v>
      </c>
      <c r="AJ866">
        <v>10</v>
      </c>
      <c r="AK866">
        <v>-76.642859999999999</v>
      </c>
      <c r="AL866">
        <v>3.3491516670000001</v>
      </c>
      <c r="AM866">
        <v>30</v>
      </c>
      <c r="AN866">
        <v>0</v>
      </c>
      <c r="AO866">
        <v>10</v>
      </c>
      <c r="AP866" t="s">
        <v>441</v>
      </c>
      <c r="AQ866" t="s">
        <v>443</v>
      </c>
    </row>
    <row r="867" spans="1:43" x14ac:dyDescent="0.2">
      <c r="A867">
        <v>2022</v>
      </c>
      <c r="B867" t="s">
        <v>10</v>
      </c>
      <c r="C867" t="s">
        <v>13</v>
      </c>
      <c r="D867" t="s">
        <v>464</v>
      </c>
      <c r="E867" t="s">
        <v>127</v>
      </c>
      <c r="F867" s="9">
        <v>44882</v>
      </c>
      <c r="G867" s="5">
        <v>0.83531250000000001</v>
      </c>
      <c r="H867">
        <v>-76.642178329999993</v>
      </c>
      <c r="I867">
        <v>3.3494666670000002</v>
      </c>
      <c r="J867">
        <v>7</v>
      </c>
      <c r="K867" t="s">
        <v>112</v>
      </c>
      <c r="L867" t="s">
        <v>523</v>
      </c>
      <c r="M867">
        <v>2369</v>
      </c>
      <c r="N867" t="b">
        <v>1</v>
      </c>
      <c r="P867">
        <f t="shared" si="15"/>
        <v>10</v>
      </c>
      <c r="Q867">
        <f t="shared" si="16"/>
        <v>0</v>
      </c>
      <c r="R867">
        <f t="shared" si="17"/>
        <v>25</v>
      </c>
      <c r="S867" t="s">
        <v>518</v>
      </c>
      <c r="T867" t="s">
        <v>258</v>
      </c>
      <c r="V867" t="s">
        <v>9</v>
      </c>
      <c r="X867">
        <v>1</v>
      </c>
      <c r="AF867">
        <v>-76.642178329999993</v>
      </c>
      <c r="AG867">
        <v>3.3494666670000002</v>
      </c>
      <c r="AH867">
        <v>20</v>
      </c>
      <c r="AI867">
        <v>0</v>
      </c>
      <c r="AJ867">
        <v>10</v>
      </c>
      <c r="AK867">
        <v>-76.642859999999999</v>
      </c>
      <c r="AL867">
        <v>3.3491516670000001</v>
      </c>
      <c r="AM867">
        <v>30</v>
      </c>
      <c r="AN867">
        <v>0</v>
      </c>
      <c r="AO867">
        <v>10</v>
      </c>
      <c r="AP867" t="s">
        <v>441</v>
      </c>
      <c r="AQ867" t="s">
        <v>443</v>
      </c>
    </row>
    <row r="868" spans="1:43" x14ac:dyDescent="0.2">
      <c r="A868">
        <v>2022</v>
      </c>
      <c r="B868" t="s">
        <v>10</v>
      </c>
      <c r="C868" t="s">
        <v>13</v>
      </c>
      <c r="D868" t="s">
        <v>464</v>
      </c>
      <c r="E868" t="s">
        <v>127</v>
      </c>
      <c r="F868" s="9">
        <v>44882</v>
      </c>
      <c r="G868" s="5">
        <v>0.86230324074074072</v>
      </c>
      <c r="H868">
        <v>-76.642461670000003</v>
      </c>
      <c r="I868">
        <v>3.3492483329999998</v>
      </c>
      <c r="J868">
        <v>7</v>
      </c>
      <c r="K868" t="s">
        <v>112</v>
      </c>
      <c r="L868" t="s">
        <v>523</v>
      </c>
      <c r="M868">
        <v>2369</v>
      </c>
      <c r="N868" t="b">
        <v>1</v>
      </c>
      <c r="P868">
        <f t="shared" si="15"/>
        <v>10</v>
      </c>
      <c r="Q868">
        <f t="shared" si="16"/>
        <v>0</v>
      </c>
      <c r="R868">
        <f t="shared" si="17"/>
        <v>25</v>
      </c>
      <c r="S868" t="s">
        <v>518</v>
      </c>
      <c r="T868" t="s">
        <v>258</v>
      </c>
      <c r="V868" t="s">
        <v>9</v>
      </c>
      <c r="X868">
        <v>1</v>
      </c>
      <c r="AF868">
        <v>-76.642178329999993</v>
      </c>
      <c r="AG868">
        <v>3.3494666670000002</v>
      </c>
      <c r="AH868">
        <v>20</v>
      </c>
      <c r="AI868">
        <v>0</v>
      </c>
      <c r="AJ868">
        <v>10</v>
      </c>
      <c r="AK868">
        <v>-76.642859999999999</v>
      </c>
      <c r="AL868">
        <v>3.3491516670000001</v>
      </c>
      <c r="AM868">
        <v>30</v>
      </c>
      <c r="AN868">
        <v>0</v>
      </c>
      <c r="AO868">
        <v>10</v>
      </c>
      <c r="AP868" t="s">
        <v>441</v>
      </c>
      <c r="AQ868" t="s">
        <v>443</v>
      </c>
    </row>
    <row r="869" spans="1:43" x14ac:dyDescent="0.2">
      <c r="A869">
        <v>2022</v>
      </c>
      <c r="B869" t="s">
        <v>10</v>
      </c>
      <c r="C869" t="s">
        <v>13</v>
      </c>
      <c r="D869" t="s">
        <v>464</v>
      </c>
      <c r="E869" t="s">
        <v>127</v>
      </c>
      <c r="F869" s="9">
        <v>44882</v>
      </c>
      <c r="G869" s="5">
        <v>0.85744212962962962</v>
      </c>
      <c r="H869">
        <v>-76.642184999999998</v>
      </c>
      <c r="I869">
        <v>3.3492999999999999</v>
      </c>
      <c r="J869">
        <v>7</v>
      </c>
      <c r="K869" t="s">
        <v>119</v>
      </c>
      <c r="L869" t="s">
        <v>113</v>
      </c>
      <c r="M869">
        <v>2369</v>
      </c>
      <c r="N869" t="b">
        <v>1</v>
      </c>
      <c r="P869">
        <f t="shared" si="15"/>
        <v>10</v>
      </c>
      <c r="Q869">
        <f t="shared" si="16"/>
        <v>0</v>
      </c>
      <c r="R869">
        <f t="shared" si="17"/>
        <v>25</v>
      </c>
      <c r="S869" t="s">
        <v>518</v>
      </c>
      <c r="T869" t="s">
        <v>258</v>
      </c>
      <c r="V869" t="s">
        <v>38</v>
      </c>
      <c r="X869">
        <v>1</v>
      </c>
      <c r="AF869">
        <v>-76.642178329999993</v>
      </c>
      <c r="AG869">
        <v>3.3494666670000002</v>
      </c>
      <c r="AH869">
        <v>20</v>
      </c>
      <c r="AI869">
        <v>0</v>
      </c>
      <c r="AJ869">
        <v>10</v>
      </c>
      <c r="AK869">
        <v>-76.642859999999999</v>
      </c>
      <c r="AL869">
        <v>3.3491516670000001</v>
      </c>
      <c r="AM869">
        <v>30</v>
      </c>
      <c r="AN869">
        <v>0</v>
      </c>
      <c r="AO869">
        <v>10</v>
      </c>
      <c r="AP869" t="s">
        <v>441</v>
      </c>
      <c r="AQ869" t="s">
        <v>443</v>
      </c>
    </row>
    <row r="870" spans="1:43" x14ac:dyDescent="0.2">
      <c r="A870">
        <v>2022</v>
      </c>
      <c r="B870" t="s">
        <v>10</v>
      </c>
      <c r="C870" t="s">
        <v>69</v>
      </c>
      <c r="D870" t="s">
        <v>465</v>
      </c>
      <c r="E870" t="s">
        <v>122</v>
      </c>
      <c r="F870" s="9">
        <v>44882</v>
      </c>
      <c r="G870" s="5">
        <v>0.8071990740740741</v>
      </c>
      <c r="H870">
        <v>-76.640833330000007</v>
      </c>
      <c r="I870">
        <v>3.3501249999999998</v>
      </c>
      <c r="J870">
        <v>7</v>
      </c>
      <c r="K870" t="s">
        <v>112</v>
      </c>
      <c r="L870" t="s">
        <v>113</v>
      </c>
      <c r="M870">
        <v>2369</v>
      </c>
      <c r="N870" t="b">
        <v>1</v>
      </c>
      <c r="P870">
        <f t="shared" si="15"/>
        <v>13.5</v>
      </c>
      <c r="Q870">
        <f t="shared" si="16"/>
        <v>0</v>
      </c>
      <c r="R870">
        <f t="shared" si="17"/>
        <v>12.5</v>
      </c>
      <c r="S870" t="s">
        <v>518</v>
      </c>
      <c r="T870" t="s">
        <v>258</v>
      </c>
      <c r="V870" t="s">
        <v>9</v>
      </c>
      <c r="X870">
        <v>1</v>
      </c>
      <c r="AF870">
        <v>-76.64040833</v>
      </c>
      <c r="AG870">
        <v>3.3504616669999998</v>
      </c>
      <c r="AH870">
        <v>10</v>
      </c>
      <c r="AI870">
        <v>0</v>
      </c>
      <c r="AJ870">
        <v>12</v>
      </c>
      <c r="AK870">
        <v>-76.640976670000001</v>
      </c>
      <c r="AL870">
        <v>3.3498716669999999</v>
      </c>
      <c r="AM870">
        <v>15</v>
      </c>
      <c r="AN870">
        <v>0</v>
      </c>
      <c r="AO870">
        <v>15</v>
      </c>
      <c r="AP870" t="s">
        <v>441</v>
      </c>
      <c r="AQ870" t="s">
        <v>443</v>
      </c>
    </row>
    <row r="871" spans="1:43" x14ac:dyDescent="0.2">
      <c r="A871">
        <v>2022</v>
      </c>
      <c r="B871" t="s">
        <v>10</v>
      </c>
      <c r="C871" t="s">
        <v>69</v>
      </c>
      <c r="D871" t="s">
        <v>465</v>
      </c>
      <c r="E871" t="s">
        <v>122</v>
      </c>
      <c r="F871" s="9">
        <v>44882</v>
      </c>
      <c r="G871" s="5">
        <v>0.80442129629629633</v>
      </c>
      <c r="H871">
        <v>-76.640559999999994</v>
      </c>
      <c r="I871">
        <v>3.3502233330000002</v>
      </c>
      <c r="J871">
        <v>7</v>
      </c>
      <c r="K871" t="s">
        <v>119</v>
      </c>
      <c r="L871" t="s">
        <v>113</v>
      </c>
      <c r="M871">
        <v>2369</v>
      </c>
      <c r="N871" t="b">
        <v>1</v>
      </c>
      <c r="P871">
        <f t="shared" si="15"/>
        <v>13.5</v>
      </c>
      <c r="Q871">
        <f t="shared" si="16"/>
        <v>0</v>
      </c>
      <c r="R871">
        <f t="shared" si="17"/>
        <v>12.5</v>
      </c>
      <c r="S871" t="s">
        <v>518</v>
      </c>
      <c r="T871" t="s">
        <v>258</v>
      </c>
      <c r="V871" t="s">
        <v>9</v>
      </c>
      <c r="X871">
        <v>2</v>
      </c>
      <c r="AF871">
        <v>-76.64040833</v>
      </c>
      <c r="AG871">
        <v>3.3504616669999998</v>
      </c>
      <c r="AH871">
        <v>10</v>
      </c>
      <c r="AI871">
        <v>0</v>
      </c>
      <c r="AJ871">
        <v>12</v>
      </c>
      <c r="AK871">
        <v>-76.640976670000001</v>
      </c>
      <c r="AL871">
        <v>3.3498716669999999</v>
      </c>
      <c r="AM871">
        <v>15</v>
      </c>
      <c r="AN871">
        <v>0</v>
      </c>
      <c r="AO871">
        <v>15</v>
      </c>
      <c r="AP871" t="s">
        <v>441</v>
      </c>
      <c r="AQ871" t="s">
        <v>443</v>
      </c>
    </row>
    <row r="872" spans="1:43" x14ac:dyDescent="0.2">
      <c r="A872">
        <v>2022</v>
      </c>
      <c r="B872" t="s">
        <v>10</v>
      </c>
      <c r="C872" t="s">
        <v>69</v>
      </c>
      <c r="D872" t="s">
        <v>465</v>
      </c>
      <c r="E872" t="s">
        <v>122</v>
      </c>
      <c r="F872" s="9">
        <v>44882</v>
      </c>
      <c r="G872" s="5">
        <v>0.81048611111111113</v>
      </c>
      <c r="H872">
        <v>-76.640898329999999</v>
      </c>
      <c r="I872">
        <v>3.3498966669999999</v>
      </c>
      <c r="J872">
        <v>7</v>
      </c>
      <c r="K872" t="s">
        <v>112</v>
      </c>
      <c r="L872" t="s">
        <v>523</v>
      </c>
      <c r="M872">
        <v>2369</v>
      </c>
      <c r="N872" t="b">
        <v>1</v>
      </c>
      <c r="P872">
        <f t="shared" ref="P872:P935" si="18">AVERAGE(AJ872,AO872)</f>
        <v>13.5</v>
      </c>
      <c r="Q872">
        <f t="shared" ref="Q872:Q935" si="19">AVERAGE(AI872,AN872)</f>
        <v>0</v>
      </c>
      <c r="R872">
        <f t="shared" ref="R872:R935" si="20">AVERAGE(AH872,AM872)</f>
        <v>12.5</v>
      </c>
      <c r="S872" t="s">
        <v>518</v>
      </c>
      <c r="T872" t="s">
        <v>258</v>
      </c>
      <c r="V872" t="s">
        <v>9</v>
      </c>
      <c r="X872">
        <v>1</v>
      </c>
      <c r="AF872">
        <v>-76.64040833</v>
      </c>
      <c r="AG872">
        <v>3.3504616669999998</v>
      </c>
      <c r="AH872">
        <v>10</v>
      </c>
      <c r="AI872">
        <v>0</v>
      </c>
      <c r="AJ872">
        <v>12</v>
      </c>
      <c r="AK872">
        <v>-76.640976670000001</v>
      </c>
      <c r="AL872">
        <v>3.3498716669999999</v>
      </c>
      <c r="AM872">
        <v>15</v>
      </c>
      <c r="AN872">
        <v>0</v>
      </c>
      <c r="AO872">
        <v>15</v>
      </c>
      <c r="AP872" t="s">
        <v>450</v>
      </c>
      <c r="AQ872" t="s">
        <v>443</v>
      </c>
    </row>
    <row r="873" spans="1:43" x14ac:dyDescent="0.2">
      <c r="A873">
        <v>2022</v>
      </c>
      <c r="B873" t="s">
        <v>10</v>
      </c>
      <c r="C873" t="s">
        <v>14</v>
      </c>
      <c r="D873" t="s">
        <v>324</v>
      </c>
      <c r="E873" t="s">
        <v>127</v>
      </c>
      <c r="F873" s="9">
        <v>44882</v>
      </c>
      <c r="G873" s="5">
        <v>0.92142361111111115</v>
      </c>
      <c r="H873">
        <v>-76.646671670000003</v>
      </c>
      <c r="I873">
        <v>3.3497966670000001</v>
      </c>
      <c r="J873">
        <v>7</v>
      </c>
      <c r="M873">
        <v>2369</v>
      </c>
      <c r="P873">
        <f t="shared" si="18"/>
        <v>3.5</v>
      </c>
      <c r="Q873">
        <f t="shared" si="19"/>
        <v>0</v>
      </c>
      <c r="R873">
        <f t="shared" si="20"/>
        <v>10</v>
      </c>
      <c r="V873" t="s">
        <v>47</v>
      </c>
      <c r="X873">
        <v>0</v>
      </c>
      <c r="AD873" t="s">
        <v>526</v>
      </c>
      <c r="AF873">
        <v>-76.645840000000007</v>
      </c>
      <c r="AG873">
        <v>3.3496616669999999</v>
      </c>
      <c r="AH873">
        <v>10</v>
      </c>
      <c r="AI873">
        <v>0</v>
      </c>
      <c r="AJ873">
        <v>4</v>
      </c>
      <c r="AK873">
        <v>-76.646671670000003</v>
      </c>
      <c r="AL873">
        <v>3.3497966670000001</v>
      </c>
      <c r="AM873">
        <v>10</v>
      </c>
      <c r="AN873">
        <v>0</v>
      </c>
      <c r="AO873">
        <v>3</v>
      </c>
    </row>
    <row r="874" spans="1:43" x14ac:dyDescent="0.2">
      <c r="A874">
        <v>2022</v>
      </c>
      <c r="B874" t="s">
        <v>10</v>
      </c>
      <c r="C874" t="s">
        <v>69</v>
      </c>
      <c r="D874" t="s">
        <v>466</v>
      </c>
      <c r="E874" t="s">
        <v>127</v>
      </c>
      <c r="F874" s="9">
        <v>44882</v>
      </c>
      <c r="G874" s="5">
        <v>0.79545138888888889</v>
      </c>
      <c r="H874">
        <v>-76.640083329999996</v>
      </c>
      <c r="I874">
        <v>3.3505799999999999</v>
      </c>
      <c r="J874">
        <v>7</v>
      </c>
      <c r="K874" t="s">
        <v>119</v>
      </c>
      <c r="L874" t="s">
        <v>524</v>
      </c>
      <c r="M874">
        <v>2369</v>
      </c>
      <c r="N874" t="b">
        <v>1</v>
      </c>
      <c r="P874">
        <f t="shared" si="18"/>
        <v>13.5</v>
      </c>
      <c r="Q874">
        <f t="shared" si="19"/>
        <v>0</v>
      </c>
      <c r="R874">
        <f t="shared" si="20"/>
        <v>9</v>
      </c>
      <c r="S874" t="s">
        <v>518</v>
      </c>
      <c r="T874" t="s">
        <v>201</v>
      </c>
      <c r="V874" t="s">
        <v>9</v>
      </c>
      <c r="X874">
        <v>1</v>
      </c>
      <c r="AF874">
        <v>-76.639300000000006</v>
      </c>
      <c r="AG874">
        <v>3.3506683330000002</v>
      </c>
      <c r="AH874">
        <v>10</v>
      </c>
      <c r="AI874">
        <v>0</v>
      </c>
      <c r="AJ874">
        <v>15</v>
      </c>
      <c r="AK874">
        <v>-76.640204999999995</v>
      </c>
      <c r="AL874">
        <v>3.3504900000000002</v>
      </c>
      <c r="AM874">
        <v>8</v>
      </c>
      <c r="AN874">
        <v>0</v>
      </c>
      <c r="AO874">
        <v>12</v>
      </c>
      <c r="AP874" t="s">
        <v>441</v>
      </c>
      <c r="AQ874" t="s">
        <v>443</v>
      </c>
    </row>
    <row r="875" spans="1:43" x14ac:dyDescent="0.2">
      <c r="A875">
        <v>2022</v>
      </c>
      <c r="B875" t="s">
        <v>10</v>
      </c>
      <c r="C875" t="s">
        <v>69</v>
      </c>
      <c r="D875" t="s">
        <v>466</v>
      </c>
      <c r="E875" t="s">
        <v>127</v>
      </c>
      <c r="F875" s="9">
        <v>44882</v>
      </c>
      <c r="G875" s="5">
        <v>0.78013888888888894</v>
      </c>
      <c r="H875">
        <v>-76.639706669999995</v>
      </c>
      <c r="I875">
        <v>3.35087</v>
      </c>
      <c r="J875">
        <v>7</v>
      </c>
      <c r="K875" t="s">
        <v>119</v>
      </c>
      <c r="L875" t="s">
        <v>524</v>
      </c>
      <c r="M875">
        <v>2369</v>
      </c>
      <c r="N875" t="b">
        <v>1</v>
      </c>
      <c r="P875">
        <f t="shared" si="18"/>
        <v>13.5</v>
      </c>
      <c r="Q875">
        <f t="shared" si="19"/>
        <v>0</v>
      </c>
      <c r="R875">
        <f t="shared" si="20"/>
        <v>9</v>
      </c>
      <c r="S875" t="s">
        <v>318</v>
      </c>
      <c r="T875" t="s">
        <v>258</v>
      </c>
      <c r="V875" t="s">
        <v>9</v>
      </c>
      <c r="X875">
        <v>2</v>
      </c>
      <c r="AF875">
        <v>-76.639300000000006</v>
      </c>
      <c r="AG875">
        <v>3.3506683330000002</v>
      </c>
      <c r="AH875">
        <v>10</v>
      </c>
      <c r="AI875">
        <v>0</v>
      </c>
      <c r="AJ875">
        <v>15</v>
      </c>
      <c r="AK875">
        <v>-76.640204999999995</v>
      </c>
      <c r="AL875">
        <v>3.3504900000000002</v>
      </c>
      <c r="AM875">
        <v>8</v>
      </c>
      <c r="AN875">
        <v>0</v>
      </c>
      <c r="AO875">
        <v>12</v>
      </c>
      <c r="AP875" t="s">
        <v>450</v>
      </c>
      <c r="AQ875" t="s">
        <v>443</v>
      </c>
    </row>
    <row r="876" spans="1:43" x14ac:dyDescent="0.2">
      <c r="A876">
        <v>2022</v>
      </c>
      <c r="B876" t="s">
        <v>10</v>
      </c>
      <c r="C876" t="s">
        <v>69</v>
      </c>
      <c r="D876" t="s">
        <v>466</v>
      </c>
      <c r="E876" t="s">
        <v>127</v>
      </c>
      <c r="F876" s="9">
        <v>44882</v>
      </c>
      <c r="G876" s="5">
        <v>0.781712962962963</v>
      </c>
      <c r="H876">
        <v>-76.639683329999997</v>
      </c>
      <c r="I876">
        <v>3.3508849999999999</v>
      </c>
      <c r="J876">
        <v>7</v>
      </c>
      <c r="K876" t="s">
        <v>119</v>
      </c>
      <c r="L876" t="s">
        <v>113</v>
      </c>
      <c r="M876">
        <v>2369</v>
      </c>
      <c r="N876" t="b">
        <v>1</v>
      </c>
      <c r="P876">
        <f t="shared" si="18"/>
        <v>13.5</v>
      </c>
      <c r="Q876">
        <f t="shared" si="19"/>
        <v>0</v>
      </c>
      <c r="R876">
        <f t="shared" si="20"/>
        <v>9</v>
      </c>
      <c r="S876" t="s">
        <v>518</v>
      </c>
      <c r="T876" t="s">
        <v>258</v>
      </c>
      <c r="V876" t="s">
        <v>9</v>
      </c>
      <c r="X876">
        <v>1</v>
      </c>
      <c r="AF876">
        <v>-76.639300000000006</v>
      </c>
      <c r="AG876">
        <v>3.3506683330000002</v>
      </c>
      <c r="AH876">
        <v>10</v>
      </c>
      <c r="AI876">
        <v>0</v>
      </c>
      <c r="AJ876">
        <v>15</v>
      </c>
      <c r="AK876">
        <v>-76.640204999999995</v>
      </c>
      <c r="AL876">
        <v>3.3504900000000002</v>
      </c>
      <c r="AM876">
        <v>8</v>
      </c>
      <c r="AN876">
        <v>0</v>
      </c>
      <c r="AO876">
        <v>12</v>
      </c>
      <c r="AP876" t="s">
        <v>441</v>
      </c>
      <c r="AQ876" t="s">
        <v>443</v>
      </c>
    </row>
    <row r="877" spans="1:43" x14ac:dyDescent="0.2">
      <c r="A877">
        <v>2022</v>
      </c>
      <c r="B877" t="s">
        <v>10</v>
      </c>
      <c r="C877" t="s">
        <v>69</v>
      </c>
      <c r="D877" t="s">
        <v>466</v>
      </c>
      <c r="E877" t="s">
        <v>127</v>
      </c>
      <c r="F877" s="9">
        <v>44882</v>
      </c>
      <c r="G877" s="5">
        <v>0.79019675925925925</v>
      </c>
      <c r="H877">
        <v>-76.640006670000005</v>
      </c>
      <c r="I877">
        <v>3.3508116669999999</v>
      </c>
      <c r="J877">
        <v>7</v>
      </c>
      <c r="K877" t="s">
        <v>119</v>
      </c>
      <c r="L877" t="s">
        <v>524</v>
      </c>
      <c r="M877">
        <v>2369</v>
      </c>
      <c r="N877" t="b">
        <v>1</v>
      </c>
      <c r="P877">
        <f t="shared" si="18"/>
        <v>13.5</v>
      </c>
      <c r="Q877">
        <f t="shared" si="19"/>
        <v>0</v>
      </c>
      <c r="R877">
        <f t="shared" si="20"/>
        <v>9</v>
      </c>
      <c r="S877" t="s">
        <v>518</v>
      </c>
      <c r="T877" t="s">
        <v>258</v>
      </c>
      <c r="V877" t="s">
        <v>38</v>
      </c>
      <c r="X877">
        <v>1</v>
      </c>
      <c r="AF877">
        <v>-76.639300000000006</v>
      </c>
      <c r="AG877">
        <v>3.3506683330000002</v>
      </c>
      <c r="AH877">
        <v>10</v>
      </c>
      <c r="AI877">
        <v>0</v>
      </c>
      <c r="AJ877">
        <v>15</v>
      </c>
      <c r="AK877">
        <v>-76.640204999999995</v>
      </c>
      <c r="AL877">
        <v>3.3504900000000002</v>
      </c>
      <c r="AM877">
        <v>8</v>
      </c>
      <c r="AN877">
        <v>0</v>
      </c>
      <c r="AO877">
        <v>12</v>
      </c>
      <c r="AP877" t="s">
        <v>441</v>
      </c>
      <c r="AQ877" t="s">
        <v>443</v>
      </c>
    </row>
    <row r="878" spans="1:43" x14ac:dyDescent="0.2">
      <c r="A878">
        <v>2022</v>
      </c>
      <c r="B878" t="s">
        <v>10</v>
      </c>
      <c r="C878" t="s">
        <v>69</v>
      </c>
      <c r="D878" t="s">
        <v>466</v>
      </c>
      <c r="E878" t="s">
        <v>127</v>
      </c>
      <c r="F878" s="9">
        <v>44882</v>
      </c>
      <c r="G878" s="5">
        <v>0.7830555555555555</v>
      </c>
      <c r="H878">
        <v>-76.639731670000003</v>
      </c>
      <c r="I878">
        <v>3.3508100000000001</v>
      </c>
      <c r="J878">
        <v>7</v>
      </c>
      <c r="K878" t="s">
        <v>119</v>
      </c>
      <c r="L878" t="s">
        <v>524</v>
      </c>
      <c r="M878">
        <v>2369</v>
      </c>
      <c r="N878" t="b">
        <v>1</v>
      </c>
      <c r="P878">
        <f t="shared" si="18"/>
        <v>13.5</v>
      </c>
      <c r="Q878">
        <f t="shared" si="19"/>
        <v>0</v>
      </c>
      <c r="R878">
        <f t="shared" si="20"/>
        <v>9</v>
      </c>
      <c r="S878" t="s">
        <v>318</v>
      </c>
      <c r="T878" t="s">
        <v>258</v>
      </c>
      <c r="V878" t="s">
        <v>9</v>
      </c>
      <c r="X878">
        <v>1</v>
      </c>
      <c r="AF878">
        <v>-76.639300000000006</v>
      </c>
      <c r="AG878">
        <v>3.3506683330000002</v>
      </c>
      <c r="AH878">
        <v>10</v>
      </c>
      <c r="AI878">
        <v>0</v>
      </c>
      <c r="AJ878">
        <v>15</v>
      </c>
      <c r="AK878">
        <v>-76.640204999999995</v>
      </c>
      <c r="AL878">
        <v>3.3504900000000002</v>
      </c>
      <c r="AM878">
        <v>8</v>
      </c>
      <c r="AN878">
        <v>0</v>
      </c>
      <c r="AO878">
        <v>12</v>
      </c>
      <c r="AP878" t="s">
        <v>450</v>
      </c>
      <c r="AQ878" t="s">
        <v>443</v>
      </c>
    </row>
    <row r="879" spans="1:43" x14ac:dyDescent="0.2">
      <c r="A879">
        <v>2022</v>
      </c>
      <c r="B879" t="s">
        <v>10</v>
      </c>
      <c r="C879" t="s">
        <v>69</v>
      </c>
      <c r="D879" t="s">
        <v>466</v>
      </c>
      <c r="E879" t="s">
        <v>127</v>
      </c>
      <c r="F879" s="9">
        <v>44882</v>
      </c>
      <c r="G879" s="5">
        <v>0.79325231481481484</v>
      </c>
      <c r="H879">
        <v>-76.640020000000007</v>
      </c>
      <c r="I879">
        <v>3.3506749999999998</v>
      </c>
      <c r="J879">
        <v>7</v>
      </c>
      <c r="K879" t="s">
        <v>112</v>
      </c>
      <c r="L879" t="s">
        <v>523</v>
      </c>
      <c r="M879">
        <v>2369</v>
      </c>
      <c r="N879" t="b">
        <v>1</v>
      </c>
      <c r="P879">
        <f t="shared" si="18"/>
        <v>13.5</v>
      </c>
      <c r="Q879">
        <f t="shared" si="19"/>
        <v>0</v>
      </c>
      <c r="R879">
        <f t="shared" si="20"/>
        <v>9</v>
      </c>
      <c r="S879" t="s">
        <v>518</v>
      </c>
      <c r="T879" t="s">
        <v>258</v>
      </c>
      <c r="V879" t="s">
        <v>9</v>
      </c>
      <c r="X879">
        <v>1</v>
      </c>
      <c r="AF879">
        <v>-76.639300000000006</v>
      </c>
      <c r="AG879">
        <v>3.3506683330000002</v>
      </c>
      <c r="AH879">
        <v>10</v>
      </c>
      <c r="AI879">
        <v>0</v>
      </c>
      <c r="AJ879">
        <v>15</v>
      </c>
      <c r="AK879">
        <v>-76.640204999999995</v>
      </c>
      <c r="AL879">
        <v>3.3504900000000002</v>
      </c>
      <c r="AM879">
        <v>8</v>
      </c>
      <c r="AN879">
        <v>0</v>
      </c>
      <c r="AO879">
        <v>12</v>
      </c>
      <c r="AP879" t="s">
        <v>441</v>
      </c>
      <c r="AQ879" t="s">
        <v>443</v>
      </c>
    </row>
    <row r="880" spans="1:43" x14ac:dyDescent="0.2">
      <c r="A880">
        <v>2022</v>
      </c>
      <c r="B880" t="s">
        <v>10</v>
      </c>
      <c r="C880" t="s">
        <v>69</v>
      </c>
      <c r="D880" t="s">
        <v>466</v>
      </c>
      <c r="E880" t="s">
        <v>127</v>
      </c>
      <c r="F880" s="9">
        <v>44882</v>
      </c>
      <c r="G880" s="5">
        <v>0.79325231481481484</v>
      </c>
      <c r="H880">
        <v>-76.640020000000007</v>
      </c>
      <c r="I880">
        <v>3.3506749999999998</v>
      </c>
      <c r="J880">
        <v>7</v>
      </c>
      <c r="K880" t="s">
        <v>119</v>
      </c>
      <c r="L880" t="s">
        <v>524</v>
      </c>
      <c r="M880">
        <v>2369</v>
      </c>
      <c r="N880" t="b">
        <v>1</v>
      </c>
      <c r="P880">
        <f t="shared" si="18"/>
        <v>13.5</v>
      </c>
      <c r="Q880">
        <f t="shared" si="19"/>
        <v>0</v>
      </c>
      <c r="R880">
        <f t="shared" si="20"/>
        <v>9</v>
      </c>
      <c r="S880" t="s">
        <v>518</v>
      </c>
      <c r="T880" t="s">
        <v>258</v>
      </c>
      <c r="V880" t="s">
        <v>38</v>
      </c>
      <c r="X880">
        <v>1</v>
      </c>
      <c r="AF880">
        <v>-76.639300000000006</v>
      </c>
      <c r="AG880">
        <v>3.3506683330000002</v>
      </c>
      <c r="AH880">
        <v>10</v>
      </c>
      <c r="AI880">
        <v>0</v>
      </c>
      <c r="AJ880">
        <v>15</v>
      </c>
      <c r="AK880">
        <v>-76.640204999999995</v>
      </c>
      <c r="AL880">
        <v>3.3504900000000002</v>
      </c>
      <c r="AM880">
        <v>8</v>
      </c>
      <c r="AN880">
        <v>0</v>
      </c>
      <c r="AO880">
        <v>12</v>
      </c>
      <c r="AP880" t="s">
        <v>441</v>
      </c>
      <c r="AQ880" t="s">
        <v>443</v>
      </c>
    </row>
    <row r="881" spans="1:43" x14ac:dyDescent="0.2">
      <c r="A881">
        <v>2022</v>
      </c>
      <c r="B881" t="s">
        <v>10</v>
      </c>
      <c r="C881" t="s">
        <v>69</v>
      </c>
      <c r="D881" t="s">
        <v>466</v>
      </c>
      <c r="E881" t="s">
        <v>127</v>
      </c>
      <c r="F881" s="9">
        <v>44882</v>
      </c>
      <c r="G881" s="5">
        <v>0.77789351851851851</v>
      </c>
      <c r="H881">
        <v>-76.639611669999994</v>
      </c>
      <c r="I881">
        <v>3.3509000000000002</v>
      </c>
      <c r="J881">
        <v>7</v>
      </c>
      <c r="K881" t="s">
        <v>119</v>
      </c>
      <c r="L881" t="s">
        <v>524</v>
      </c>
      <c r="M881">
        <v>2369</v>
      </c>
      <c r="N881" t="b">
        <v>1</v>
      </c>
      <c r="P881">
        <f t="shared" si="18"/>
        <v>13.5</v>
      </c>
      <c r="Q881">
        <f t="shared" si="19"/>
        <v>0</v>
      </c>
      <c r="R881">
        <f t="shared" si="20"/>
        <v>9</v>
      </c>
      <c r="S881" t="s">
        <v>518</v>
      </c>
      <c r="T881" t="s">
        <v>258</v>
      </c>
      <c r="V881" t="s">
        <v>9</v>
      </c>
      <c r="X881">
        <v>1</v>
      </c>
      <c r="AF881">
        <v>-76.639300000000006</v>
      </c>
      <c r="AG881">
        <v>3.3506683330000002</v>
      </c>
      <c r="AH881">
        <v>10</v>
      </c>
      <c r="AI881">
        <v>0</v>
      </c>
      <c r="AJ881">
        <v>15</v>
      </c>
      <c r="AK881">
        <v>-76.640204999999995</v>
      </c>
      <c r="AL881">
        <v>3.3504900000000002</v>
      </c>
      <c r="AM881">
        <v>8</v>
      </c>
      <c r="AN881">
        <v>0</v>
      </c>
      <c r="AO881">
        <v>12</v>
      </c>
      <c r="AP881" t="s">
        <v>441</v>
      </c>
      <c r="AQ881" t="s">
        <v>443</v>
      </c>
    </row>
    <row r="882" spans="1:43" x14ac:dyDescent="0.2">
      <c r="A882">
        <v>2022</v>
      </c>
      <c r="B882" t="s">
        <v>10</v>
      </c>
      <c r="C882" t="s">
        <v>14</v>
      </c>
      <c r="D882" t="s">
        <v>225</v>
      </c>
      <c r="E882" t="s">
        <v>135</v>
      </c>
      <c r="F882" s="9">
        <v>44882</v>
      </c>
      <c r="G882" s="5">
        <v>0.91533564814814816</v>
      </c>
      <c r="H882">
        <v>-76.645431669999994</v>
      </c>
      <c r="I882">
        <v>3.349751667</v>
      </c>
      <c r="J882">
        <v>7</v>
      </c>
      <c r="M882">
        <v>2369</v>
      </c>
      <c r="P882">
        <f t="shared" si="18"/>
        <v>5</v>
      </c>
      <c r="Q882">
        <f t="shared" si="19"/>
        <v>0</v>
      </c>
      <c r="R882">
        <f t="shared" si="20"/>
        <v>10</v>
      </c>
      <c r="V882" t="s">
        <v>47</v>
      </c>
      <c r="X882">
        <v>0</v>
      </c>
      <c r="AF882">
        <v>-76.644633330000005</v>
      </c>
      <c r="AG882">
        <v>3.3496450000000002</v>
      </c>
      <c r="AH882">
        <v>5</v>
      </c>
      <c r="AI882">
        <v>0</v>
      </c>
      <c r="AJ882">
        <v>6</v>
      </c>
      <c r="AK882">
        <v>-76.645431669999994</v>
      </c>
      <c r="AL882">
        <v>3.349751667</v>
      </c>
      <c r="AM882">
        <v>15</v>
      </c>
      <c r="AN882">
        <v>0</v>
      </c>
      <c r="AO882">
        <v>4</v>
      </c>
    </row>
    <row r="883" spans="1:43" x14ac:dyDescent="0.2">
      <c r="A883">
        <v>2022</v>
      </c>
      <c r="B883" t="s">
        <v>10</v>
      </c>
      <c r="C883" t="s">
        <v>13</v>
      </c>
      <c r="D883" t="s">
        <v>177</v>
      </c>
      <c r="E883" t="s">
        <v>111</v>
      </c>
      <c r="F883" s="9">
        <v>44882</v>
      </c>
      <c r="G883" s="5">
        <v>0.89809027777777772</v>
      </c>
      <c r="H883">
        <v>-76.643531670000002</v>
      </c>
      <c r="I883">
        <v>3.3495300000000001</v>
      </c>
      <c r="J883">
        <v>7</v>
      </c>
      <c r="K883" t="s">
        <v>112</v>
      </c>
      <c r="L883" t="s">
        <v>523</v>
      </c>
      <c r="M883">
        <v>2369</v>
      </c>
      <c r="N883" t="b">
        <v>1</v>
      </c>
      <c r="P883">
        <f t="shared" si="18"/>
        <v>12.5</v>
      </c>
      <c r="Q883">
        <f t="shared" si="19"/>
        <v>0</v>
      </c>
      <c r="R883">
        <f t="shared" si="20"/>
        <v>8</v>
      </c>
      <c r="S883" t="s">
        <v>518</v>
      </c>
      <c r="T883" t="s">
        <v>258</v>
      </c>
      <c r="V883" t="s">
        <v>38</v>
      </c>
      <c r="X883">
        <v>1</v>
      </c>
      <c r="AF883">
        <v>-76.643531670000002</v>
      </c>
      <c r="AG883">
        <v>3.3495300000000001</v>
      </c>
      <c r="AH883">
        <v>8</v>
      </c>
      <c r="AI883">
        <v>0</v>
      </c>
      <c r="AJ883">
        <v>10</v>
      </c>
      <c r="AK883">
        <v>-76.644268330000003</v>
      </c>
      <c r="AL883">
        <v>3.3495200000000001</v>
      </c>
      <c r="AM883">
        <v>8</v>
      </c>
      <c r="AN883">
        <v>0</v>
      </c>
      <c r="AO883">
        <v>15</v>
      </c>
      <c r="AP883" t="s">
        <v>441</v>
      </c>
      <c r="AQ883" t="s">
        <v>443</v>
      </c>
    </row>
    <row r="884" spans="1:43" x14ac:dyDescent="0.2">
      <c r="A884">
        <v>2022</v>
      </c>
      <c r="B884" t="s">
        <v>10</v>
      </c>
      <c r="C884" t="s">
        <v>13</v>
      </c>
      <c r="D884" t="s">
        <v>177</v>
      </c>
      <c r="E884" t="s">
        <v>111</v>
      </c>
      <c r="F884" s="9">
        <v>44882</v>
      </c>
      <c r="G884" s="5">
        <v>0.90377314814814813</v>
      </c>
      <c r="H884">
        <v>-76.64384167</v>
      </c>
      <c r="I884">
        <v>3.3497333330000001</v>
      </c>
      <c r="J884">
        <v>7</v>
      </c>
      <c r="K884" t="s">
        <v>112</v>
      </c>
      <c r="L884" t="s">
        <v>523</v>
      </c>
      <c r="M884">
        <v>2369</v>
      </c>
      <c r="N884" t="b">
        <v>1</v>
      </c>
      <c r="P884">
        <f t="shared" si="18"/>
        <v>12.5</v>
      </c>
      <c r="Q884">
        <f t="shared" si="19"/>
        <v>0</v>
      </c>
      <c r="R884">
        <f t="shared" si="20"/>
        <v>8</v>
      </c>
      <c r="S884" t="s">
        <v>518</v>
      </c>
      <c r="T884" t="s">
        <v>258</v>
      </c>
      <c r="V884" t="s">
        <v>9</v>
      </c>
      <c r="X884">
        <v>1</v>
      </c>
      <c r="AF884">
        <v>-76.643531670000002</v>
      </c>
      <c r="AG884">
        <v>3.3495300000000001</v>
      </c>
      <c r="AH884">
        <v>8</v>
      </c>
      <c r="AI884">
        <v>0</v>
      </c>
      <c r="AJ884">
        <v>10</v>
      </c>
      <c r="AK884">
        <v>-76.644268330000003</v>
      </c>
      <c r="AL884">
        <v>3.3495200000000001</v>
      </c>
      <c r="AM884">
        <v>8</v>
      </c>
      <c r="AN884">
        <v>0</v>
      </c>
      <c r="AO884">
        <v>15</v>
      </c>
      <c r="AP884" t="s">
        <v>441</v>
      </c>
      <c r="AQ884" t="s">
        <v>443</v>
      </c>
    </row>
    <row r="885" spans="1:43" x14ac:dyDescent="0.2">
      <c r="A885">
        <v>2022</v>
      </c>
      <c r="B885" t="s">
        <v>10</v>
      </c>
      <c r="C885" t="s">
        <v>13</v>
      </c>
      <c r="D885" t="s">
        <v>177</v>
      </c>
      <c r="E885" t="s">
        <v>111</v>
      </c>
      <c r="F885" s="9">
        <v>44882</v>
      </c>
      <c r="G885" s="5">
        <v>0.90377314814814813</v>
      </c>
      <c r="H885">
        <v>-76.64384167</v>
      </c>
      <c r="I885">
        <v>3.3497333330000001</v>
      </c>
      <c r="J885">
        <v>7</v>
      </c>
      <c r="K885" t="s">
        <v>112</v>
      </c>
      <c r="L885" t="s">
        <v>113</v>
      </c>
      <c r="M885">
        <v>2369</v>
      </c>
      <c r="N885" t="b">
        <v>1</v>
      </c>
      <c r="P885">
        <f t="shared" si="18"/>
        <v>12.5</v>
      </c>
      <c r="Q885">
        <f t="shared" si="19"/>
        <v>0</v>
      </c>
      <c r="R885">
        <f t="shared" si="20"/>
        <v>8</v>
      </c>
      <c r="S885" t="s">
        <v>518</v>
      </c>
      <c r="T885" t="s">
        <v>258</v>
      </c>
      <c r="V885" t="s">
        <v>59</v>
      </c>
      <c r="X885">
        <v>1</v>
      </c>
      <c r="AF885">
        <v>-76.643531670000002</v>
      </c>
      <c r="AG885">
        <v>3.3495300000000001</v>
      </c>
      <c r="AH885">
        <v>8</v>
      </c>
      <c r="AI885">
        <v>0</v>
      </c>
      <c r="AJ885">
        <v>10</v>
      </c>
      <c r="AK885">
        <v>-76.644268330000003</v>
      </c>
      <c r="AL885">
        <v>3.3495200000000001</v>
      </c>
      <c r="AM885">
        <v>8</v>
      </c>
      <c r="AN885">
        <v>0</v>
      </c>
      <c r="AO885">
        <v>15</v>
      </c>
      <c r="AP885" t="s">
        <v>441</v>
      </c>
      <c r="AQ885" t="s">
        <v>244</v>
      </c>
    </row>
    <row r="886" spans="1:43" x14ac:dyDescent="0.2">
      <c r="A886">
        <v>2022</v>
      </c>
      <c r="B886" t="s">
        <v>10</v>
      </c>
      <c r="C886" t="s">
        <v>13</v>
      </c>
      <c r="D886" t="s">
        <v>177</v>
      </c>
      <c r="E886" t="s">
        <v>111</v>
      </c>
      <c r="F886" s="9">
        <v>44882</v>
      </c>
      <c r="G886" s="5">
        <v>0.90504629629629629</v>
      </c>
      <c r="H886">
        <v>-76.643969999999996</v>
      </c>
      <c r="I886">
        <v>3.3497383329999999</v>
      </c>
      <c r="J886">
        <v>7</v>
      </c>
      <c r="K886" t="s">
        <v>119</v>
      </c>
      <c r="L886" t="s">
        <v>524</v>
      </c>
      <c r="M886">
        <v>2369</v>
      </c>
      <c r="N886" t="b">
        <v>1</v>
      </c>
      <c r="P886">
        <f t="shared" si="18"/>
        <v>12.5</v>
      </c>
      <c r="Q886">
        <f t="shared" si="19"/>
        <v>0</v>
      </c>
      <c r="R886">
        <f t="shared" si="20"/>
        <v>8</v>
      </c>
      <c r="S886" t="s">
        <v>518</v>
      </c>
      <c r="T886" t="s">
        <v>258</v>
      </c>
      <c r="V886" t="s">
        <v>9</v>
      </c>
      <c r="X886">
        <v>1</v>
      </c>
      <c r="AF886">
        <v>-76.643531670000002</v>
      </c>
      <c r="AG886">
        <v>3.3495300000000001</v>
      </c>
      <c r="AH886">
        <v>8</v>
      </c>
      <c r="AI886">
        <v>0</v>
      </c>
      <c r="AJ886">
        <v>10</v>
      </c>
      <c r="AK886">
        <v>-76.644268330000003</v>
      </c>
      <c r="AL886">
        <v>3.3495200000000001</v>
      </c>
      <c r="AM886">
        <v>8</v>
      </c>
      <c r="AN886">
        <v>0</v>
      </c>
      <c r="AO886">
        <v>15</v>
      </c>
      <c r="AP886" t="s">
        <v>441</v>
      </c>
      <c r="AQ886" t="s">
        <v>443</v>
      </c>
    </row>
    <row r="887" spans="1:43" x14ac:dyDescent="0.2">
      <c r="A887">
        <v>2022</v>
      </c>
      <c r="B887" t="s">
        <v>10</v>
      </c>
      <c r="C887" t="s">
        <v>13</v>
      </c>
      <c r="D887" t="s">
        <v>177</v>
      </c>
      <c r="E887" t="s">
        <v>111</v>
      </c>
      <c r="F887" s="9">
        <v>44882</v>
      </c>
      <c r="G887" s="5">
        <v>0.90842592592592597</v>
      </c>
      <c r="H887">
        <v>-76.644211670000004</v>
      </c>
      <c r="I887">
        <v>3.3496450000000002</v>
      </c>
      <c r="J887">
        <v>7</v>
      </c>
      <c r="K887" t="s">
        <v>119</v>
      </c>
      <c r="L887" t="s">
        <v>524</v>
      </c>
      <c r="M887">
        <v>2369</v>
      </c>
      <c r="N887" t="b">
        <v>1</v>
      </c>
      <c r="P887">
        <f t="shared" si="18"/>
        <v>12.5</v>
      </c>
      <c r="Q887">
        <f t="shared" si="19"/>
        <v>0</v>
      </c>
      <c r="R887">
        <f t="shared" si="20"/>
        <v>8</v>
      </c>
      <c r="S887" t="s">
        <v>518</v>
      </c>
      <c r="T887" t="s">
        <v>258</v>
      </c>
      <c r="V887" t="s">
        <v>9</v>
      </c>
      <c r="X887">
        <v>1</v>
      </c>
      <c r="AF887">
        <v>-76.643531670000002</v>
      </c>
      <c r="AG887">
        <v>3.3495300000000001</v>
      </c>
      <c r="AH887">
        <v>8</v>
      </c>
      <c r="AI887">
        <v>0</v>
      </c>
      <c r="AJ887">
        <v>10</v>
      </c>
      <c r="AK887">
        <v>-76.644268330000003</v>
      </c>
      <c r="AL887">
        <v>3.3495200000000001</v>
      </c>
      <c r="AM887">
        <v>8</v>
      </c>
      <c r="AN887">
        <v>0</v>
      </c>
      <c r="AO887">
        <v>15</v>
      </c>
      <c r="AP887" t="s">
        <v>441</v>
      </c>
      <c r="AQ887" t="s">
        <v>443</v>
      </c>
    </row>
    <row r="888" spans="1:43" x14ac:dyDescent="0.2">
      <c r="A888">
        <v>2022</v>
      </c>
      <c r="B888" t="s">
        <v>10</v>
      </c>
      <c r="C888" t="s">
        <v>12</v>
      </c>
      <c r="D888" t="s">
        <v>192</v>
      </c>
      <c r="E888" t="s">
        <v>135</v>
      </c>
      <c r="F888" s="9">
        <v>44881</v>
      </c>
      <c r="G888" s="5">
        <v>0.85028935185185184</v>
      </c>
      <c r="H888">
        <v>-76.652805000000001</v>
      </c>
      <c r="I888">
        <v>3.353611667</v>
      </c>
      <c r="J888">
        <v>7</v>
      </c>
      <c r="K888" t="s">
        <v>119</v>
      </c>
      <c r="L888" t="s">
        <v>113</v>
      </c>
      <c r="M888">
        <v>2523</v>
      </c>
      <c r="N888" t="b">
        <v>1</v>
      </c>
      <c r="P888">
        <f t="shared" si="18"/>
        <v>12.5</v>
      </c>
      <c r="Q888">
        <f t="shared" si="19"/>
        <v>0</v>
      </c>
      <c r="R888">
        <f t="shared" si="20"/>
        <v>17.5</v>
      </c>
      <c r="S888" t="s">
        <v>518</v>
      </c>
      <c r="T888" t="s">
        <v>145</v>
      </c>
      <c r="V888" t="s">
        <v>44</v>
      </c>
      <c r="X888">
        <v>1</v>
      </c>
      <c r="AA888" t="s">
        <v>436</v>
      </c>
      <c r="AD888" t="s">
        <v>527</v>
      </c>
      <c r="AF888">
        <v>-76.653173330000001</v>
      </c>
      <c r="AG888">
        <v>3.353653333</v>
      </c>
      <c r="AH888">
        <v>30</v>
      </c>
      <c r="AI888">
        <v>0</v>
      </c>
      <c r="AJ888">
        <v>10</v>
      </c>
      <c r="AK888">
        <v>-76.652068330000006</v>
      </c>
      <c r="AL888">
        <v>3.3534199999999998</v>
      </c>
      <c r="AM888">
        <v>5</v>
      </c>
      <c r="AN888">
        <v>0</v>
      </c>
      <c r="AO888">
        <v>15</v>
      </c>
      <c r="AP888" t="s">
        <v>441</v>
      </c>
      <c r="AQ888" t="s">
        <v>443</v>
      </c>
    </row>
    <row r="889" spans="1:43" x14ac:dyDescent="0.2">
      <c r="A889">
        <v>2022</v>
      </c>
      <c r="B889" t="s">
        <v>10</v>
      </c>
      <c r="C889" t="s">
        <v>12</v>
      </c>
      <c r="D889" t="s">
        <v>192</v>
      </c>
      <c r="E889" t="s">
        <v>135</v>
      </c>
      <c r="F889" s="9">
        <v>44881</v>
      </c>
      <c r="G889" s="5">
        <v>0.86284722222222221</v>
      </c>
      <c r="H889">
        <v>-76.652068330000006</v>
      </c>
      <c r="I889">
        <v>3.3534199999999998</v>
      </c>
      <c r="J889">
        <v>7</v>
      </c>
      <c r="K889" t="s">
        <v>119</v>
      </c>
      <c r="L889" t="s">
        <v>524</v>
      </c>
      <c r="M889">
        <v>2523</v>
      </c>
      <c r="N889" t="b">
        <v>1</v>
      </c>
      <c r="P889">
        <f t="shared" si="18"/>
        <v>12.5</v>
      </c>
      <c r="Q889">
        <f t="shared" si="19"/>
        <v>0</v>
      </c>
      <c r="R889">
        <f t="shared" si="20"/>
        <v>17.5</v>
      </c>
      <c r="S889" t="s">
        <v>518</v>
      </c>
      <c r="T889" t="s">
        <v>145</v>
      </c>
      <c r="V889" t="s">
        <v>9</v>
      </c>
      <c r="X889">
        <v>1</v>
      </c>
      <c r="AF889">
        <v>-76.653173330000001</v>
      </c>
      <c r="AG889">
        <v>3.353653333</v>
      </c>
      <c r="AH889">
        <v>30</v>
      </c>
      <c r="AI889">
        <v>0</v>
      </c>
      <c r="AJ889">
        <v>10</v>
      </c>
      <c r="AK889">
        <v>-76.652068330000006</v>
      </c>
      <c r="AL889">
        <v>3.3534199999999998</v>
      </c>
      <c r="AM889">
        <v>5</v>
      </c>
      <c r="AN889">
        <v>0</v>
      </c>
      <c r="AO889">
        <v>15</v>
      </c>
      <c r="AP889" t="s">
        <v>441</v>
      </c>
      <c r="AQ889" t="s">
        <v>443</v>
      </c>
    </row>
    <row r="890" spans="1:43" x14ac:dyDescent="0.2">
      <c r="A890">
        <v>2022</v>
      </c>
      <c r="B890" t="s">
        <v>10</v>
      </c>
      <c r="C890" t="s">
        <v>11</v>
      </c>
      <c r="D890" t="s">
        <v>228</v>
      </c>
      <c r="E890" t="s">
        <v>111</v>
      </c>
      <c r="F890" s="9">
        <v>44881</v>
      </c>
      <c r="G890" s="5">
        <v>0.80108796296296292</v>
      </c>
      <c r="H890">
        <v>-76.655746669999999</v>
      </c>
      <c r="I890">
        <v>3.354425</v>
      </c>
      <c r="J890">
        <v>7</v>
      </c>
      <c r="K890" t="s">
        <v>112</v>
      </c>
      <c r="L890" t="s">
        <v>113</v>
      </c>
      <c r="M890">
        <v>2533</v>
      </c>
      <c r="N890" t="b">
        <v>1</v>
      </c>
      <c r="P890">
        <f t="shared" si="18"/>
        <v>11</v>
      </c>
      <c r="Q890">
        <f t="shared" si="19"/>
        <v>0</v>
      </c>
      <c r="R890">
        <f t="shared" si="20"/>
        <v>10</v>
      </c>
      <c r="T890" t="s">
        <v>145</v>
      </c>
      <c r="V890" t="s">
        <v>9</v>
      </c>
      <c r="X890">
        <v>1</v>
      </c>
      <c r="AF890">
        <v>-76.655716670000004</v>
      </c>
      <c r="AG890">
        <v>3.3544616669999998</v>
      </c>
      <c r="AH890">
        <v>10</v>
      </c>
      <c r="AI890">
        <v>0</v>
      </c>
      <c r="AJ890">
        <v>10</v>
      </c>
      <c r="AK890">
        <v>-76.655261670000002</v>
      </c>
      <c r="AL890">
        <v>3.353941667</v>
      </c>
      <c r="AM890">
        <v>10</v>
      </c>
      <c r="AN890">
        <v>0</v>
      </c>
      <c r="AO890">
        <v>12</v>
      </c>
      <c r="AP890" t="s">
        <v>441</v>
      </c>
      <c r="AQ890" t="s">
        <v>244</v>
      </c>
    </row>
    <row r="891" spans="1:43" x14ac:dyDescent="0.2">
      <c r="A891">
        <v>2022</v>
      </c>
      <c r="B891" t="s">
        <v>10</v>
      </c>
      <c r="C891" t="s">
        <v>11</v>
      </c>
      <c r="D891" t="s">
        <v>228</v>
      </c>
      <c r="E891" t="s">
        <v>111</v>
      </c>
      <c r="F891" s="9">
        <v>44881</v>
      </c>
      <c r="G891" s="5">
        <v>0.79531249999999998</v>
      </c>
      <c r="H891">
        <v>-76.655716670000004</v>
      </c>
      <c r="I891">
        <v>3.3544616669999998</v>
      </c>
      <c r="J891">
        <v>7</v>
      </c>
      <c r="K891" t="s">
        <v>119</v>
      </c>
      <c r="L891" t="s">
        <v>524</v>
      </c>
      <c r="M891">
        <v>2533</v>
      </c>
      <c r="N891" t="b">
        <v>1</v>
      </c>
      <c r="P891">
        <f t="shared" si="18"/>
        <v>11</v>
      </c>
      <c r="Q891">
        <f t="shared" si="19"/>
        <v>0</v>
      </c>
      <c r="R891">
        <f t="shared" si="20"/>
        <v>10</v>
      </c>
      <c r="S891" t="s">
        <v>518</v>
      </c>
      <c r="T891" t="s">
        <v>145</v>
      </c>
      <c r="V891" t="s">
        <v>59</v>
      </c>
      <c r="X891">
        <v>1</v>
      </c>
      <c r="AF891">
        <v>-76.655716670000004</v>
      </c>
      <c r="AG891">
        <v>3.3544616669999998</v>
      </c>
      <c r="AH891">
        <v>10</v>
      </c>
      <c r="AI891">
        <v>0</v>
      </c>
      <c r="AJ891">
        <v>10</v>
      </c>
      <c r="AK891">
        <v>-76.655261670000002</v>
      </c>
      <c r="AL891">
        <v>3.353941667</v>
      </c>
      <c r="AM891">
        <v>10</v>
      </c>
      <c r="AN891">
        <v>0</v>
      </c>
      <c r="AO891">
        <v>12</v>
      </c>
      <c r="AP891" t="s">
        <v>441</v>
      </c>
      <c r="AQ891" t="s">
        <v>443</v>
      </c>
    </row>
    <row r="892" spans="1:43" x14ac:dyDescent="0.2">
      <c r="A892">
        <v>2022</v>
      </c>
      <c r="B892" t="s">
        <v>10</v>
      </c>
      <c r="C892" t="s">
        <v>12</v>
      </c>
      <c r="D892" t="s">
        <v>189</v>
      </c>
      <c r="E892" t="s">
        <v>157</v>
      </c>
      <c r="F892" s="9">
        <v>44881</v>
      </c>
      <c r="G892" s="5">
        <v>0.84218749999999998</v>
      </c>
      <c r="H892">
        <v>-76.652889999999999</v>
      </c>
      <c r="I892">
        <v>3.353506667</v>
      </c>
      <c r="J892">
        <v>7</v>
      </c>
      <c r="K892" t="s">
        <v>119</v>
      </c>
      <c r="L892" t="s">
        <v>113</v>
      </c>
      <c r="M892">
        <v>2533</v>
      </c>
      <c r="N892" t="b">
        <v>1</v>
      </c>
      <c r="P892">
        <f t="shared" si="18"/>
        <v>10</v>
      </c>
      <c r="Q892">
        <f t="shared" si="19"/>
        <v>0</v>
      </c>
      <c r="R892">
        <f t="shared" si="20"/>
        <v>17.5</v>
      </c>
      <c r="S892" t="s">
        <v>518</v>
      </c>
      <c r="T892" t="s">
        <v>145</v>
      </c>
      <c r="V892" t="s">
        <v>59</v>
      </c>
      <c r="X892">
        <v>1</v>
      </c>
      <c r="AF892">
        <v>-76.653493330000003</v>
      </c>
      <c r="AG892">
        <v>3.3534933329999999</v>
      </c>
      <c r="AH892">
        <v>25</v>
      </c>
      <c r="AI892">
        <v>0</v>
      </c>
      <c r="AJ892">
        <v>10</v>
      </c>
      <c r="AK892">
        <v>-76.652889999999999</v>
      </c>
      <c r="AL892">
        <v>3.353506667</v>
      </c>
      <c r="AM892">
        <v>10</v>
      </c>
      <c r="AN892">
        <v>0</v>
      </c>
      <c r="AO892">
        <v>10</v>
      </c>
      <c r="AP892" t="s">
        <v>450</v>
      </c>
      <c r="AQ892" t="s">
        <v>443</v>
      </c>
    </row>
    <row r="893" spans="1:43" x14ac:dyDescent="0.2">
      <c r="A893">
        <v>2022</v>
      </c>
      <c r="B893" t="s">
        <v>10</v>
      </c>
      <c r="C893" t="s">
        <v>12</v>
      </c>
      <c r="D893" t="s">
        <v>189</v>
      </c>
      <c r="E893" t="s">
        <v>157</v>
      </c>
      <c r="F893" s="9">
        <v>44881</v>
      </c>
      <c r="G893" s="5">
        <v>0.83478009259259256</v>
      </c>
      <c r="H893">
        <v>-76.653665000000004</v>
      </c>
      <c r="I893">
        <v>3.3531166670000001</v>
      </c>
      <c r="J893">
        <v>7</v>
      </c>
      <c r="K893" t="s">
        <v>119</v>
      </c>
      <c r="L893" t="s">
        <v>524</v>
      </c>
      <c r="M893">
        <v>2533</v>
      </c>
      <c r="N893" t="b">
        <v>1</v>
      </c>
      <c r="P893">
        <f t="shared" si="18"/>
        <v>10</v>
      </c>
      <c r="Q893">
        <f t="shared" si="19"/>
        <v>0</v>
      </c>
      <c r="R893">
        <f t="shared" si="20"/>
        <v>17.5</v>
      </c>
      <c r="S893" t="s">
        <v>518</v>
      </c>
      <c r="T893" t="s">
        <v>145</v>
      </c>
      <c r="V893" t="s">
        <v>59</v>
      </c>
      <c r="X893">
        <v>1</v>
      </c>
      <c r="AA893" t="s">
        <v>436</v>
      </c>
      <c r="AD893" t="s">
        <v>528</v>
      </c>
      <c r="AF893">
        <v>-76.653493330000003</v>
      </c>
      <c r="AG893">
        <v>3.3534933329999999</v>
      </c>
      <c r="AH893">
        <v>25</v>
      </c>
      <c r="AI893">
        <v>0</v>
      </c>
      <c r="AJ893">
        <v>10</v>
      </c>
      <c r="AK893">
        <v>-76.652889999999999</v>
      </c>
      <c r="AL893">
        <v>3.353506667</v>
      </c>
      <c r="AM893">
        <v>10</v>
      </c>
      <c r="AN893">
        <v>0</v>
      </c>
      <c r="AO893">
        <v>10</v>
      </c>
      <c r="AP893" t="s">
        <v>441</v>
      </c>
      <c r="AQ893" t="s">
        <v>443</v>
      </c>
    </row>
    <row r="894" spans="1:43" x14ac:dyDescent="0.2">
      <c r="A894">
        <v>2022</v>
      </c>
      <c r="B894" t="s">
        <v>10</v>
      </c>
      <c r="C894" t="s">
        <v>11</v>
      </c>
      <c r="D894" t="s">
        <v>182</v>
      </c>
      <c r="E894" t="s">
        <v>127</v>
      </c>
      <c r="F894" s="9">
        <v>44881</v>
      </c>
      <c r="G894" s="5">
        <v>0.77501157407407406</v>
      </c>
      <c r="H894">
        <v>-76.656256670000005</v>
      </c>
      <c r="I894">
        <v>3.355336667</v>
      </c>
      <c r="J894">
        <v>7</v>
      </c>
      <c r="K894" t="s">
        <v>119</v>
      </c>
      <c r="L894" t="s">
        <v>113</v>
      </c>
      <c r="M894">
        <v>2533</v>
      </c>
      <c r="O894" t="b">
        <v>1</v>
      </c>
      <c r="P894">
        <f t="shared" si="18"/>
        <v>13.5</v>
      </c>
      <c r="Q894">
        <f t="shared" si="19"/>
        <v>0.4</v>
      </c>
      <c r="R894">
        <f t="shared" si="20"/>
        <v>7.5</v>
      </c>
      <c r="S894" t="s">
        <v>518</v>
      </c>
      <c r="T894" t="s">
        <v>447</v>
      </c>
      <c r="V894" t="s">
        <v>59</v>
      </c>
      <c r="X894">
        <v>2</v>
      </c>
      <c r="AF894">
        <v>-76.656523329999999</v>
      </c>
      <c r="AG894">
        <v>3.3552749999999998</v>
      </c>
      <c r="AH894">
        <v>5</v>
      </c>
      <c r="AI894">
        <v>0</v>
      </c>
      <c r="AJ894">
        <v>12</v>
      </c>
      <c r="AK894">
        <v>-76.656256670000005</v>
      </c>
      <c r="AL894">
        <v>3.355336667</v>
      </c>
      <c r="AM894">
        <v>10</v>
      </c>
      <c r="AN894">
        <v>0.8</v>
      </c>
      <c r="AO894">
        <v>15</v>
      </c>
      <c r="AP894" t="s">
        <v>441</v>
      </c>
      <c r="AQ894" t="s">
        <v>244</v>
      </c>
    </row>
    <row r="895" spans="1:43" x14ac:dyDescent="0.2">
      <c r="A895">
        <v>2022</v>
      </c>
      <c r="B895" t="s">
        <v>10</v>
      </c>
      <c r="C895" t="s">
        <v>12</v>
      </c>
      <c r="D895" t="s">
        <v>347</v>
      </c>
      <c r="E895" t="s">
        <v>127</v>
      </c>
      <c r="F895" s="9">
        <v>44881</v>
      </c>
      <c r="G895" s="5">
        <v>0.88688657407407412</v>
      </c>
      <c r="H895">
        <v>-76.649754999999999</v>
      </c>
      <c r="I895">
        <v>3.3528383329999998</v>
      </c>
      <c r="J895">
        <v>7</v>
      </c>
      <c r="K895" t="s">
        <v>119</v>
      </c>
      <c r="L895" t="s">
        <v>113</v>
      </c>
      <c r="M895">
        <v>2523</v>
      </c>
      <c r="N895" t="b">
        <v>1</v>
      </c>
      <c r="P895">
        <f t="shared" si="18"/>
        <v>10</v>
      </c>
      <c r="Q895">
        <f t="shared" si="19"/>
        <v>0</v>
      </c>
      <c r="R895">
        <f t="shared" si="20"/>
        <v>7.5</v>
      </c>
      <c r="S895" t="s">
        <v>518</v>
      </c>
      <c r="T895" t="s">
        <v>145</v>
      </c>
      <c r="V895" t="s">
        <v>59</v>
      </c>
      <c r="X895">
        <v>1</v>
      </c>
      <c r="AF895">
        <v>-76.650390000000002</v>
      </c>
      <c r="AG895">
        <v>3.3528216670000002</v>
      </c>
      <c r="AH895">
        <v>10</v>
      </c>
      <c r="AI895">
        <v>0</v>
      </c>
      <c r="AJ895">
        <v>10</v>
      </c>
      <c r="AK895">
        <v>-76.649703329999994</v>
      </c>
      <c r="AL895">
        <v>3.3525900000000002</v>
      </c>
      <c r="AM895">
        <v>5</v>
      </c>
      <c r="AN895">
        <v>0</v>
      </c>
      <c r="AO895">
        <v>10</v>
      </c>
      <c r="AP895" t="s">
        <v>441</v>
      </c>
      <c r="AQ895" t="s">
        <v>244</v>
      </c>
    </row>
    <row r="896" spans="1:43" x14ac:dyDescent="0.2">
      <c r="A896">
        <v>2022</v>
      </c>
      <c r="B896" t="s">
        <v>10</v>
      </c>
      <c r="C896" t="s">
        <v>12</v>
      </c>
      <c r="D896" t="s">
        <v>347</v>
      </c>
      <c r="E896" t="s">
        <v>127</v>
      </c>
      <c r="F896" s="9">
        <v>44881</v>
      </c>
      <c r="G896" s="5">
        <v>0.87944444444444447</v>
      </c>
      <c r="H896">
        <v>-76.650390000000002</v>
      </c>
      <c r="I896">
        <v>3.3528216670000002</v>
      </c>
      <c r="J896">
        <v>7</v>
      </c>
      <c r="K896" t="s">
        <v>112</v>
      </c>
      <c r="L896" t="s">
        <v>523</v>
      </c>
      <c r="M896">
        <v>2523</v>
      </c>
      <c r="N896" t="b">
        <v>1</v>
      </c>
      <c r="P896">
        <f t="shared" si="18"/>
        <v>10</v>
      </c>
      <c r="Q896">
        <f t="shared" si="19"/>
        <v>0</v>
      </c>
      <c r="R896">
        <f t="shared" si="20"/>
        <v>7.5</v>
      </c>
      <c r="S896" t="s">
        <v>518</v>
      </c>
      <c r="T896" t="s">
        <v>145</v>
      </c>
      <c r="V896" t="s">
        <v>38</v>
      </c>
      <c r="X896">
        <v>1</v>
      </c>
      <c r="AF896">
        <v>-76.650390000000002</v>
      </c>
      <c r="AG896">
        <v>3.3528216670000002</v>
      </c>
      <c r="AH896">
        <v>10</v>
      </c>
      <c r="AI896">
        <v>0</v>
      </c>
      <c r="AJ896">
        <v>10</v>
      </c>
      <c r="AK896">
        <v>-76.649703329999994</v>
      </c>
      <c r="AL896">
        <v>3.3525900000000002</v>
      </c>
      <c r="AM896">
        <v>5</v>
      </c>
      <c r="AN896">
        <v>0</v>
      </c>
      <c r="AO896">
        <v>10</v>
      </c>
      <c r="AP896" t="s">
        <v>441</v>
      </c>
      <c r="AQ896" t="s">
        <v>443</v>
      </c>
    </row>
    <row r="897" spans="1:44" x14ac:dyDescent="0.2">
      <c r="A897">
        <v>2022</v>
      </c>
      <c r="B897" t="s">
        <v>10</v>
      </c>
      <c r="C897" t="s">
        <v>11</v>
      </c>
      <c r="D897" t="s">
        <v>186</v>
      </c>
      <c r="E897" t="s">
        <v>122</v>
      </c>
      <c r="F897" s="9">
        <v>44881</v>
      </c>
      <c r="G897" s="5">
        <v>0.77964120370370371</v>
      </c>
      <c r="H897">
        <v>-76.656366669999997</v>
      </c>
      <c r="I897">
        <v>3.3550466669999999</v>
      </c>
      <c r="J897">
        <v>7</v>
      </c>
      <c r="K897" t="s">
        <v>119</v>
      </c>
      <c r="L897" t="s">
        <v>113</v>
      </c>
      <c r="M897">
        <v>2533</v>
      </c>
      <c r="N897" t="b">
        <v>1</v>
      </c>
      <c r="P897">
        <f t="shared" si="18"/>
        <v>11</v>
      </c>
      <c r="Q897">
        <f t="shared" si="19"/>
        <v>0</v>
      </c>
      <c r="R897">
        <f t="shared" si="20"/>
        <v>12.5</v>
      </c>
      <c r="S897" t="s">
        <v>518</v>
      </c>
      <c r="T897" t="s">
        <v>145</v>
      </c>
      <c r="V897" t="s">
        <v>59</v>
      </c>
      <c r="X897">
        <v>1</v>
      </c>
      <c r="AF897">
        <v>-76.656385</v>
      </c>
      <c r="AG897">
        <v>3.3550783329999998</v>
      </c>
      <c r="AH897">
        <v>15</v>
      </c>
      <c r="AI897">
        <v>0</v>
      </c>
      <c r="AJ897">
        <v>12</v>
      </c>
      <c r="AK897">
        <v>-76.655754999999999</v>
      </c>
      <c r="AL897">
        <v>3.354516667</v>
      </c>
      <c r="AM897">
        <v>10</v>
      </c>
      <c r="AN897">
        <v>0</v>
      </c>
      <c r="AO897">
        <v>10</v>
      </c>
      <c r="AP897" t="s">
        <v>441</v>
      </c>
      <c r="AQ897" t="s">
        <v>244</v>
      </c>
    </row>
    <row r="898" spans="1:44" x14ac:dyDescent="0.2">
      <c r="A898">
        <v>2022</v>
      </c>
      <c r="B898" t="s">
        <v>10</v>
      </c>
      <c r="C898" t="s">
        <v>11</v>
      </c>
      <c r="D898" t="s">
        <v>186</v>
      </c>
      <c r="E898" t="s">
        <v>122</v>
      </c>
      <c r="F898" s="9">
        <v>44881</v>
      </c>
      <c r="G898" s="5">
        <v>0.77964120370370371</v>
      </c>
      <c r="H898">
        <v>-76.656366669999997</v>
      </c>
      <c r="I898">
        <v>3.3550466669999999</v>
      </c>
      <c r="J898">
        <v>7</v>
      </c>
      <c r="K898" t="s">
        <v>112</v>
      </c>
      <c r="L898" t="s">
        <v>113</v>
      </c>
      <c r="M898">
        <v>2533</v>
      </c>
      <c r="N898" t="b">
        <v>1</v>
      </c>
      <c r="P898">
        <f t="shared" si="18"/>
        <v>11</v>
      </c>
      <c r="Q898">
        <f t="shared" si="19"/>
        <v>0</v>
      </c>
      <c r="R898">
        <f t="shared" si="20"/>
        <v>12.5</v>
      </c>
      <c r="S898" t="s">
        <v>518</v>
      </c>
      <c r="T898" t="s">
        <v>145</v>
      </c>
      <c r="V898" t="s">
        <v>9</v>
      </c>
      <c r="X898">
        <v>1</v>
      </c>
      <c r="AF898">
        <v>-76.656385</v>
      </c>
      <c r="AG898">
        <v>3.3550783329999998</v>
      </c>
      <c r="AH898">
        <v>15</v>
      </c>
      <c r="AI898">
        <v>0</v>
      </c>
      <c r="AJ898">
        <v>12</v>
      </c>
      <c r="AK898">
        <v>-76.655754999999999</v>
      </c>
      <c r="AL898">
        <v>3.354516667</v>
      </c>
      <c r="AM898">
        <v>10</v>
      </c>
      <c r="AN898">
        <v>0</v>
      </c>
      <c r="AO898">
        <v>10</v>
      </c>
      <c r="AP898" t="s">
        <v>441</v>
      </c>
      <c r="AQ898" t="s">
        <v>244</v>
      </c>
    </row>
    <row r="899" spans="1:44" x14ac:dyDescent="0.2">
      <c r="A899">
        <v>2022</v>
      </c>
      <c r="B899" t="s">
        <v>10</v>
      </c>
      <c r="C899" t="s">
        <v>12</v>
      </c>
      <c r="D899" t="s">
        <v>471</v>
      </c>
      <c r="E899" t="s">
        <v>122</v>
      </c>
      <c r="F899" s="9">
        <v>44881</v>
      </c>
      <c r="G899" s="5">
        <v>0.89098379629629632</v>
      </c>
      <c r="H899">
        <v>-76.649523329999994</v>
      </c>
      <c r="I899">
        <v>3.3526400000000001</v>
      </c>
      <c r="J899">
        <v>7</v>
      </c>
      <c r="K899" t="s">
        <v>119</v>
      </c>
      <c r="L899" t="s">
        <v>524</v>
      </c>
      <c r="M899">
        <v>2523</v>
      </c>
      <c r="N899" t="b">
        <v>1</v>
      </c>
      <c r="P899">
        <f t="shared" si="18"/>
        <v>11</v>
      </c>
      <c r="Q899">
        <f t="shared" si="19"/>
        <v>0</v>
      </c>
      <c r="R899">
        <f t="shared" si="20"/>
        <v>7.5</v>
      </c>
      <c r="S899" t="s">
        <v>518</v>
      </c>
      <c r="T899" t="s">
        <v>145</v>
      </c>
      <c r="V899" t="s">
        <v>9</v>
      </c>
      <c r="X899">
        <v>1</v>
      </c>
      <c r="AF899">
        <v>-76.649513330000005</v>
      </c>
      <c r="AG899">
        <v>3.3527266670000002</v>
      </c>
      <c r="AH899">
        <v>10</v>
      </c>
      <c r="AI899">
        <v>0</v>
      </c>
      <c r="AJ899">
        <v>10</v>
      </c>
      <c r="AK899">
        <v>-76.648461670000003</v>
      </c>
      <c r="AL899">
        <v>3.3523383330000001</v>
      </c>
      <c r="AM899">
        <v>5</v>
      </c>
      <c r="AN899">
        <v>0</v>
      </c>
      <c r="AO899">
        <v>12</v>
      </c>
      <c r="AP899" t="s">
        <v>441</v>
      </c>
      <c r="AQ899" t="s">
        <v>443</v>
      </c>
    </row>
    <row r="900" spans="1:44" x14ac:dyDescent="0.2">
      <c r="A900">
        <v>2022</v>
      </c>
      <c r="B900" t="s">
        <v>10</v>
      </c>
      <c r="C900" t="s">
        <v>12</v>
      </c>
      <c r="D900" t="s">
        <v>472</v>
      </c>
      <c r="E900" t="s">
        <v>111</v>
      </c>
      <c r="F900" s="9">
        <v>44881</v>
      </c>
      <c r="G900" s="5">
        <v>0.90695601851851848</v>
      </c>
      <c r="H900">
        <v>-76.648120000000006</v>
      </c>
      <c r="I900">
        <v>3.35236</v>
      </c>
      <c r="J900">
        <v>7</v>
      </c>
      <c r="K900" t="s">
        <v>112</v>
      </c>
      <c r="L900" t="s">
        <v>113</v>
      </c>
      <c r="M900">
        <v>2523</v>
      </c>
      <c r="N900" t="b">
        <v>1</v>
      </c>
      <c r="P900">
        <f t="shared" si="18"/>
        <v>9</v>
      </c>
      <c r="Q900">
        <f t="shared" si="19"/>
        <v>0</v>
      </c>
      <c r="R900">
        <f t="shared" si="20"/>
        <v>25</v>
      </c>
      <c r="S900" t="s">
        <v>518</v>
      </c>
      <c r="T900" t="s">
        <v>145</v>
      </c>
      <c r="V900" t="s">
        <v>39</v>
      </c>
      <c r="X900">
        <v>1</v>
      </c>
      <c r="AF900">
        <v>-76.648388330000003</v>
      </c>
      <c r="AG900">
        <v>3.3523800000000001</v>
      </c>
      <c r="AH900">
        <v>5</v>
      </c>
      <c r="AI900">
        <v>0</v>
      </c>
      <c r="AJ900">
        <v>10</v>
      </c>
      <c r="AK900">
        <v>-76.647634999999994</v>
      </c>
      <c r="AL900">
        <v>3.3523700000000001</v>
      </c>
      <c r="AM900">
        <v>45</v>
      </c>
      <c r="AN900">
        <v>0</v>
      </c>
      <c r="AO900">
        <v>8</v>
      </c>
      <c r="AP900" t="s">
        <v>441</v>
      </c>
      <c r="AQ900" t="s">
        <v>443</v>
      </c>
    </row>
    <row r="901" spans="1:44" x14ac:dyDescent="0.2">
      <c r="A901">
        <v>2022</v>
      </c>
      <c r="B901" t="s">
        <v>10</v>
      </c>
      <c r="C901" t="s">
        <v>14</v>
      </c>
      <c r="D901" t="s">
        <v>180</v>
      </c>
      <c r="E901" t="s">
        <v>122</v>
      </c>
      <c r="F901" s="9">
        <v>44880</v>
      </c>
      <c r="G901" s="5">
        <v>0.86276620370370372</v>
      </c>
      <c r="H901">
        <v>-76.647231669999996</v>
      </c>
      <c r="I901">
        <v>3.3496566670000001</v>
      </c>
      <c r="J901">
        <v>7</v>
      </c>
      <c r="K901" t="s">
        <v>112</v>
      </c>
      <c r="L901" t="s">
        <v>113</v>
      </c>
      <c r="M901">
        <v>2397</v>
      </c>
      <c r="O901" t="b">
        <v>1</v>
      </c>
      <c r="P901">
        <f t="shared" si="18"/>
        <v>14</v>
      </c>
      <c r="Q901">
        <f t="shared" si="19"/>
        <v>0.15</v>
      </c>
      <c r="R901">
        <f t="shared" si="20"/>
        <v>25</v>
      </c>
      <c r="S901" t="s">
        <v>518</v>
      </c>
      <c r="T901" t="s">
        <v>201</v>
      </c>
      <c r="V901" t="s">
        <v>7</v>
      </c>
      <c r="X901">
        <v>1</v>
      </c>
      <c r="AF901">
        <v>-76.647296670000003</v>
      </c>
      <c r="AG901">
        <v>3.3498866669999998</v>
      </c>
      <c r="AH901">
        <v>30</v>
      </c>
      <c r="AI901">
        <v>0</v>
      </c>
      <c r="AJ901">
        <v>18</v>
      </c>
      <c r="AK901">
        <v>-76.647068329999996</v>
      </c>
      <c r="AL901">
        <v>3.3491116669999998</v>
      </c>
      <c r="AM901">
        <v>20</v>
      </c>
      <c r="AN901">
        <v>0.3</v>
      </c>
      <c r="AO901">
        <v>10</v>
      </c>
      <c r="AP901" t="s">
        <v>441</v>
      </c>
      <c r="AQ901" t="s">
        <v>443</v>
      </c>
    </row>
    <row r="902" spans="1:44" x14ac:dyDescent="0.2">
      <c r="A902">
        <v>2022</v>
      </c>
      <c r="B902" t="s">
        <v>10</v>
      </c>
      <c r="C902" t="s">
        <v>14</v>
      </c>
      <c r="D902" t="s">
        <v>180</v>
      </c>
      <c r="E902" t="s">
        <v>122</v>
      </c>
      <c r="F902" s="9">
        <v>44880</v>
      </c>
      <c r="G902" s="5">
        <v>0.86276620370370372</v>
      </c>
      <c r="H902">
        <v>-76.647231669999996</v>
      </c>
      <c r="I902">
        <v>3.3496566670000001</v>
      </c>
      <c r="J902">
        <v>7</v>
      </c>
      <c r="K902" t="s">
        <v>119</v>
      </c>
      <c r="L902" t="s">
        <v>524</v>
      </c>
      <c r="M902">
        <v>2397</v>
      </c>
      <c r="O902" t="b">
        <v>1</v>
      </c>
      <c r="P902">
        <f t="shared" si="18"/>
        <v>14</v>
      </c>
      <c r="Q902">
        <f t="shared" si="19"/>
        <v>0.15</v>
      </c>
      <c r="R902">
        <f t="shared" si="20"/>
        <v>25</v>
      </c>
      <c r="S902" t="s">
        <v>518</v>
      </c>
      <c r="T902" t="s">
        <v>201</v>
      </c>
      <c r="V902" t="s">
        <v>7</v>
      </c>
      <c r="X902">
        <v>1</v>
      </c>
      <c r="AF902">
        <v>-76.647296670000003</v>
      </c>
      <c r="AG902">
        <v>3.3498866669999998</v>
      </c>
      <c r="AH902">
        <v>30</v>
      </c>
      <c r="AI902">
        <v>0</v>
      </c>
      <c r="AJ902">
        <v>18</v>
      </c>
      <c r="AK902">
        <v>-76.647068329999996</v>
      </c>
      <c r="AL902">
        <v>3.3491116669999998</v>
      </c>
      <c r="AM902">
        <v>20</v>
      </c>
      <c r="AN902">
        <v>0.3</v>
      </c>
      <c r="AO902">
        <v>10</v>
      </c>
      <c r="AP902" t="s">
        <v>441</v>
      </c>
      <c r="AQ902" t="s">
        <v>443</v>
      </c>
    </row>
    <row r="903" spans="1:44" x14ac:dyDescent="0.2">
      <c r="A903">
        <v>2022</v>
      </c>
      <c r="B903" t="s">
        <v>10</v>
      </c>
      <c r="C903" t="s">
        <v>14</v>
      </c>
      <c r="D903" t="s">
        <v>180</v>
      </c>
      <c r="E903" t="s">
        <v>122</v>
      </c>
      <c r="F903" s="9">
        <v>44880</v>
      </c>
      <c r="G903" s="5">
        <v>0.85990740740740745</v>
      </c>
      <c r="H903">
        <v>-76.647136669999995</v>
      </c>
      <c r="I903">
        <v>3.3497033329999999</v>
      </c>
      <c r="J903">
        <v>7</v>
      </c>
      <c r="K903" t="s">
        <v>119</v>
      </c>
      <c r="L903" t="s">
        <v>113</v>
      </c>
      <c r="M903">
        <v>2397</v>
      </c>
      <c r="O903" t="b">
        <v>1</v>
      </c>
      <c r="P903">
        <f t="shared" si="18"/>
        <v>14</v>
      </c>
      <c r="Q903">
        <f t="shared" si="19"/>
        <v>0.15</v>
      </c>
      <c r="R903">
        <f t="shared" si="20"/>
        <v>25</v>
      </c>
      <c r="S903" t="s">
        <v>518</v>
      </c>
      <c r="T903" t="s">
        <v>201</v>
      </c>
      <c r="U903" t="s">
        <v>529</v>
      </c>
      <c r="V903" t="s">
        <v>9</v>
      </c>
      <c r="X903">
        <v>1</v>
      </c>
      <c r="AF903">
        <v>-76.647296670000003</v>
      </c>
      <c r="AG903">
        <v>3.3498866669999998</v>
      </c>
      <c r="AH903">
        <v>30</v>
      </c>
      <c r="AI903">
        <v>0</v>
      </c>
      <c r="AJ903">
        <v>18</v>
      </c>
      <c r="AK903">
        <v>-76.647068329999996</v>
      </c>
      <c r="AL903">
        <v>3.3491116669999998</v>
      </c>
      <c r="AM903">
        <v>20</v>
      </c>
      <c r="AN903">
        <v>0.3</v>
      </c>
      <c r="AO903">
        <v>10</v>
      </c>
      <c r="AP903" t="s">
        <v>467</v>
      </c>
      <c r="AQ903" t="s">
        <v>244</v>
      </c>
    </row>
    <row r="904" spans="1:44" x14ac:dyDescent="0.2">
      <c r="A904">
        <v>2022</v>
      </c>
      <c r="B904" t="s">
        <v>10</v>
      </c>
      <c r="C904" t="s">
        <v>14</v>
      </c>
      <c r="D904" t="s">
        <v>180</v>
      </c>
      <c r="E904" t="s">
        <v>122</v>
      </c>
      <c r="F904" s="9">
        <v>44880</v>
      </c>
      <c r="G904" s="5">
        <v>0.87130787037037039</v>
      </c>
      <c r="H904">
        <v>-76.647106669999999</v>
      </c>
      <c r="I904">
        <v>3.3494999999999999</v>
      </c>
      <c r="J904">
        <v>7</v>
      </c>
      <c r="K904" t="s">
        <v>112</v>
      </c>
      <c r="L904" t="s">
        <v>524</v>
      </c>
      <c r="M904">
        <v>2397</v>
      </c>
      <c r="O904" t="b">
        <v>1</v>
      </c>
      <c r="P904">
        <f t="shared" si="18"/>
        <v>14</v>
      </c>
      <c r="Q904">
        <f t="shared" si="19"/>
        <v>0.15</v>
      </c>
      <c r="R904">
        <f t="shared" si="20"/>
        <v>25</v>
      </c>
      <c r="S904" t="s">
        <v>518</v>
      </c>
      <c r="T904" t="s">
        <v>201</v>
      </c>
      <c r="V904" t="s">
        <v>40</v>
      </c>
      <c r="X904">
        <v>1</v>
      </c>
      <c r="AE904" t="s">
        <v>530</v>
      </c>
      <c r="AF904">
        <v>-76.647296670000003</v>
      </c>
      <c r="AG904">
        <v>3.3498866669999998</v>
      </c>
      <c r="AH904">
        <v>30</v>
      </c>
      <c r="AI904">
        <v>0</v>
      </c>
      <c r="AJ904">
        <v>18</v>
      </c>
      <c r="AK904">
        <v>-76.647068329999996</v>
      </c>
      <c r="AL904">
        <v>3.3491116669999998</v>
      </c>
      <c r="AM904">
        <v>20</v>
      </c>
      <c r="AN904">
        <v>0.3</v>
      </c>
      <c r="AO904">
        <v>10</v>
      </c>
      <c r="AP904" t="s">
        <v>441</v>
      </c>
      <c r="AQ904" t="s">
        <v>443</v>
      </c>
    </row>
    <row r="905" spans="1:44" x14ac:dyDescent="0.2">
      <c r="A905">
        <v>2022</v>
      </c>
      <c r="B905" t="s">
        <v>10</v>
      </c>
      <c r="C905" t="s">
        <v>14</v>
      </c>
      <c r="D905" t="s">
        <v>180</v>
      </c>
      <c r="E905" t="s">
        <v>122</v>
      </c>
      <c r="F905" s="9">
        <v>44880</v>
      </c>
      <c r="G905" s="5">
        <v>0.87829861111111107</v>
      </c>
      <c r="H905">
        <v>-76.647056669999998</v>
      </c>
      <c r="I905">
        <v>3.3493866670000001</v>
      </c>
      <c r="J905">
        <v>7</v>
      </c>
      <c r="K905" t="s">
        <v>112</v>
      </c>
      <c r="L905" t="s">
        <v>113</v>
      </c>
      <c r="M905">
        <v>2397</v>
      </c>
      <c r="O905" t="b">
        <v>1</v>
      </c>
      <c r="P905">
        <f t="shared" si="18"/>
        <v>14</v>
      </c>
      <c r="Q905">
        <f t="shared" si="19"/>
        <v>0.15</v>
      </c>
      <c r="R905">
        <f t="shared" si="20"/>
        <v>25</v>
      </c>
      <c r="S905" t="s">
        <v>518</v>
      </c>
      <c r="T905" t="s">
        <v>447</v>
      </c>
      <c r="V905" t="s">
        <v>40</v>
      </c>
      <c r="X905">
        <v>1</v>
      </c>
      <c r="AF905">
        <v>-76.647296670000003</v>
      </c>
      <c r="AG905">
        <v>3.3498866669999998</v>
      </c>
      <c r="AH905">
        <v>30</v>
      </c>
      <c r="AI905">
        <v>0</v>
      </c>
      <c r="AJ905">
        <v>18</v>
      </c>
      <c r="AK905">
        <v>-76.647068329999996</v>
      </c>
      <c r="AL905">
        <v>3.3491116669999998</v>
      </c>
      <c r="AM905">
        <v>20</v>
      </c>
      <c r="AN905">
        <v>0.3</v>
      </c>
      <c r="AO905">
        <v>10</v>
      </c>
      <c r="AP905" t="s">
        <v>441</v>
      </c>
      <c r="AQ905" t="s">
        <v>443</v>
      </c>
    </row>
    <row r="906" spans="1:44" x14ac:dyDescent="0.2">
      <c r="A906">
        <v>2022</v>
      </c>
      <c r="B906" t="s">
        <v>10</v>
      </c>
      <c r="C906" t="s">
        <v>14</v>
      </c>
      <c r="D906" t="s">
        <v>226</v>
      </c>
      <c r="E906" t="s">
        <v>111</v>
      </c>
      <c r="F906" s="9">
        <v>44880</v>
      </c>
      <c r="G906" s="5">
        <v>0.89251157407407411</v>
      </c>
      <c r="H906">
        <v>-76.647163329999998</v>
      </c>
      <c r="I906">
        <v>3.3486233329999999</v>
      </c>
      <c r="J906">
        <v>7</v>
      </c>
      <c r="K906" t="s">
        <v>119</v>
      </c>
      <c r="L906" t="s">
        <v>524</v>
      </c>
      <c r="M906">
        <v>2397</v>
      </c>
      <c r="O906" t="b">
        <v>1</v>
      </c>
      <c r="P906">
        <f t="shared" si="18"/>
        <v>10</v>
      </c>
      <c r="Q906">
        <f t="shared" si="19"/>
        <v>0.27500000000000002</v>
      </c>
      <c r="R906">
        <f t="shared" si="20"/>
        <v>17.5</v>
      </c>
      <c r="S906" t="s">
        <v>518</v>
      </c>
      <c r="T906" t="s">
        <v>447</v>
      </c>
      <c r="V906" t="s">
        <v>70</v>
      </c>
      <c r="X906">
        <v>1</v>
      </c>
      <c r="AF906">
        <v>-76.647043330000002</v>
      </c>
      <c r="AG906">
        <v>3.3489433329999998</v>
      </c>
      <c r="AH906">
        <v>15</v>
      </c>
      <c r="AI906">
        <v>0.3</v>
      </c>
      <c r="AJ906">
        <v>10</v>
      </c>
      <c r="AK906">
        <v>-76.647175000000004</v>
      </c>
      <c r="AL906">
        <v>3.3485716669999999</v>
      </c>
      <c r="AM906">
        <v>20</v>
      </c>
      <c r="AN906">
        <v>0.25</v>
      </c>
      <c r="AO906">
        <v>10</v>
      </c>
      <c r="AP906" t="s">
        <v>441</v>
      </c>
      <c r="AQ906" t="s">
        <v>443</v>
      </c>
    </row>
    <row r="907" spans="1:44" x14ac:dyDescent="0.2">
      <c r="A907">
        <v>2022</v>
      </c>
      <c r="B907" t="s">
        <v>10</v>
      </c>
      <c r="C907" t="s">
        <v>14</v>
      </c>
      <c r="D907" t="s">
        <v>226</v>
      </c>
      <c r="E907" t="s">
        <v>111</v>
      </c>
      <c r="F907" s="9">
        <v>44880</v>
      </c>
      <c r="G907" s="5">
        <v>0.89028935185185187</v>
      </c>
      <c r="H907">
        <v>-76.647121670000004</v>
      </c>
      <c r="I907">
        <v>3.3487149999999999</v>
      </c>
      <c r="J907">
        <v>7</v>
      </c>
      <c r="K907" t="s">
        <v>119</v>
      </c>
      <c r="L907" t="s">
        <v>523</v>
      </c>
      <c r="M907">
        <v>2397</v>
      </c>
      <c r="O907" t="b">
        <v>1</v>
      </c>
      <c r="P907">
        <f t="shared" si="18"/>
        <v>10</v>
      </c>
      <c r="Q907">
        <f t="shared" si="19"/>
        <v>0.27500000000000002</v>
      </c>
      <c r="R907">
        <f t="shared" si="20"/>
        <v>17.5</v>
      </c>
      <c r="S907" t="s">
        <v>518</v>
      </c>
      <c r="T907" t="s">
        <v>447</v>
      </c>
      <c r="V907" t="s">
        <v>40</v>
      </c>
      <c r="X907">
        <v>1</v>
      </c>
      <c r="AF907">
        <v>-76.647043330000002</v>
      </c>
      <c r="AG907">
        <v>3.3489433329999998</v>
      </c>
      <c r="AH907">
        <v>15</v>
      </c>
      <c r="AI907">
        <v>0.3</v>
      </c>
      <c r="AJ907">
        <v>10</v>
      </c>
      <c r="AK907">
        <v>-76.647175000000004</v>
      </c>
      <c r="AL907">
        <v>3.3485716669999999</v>
      </c>
      <c r="AM907">
        <v>20</v>
      </c>
      <c r="AN907">
        <v>0.25</v>
      </c>
      <c r="AO907">
        <v>10</v>
      </c>
      <c r="AP907" t="s">
        <v>441</v>
      </c>
      <c r="AQ907" t="s">
        <v>443</v>
      </c>
    </row>
    <row r="908" spans="1:44" x14ac:dyDescent="0.2">
      <c r="A908">
        <v>2022</v>
      </c>
      <c r="B908" t="s">
        <v>15</v>
      </c>
      <c r="C908" t="s">
        <v>20</v>
      </c>
      <c r="D908" t="s">
        <v>151</v>
      </c>
      <c r="E908" t="s">
        <v>111</v>
      </c>
      <c r="F908" s="9">
        <v>44867</v>
      </c>
      <c r="G908" s="5">
        <v>0.875462962962963</v>
      </c>
      <c r="H908">
        <v>-76.678376670000006</v>
      </c>
      <c r="I908">
        <v>3.4022016669999999</v>
      </c>
      <c r="J908">
        <v>7</v>
      </c>
      <c r="K908" t="s">
        <v>119</v>
      </c>
      <c r="L908" t="s">
        <v>136</v>
      </c>
      <c r="M908">
        <v>3035</v>
      </c>
      <c r="N908" t="b">
        <v>1</v>
      </c>
      <c r="P908">
        <f t="shared" si="18"/>
        <v>15</v>
      </c>
      <c r="Q908">
        <f t="shared" si="19"/>
        <v>0</v>
      </c>
      <c r="R908">
        <f t="shared" si="20"/>
        <v>5</v>
      </c>
      <c r="S908" t="s">
        <v>442</v>
      </c>
      <c r="T908" t="s">
        <v>258</v>
      </c>
      <c r="U908" t="s">
        <v>187</v>
      </c>
      <c r="V908" t="s">
        <v>38</v>
      </c>
      <c r="X908">
        <v>1</v>
      </c>
      <c r="AF908">
        <v>-76.67795667</v>
      </c>
      <c r="AG908">
        <v>3.4023300000000001</v>
      </c>
      <c r="AH908">
        <v>5</v>
      </c>
      <c r="AI908">
        <v>0</v>
      </c>
      <c r="AJ908">
        <v>12</v>
      </c>
      <c r="AK908">
        <v>-76.678555000000003</v>
      </c>
      <c r="AL908">
        <v>3.4016899999999999</v>
      </c>
      <c r="AM908">
        <v>5</v>
      </c>
      <c r="AN908">
        <v>0</v>
      </c>
      <c r="AO908">
        <v>18</v>
      </c>
      <c r="AP908" t="s">
        <v>441</v>
      </c>
      <c r="AQ908" t="s">
        <v>443</v>
      </c>
      <c r="AR908" t="s">
        <v>522</v>
      </c>
    </row>
    <row r="909" spans="1:44" x14ac:dyDescent="0.2">
      <c r="A909">
        <v>2022</v>
      </c>
      <c r="B909" t="s">
        <v>15</v>
      </c>
      <c r="C909" t="s">
        <v>20</v>
      </c>
      <c r="D909" t="s">
        <v>151</v>
      </c>
      <c r="E909" t="s">
        <v>111</v>
      </c>
      <c r="F909" s="9">
        <v>44867</v>
      </c>
      <c r="G909" s="5">
        <v>0.87702546296296291</v>
      </c>
      <c r="H909">
        <v>-76.678399999999996</v>
      </c>
      <c r="I909">
        <v>3.402113333</v>
      </c>
      <c r="J909">
        <v>7</v>
      </c>
      <c r="K909" t="s">
        <v>112</v>
      </c>
      <c r="L909" t="s">
        <v>136</v>
      </c>
      <c r="M909">
        <v>3058</v>
      </c>
      <c r="N909" t="b">
        <v>1</v>
      </c>
      <c r="P909">
        <f t="shared" si="18"/>
        <v>15</v>
      </c>
      <c r="Q909">
        <f t="shared" si="19"/>
        <v>0</v>
      </c>
      <c r="R909">
        <f t="shared" si="20"/>
        <v>5</v>
      </c>
      <c r="S909" t="s">
        <v>442</v>
      </c>
      <c r="T909" t="s">
        <v>258</v>
      </c>
      <c r="U909" t="s">
        <v>187</v>
      </c>
      <c r="V909" t="s">
        <v>38</v>
      </c>
      <c r="X909">
        <v>1</v>
      </c>
      <c r="AF909">
        <v>-76.67795667</v>
      </c>
      <c r="AG909">
        <v>3.4023300000000001</v>
      </c>
      <c r="AH909">
        <v>5</v>
      </c>
      <c r="AI909">
        <v>0</v>
      </c>
      <c r="AJ909">
        <v>12</v>
      </c>
      <c r="AK909">
        <v>-76.678555000000003</v>
      </c>
      <c r="AL909">
        <v>3.4016899999999999</v>
      </c>
      <c r="AM909">
        <v>5</v>
      </c>
      <c r="AN909">
        <v>0</v>
      </c>
      <c r="AO909">
        <v>18</v>
      </c>
      <c r="AP909" t="s">
        <v>441</v>
      </c>
      <c r="AQ909" t="s">
        <v>443</v>
      </c>
      <c r="AR909" t="s">
        <v>522</v>
      </c>
    </row>
    <row r="910" spans="1:44" x14ac:dyDescent="0.2">
      <c r="A910">
        <v>2022</v>
      </c>
      <c r="B910" t="s">
        <v>15</v>
      </c>
      <c r="C910" t="s">
        <v>20</v>
      </c>
      <c r="D910" t="s">
        <v>151</v>
      </c>
      <c r="E910" t="s">
        <v>111</v>
      </c>
      <c r="F910" s="9">
        <v>44867</v>
      </c>
      <c r="G910" s="5">
        <v>0.86924768518518514</v>
      </c>
      <c r="H910">
        <v>-76.67795667</v>
      </c>
      <c r="I910">
        <v>3.4023300000000001</v>
      </c>
      <c r="J910">
        <v>7</v>
      </c>
      <c r="K910" t="s">
        <v>112</v>
      </c>
      <c r="L910" t="s">
        <v>136</v>
      </c>
      <c r="M910">
        <v>3028</v>
      </c>
      <c r="N910" t="b">
        <v>1</v>
      </c>
      <c r="P910">
        <f t="shared" si="18"/>
        <v>15</v>
      </c>
      <c r="Q910">
        <f t="shared" si="19"/>
        <v>0</v>
      </c>
      <c r="R910">
        <f t="shared" si="20"/>
        <v>5</v>
      </c>
      <c r="S910" t="s">
        <v>442</v>
      </c>
      <c r="T910" t="s">
        <v>258</v>
      </c>
      <c r="U910" t="s">
        <v>531</v>
      </c>
      <c r="V910" t="s">
        <v>38</v>
      </c>
      <c r="X910">
        <v>1</v>
      </c>
      <c r="AF910">
        <v>-76.67795667</v>
      </c>
      <c r="AG910">
        <v>3.4023300000000001</v>
      </c>
      <c r="AH910">
        <v>5</v>
      </c>
      <c r="AI910">
        <v>0</v>
      </c>
      <c r="AJ910">
        <v>12</v>
      </c>
      <c r="AK910">
        <v>-76.678555000000003</v>
      </c>
      <c r="AL910">
        <v>3.4016899999999999</v>
      </c>
      <c r="AM910">
        <v>5</v>
      </c>
      <c r="AN910">
        <v>0</v>
      </c>
      <c r="AO910">
        <v>18</v>
      </c>
      <c r="AP910" t="s">
        <v>441</v>
      </c>
      <c r="AQ910" t="s">
        <v>443</v>
      </c>
      <c r="AR910" t="s">
        <v>522</v>
      </c>
    </row>
    <row r="911" spans="1:44" x14ac:dyDescent="0.2">
      <c r="A911">
        <v>2022</v>
      </c>
      <c r="B911" t="s">
        <v>15</v>
      </c>
      <c r="C911" t="s">
        <v>19</v>
      </c>
      <c r="D911" t="s">
        <v>193</v>
      </c>
      <c r="E911" t="s">
        <v>111</v>
      </c>
      <c r="F911" s="9">
        <v>44867</v>
      </c>
      <c r="G911" s="5">
        <v>0.90952546296296299</v>
      </c>
      <c r="H911">
        <v>-76.680293329999998</v>
      </c>
      <c r="I911">
        <v>3.4007516670000002</v>
      </c>
      <c r="J911">
        <v>7</v>
      </c>
      <c r="K911" t="s">
        <v>112</v>
      </c>
      <c r="L911" t="s">
        <v>136</v>
      </c>
      <c r="M911">
        <v>3025</v>
      </c>
      <c r="N911" t="b">
        <v>1</v>
      </c>
      <c r="P911">
        <f t="shared" si="18"/>
        <v>9</v>
      </c>
      <c r="Q911">
        <f t="shared" si="19"/>
        <v>0</v>
      </c>
      <c r="R911">
        <f t="shared" si="20"/>
        <v>10</v>
      </c>
      <c r="S911" t="s">
        <v>442</v>
      </c>
      <c r="T911" t="s">
        <v>447</v>
      </c>
      <c r="U911" t="s">
        <v>187</v>
      </c>
      <c r="V911" t="s">
        <v>38</v>
      </c>
      <c r="X911">
        <v>2</v>
      </c>
      <c r="AF911">
        <v>-76.680293329999998</v>
      </c>
      <c r="AG911">
        <v>3.4007516670000002</v>
      </c>
      <c r="AH911">
        <v>10</v>
      </c>
      <c r="AI911">
        <v>0</v>
      </c>
      <c r="AJ911">
        <v>8</v>
      </c>
      <c r="AK911">
        <v>-76.680963329999997</v>
      </c>
      <c r="AL911">
        <v>3.4013466669999999</v>
      </c>
      <c r="AM911">
        <v>10</v>
      </c>
      <c r="AN911">
        <v>0</v>
      </c>
      <c r="AO911">
        <v>10</v>
      </c>
      <c r="AP911" t="s">
        <v>441</v>
      </c>
      <c r="AQ911" t="s">
        <v>443</v>
      </c>
      <c r="AR911" t="s">
        <v>522</v>
      </c>
    </row>
    <row r="912" spans="1:44" x14ac:dyDescent="0.2">
      <c r="A912">
        <v>2022</v>
      </c>
      <c r="B912" t="s">
        <v>15</v>
      </c>
      <c r="C912" t="s">
        <v>19</v>
      </c>
      <c r="D912" t="s">
        <v>193</v>
      </c>
      <c r="E912" t="s">
        <v>111</v>
      </c>
      <c r="F912" s="9">
        <v>44867</v>
      </c>
      <c r="G912" s="5">
        <v>0.90952546296296299</v>
      </c>
      <c r="H912">
        <v>-76.680293329999998</v>
      </c>
      <c r="I912">
        <v>3.4007516670000002</v>
      </c>
      <c r="J912">
        <v>7</v>
      </c>
      <c r="K912" t="s">
        <v>119</v>
      </c>
      <c r="L912" t="s">
        <v>136</v>
      </c>
      <c r="M912">
        <v>3025</v>
      </c>
      <c r="N912" t="b">
        <v>1</v>
      </c>
      <c r="P912">
        <f t="shared" si="18"/>
        <v>9</v>
      </c>
      <c r="Q912">
        <f t="shared" si="19"/>
        <v>0</v>
      </c>
      <c r="R912">
        <f t="shared" si="20"/>
        <v>10</v>
      </c>
      <c r="S912" t="s">
        <v>532</v>
      </c>
      <c r="T912" t="s">
        <v>447</v>
      </c>
      <c r="U912" t="s">
        <v>529</v>
      </c>
      <c r="V912" t="s">
        <v>33</v>
      </c>
      <c r="X912">
        <v>1</v>
      </c>
      <c r="AF912">
        <v>-76.680293329999998</v>
      </c>
      <c r="AG912">
        <v>3.4007516670000002</v>
      </c>
      <c r="AH912">
        <v>10</v>
      </c>
      <c r="AI912">
        <v>0</v>
      </c>
      <c r="AJ912">
        <v>8</v>
      </c>
      <c r="AK912">
        <v>-76.680963329999997</v>
      </c>
      <c r="AL912">
        <v>3.4013466669999999</v>
      </c>
      <c r="AM912">
        <v>10</v>
      </c>
      <c r="AN912">
        <v>0</v>
      </c>
      <c r="AO912">
        <v>10</v>
      </c>
      <c r="AP912" t="s">
        <v>448</v>
      </c>
      <c r="AQ912" t="s">
        <v>244</v>
      </c>
      <c r="AR912" t="s">
        <v>522</v>
      </c>
    </row>
    <row r="913" spans="1:44" x14ac:dyDescent="0.2">
      <c r="A913">
        <v>2022</v>
      </c>
      <c r="B913" t="s">
        <v>15</v>
      </c>
      <c r="C913" t="s">
        <v>19</v>
      </c>
      <c r="D913" t="s">
        <v>193</v>
      </c>
      <c r="E913" t="s">
        <v>111</v>
      </c>
      <c r="F913" s="9">
        <v>44867</v>
      </c>
      <c r="G913" s="5">
        <v>0.9208101851851852</v>
      </c>
      <c r="H913">
        <v>-76.680454999999995</v>
      </c>
      <c r="I913">
        <v>3.4010750000000001</v>
      </c>
      <c r="J913">
        <v>7</v>
      </c>
      <c r="K913" t="s">
        <v>112</v>
      </c>
      <c r="L913" t="s">
        <v>136</v>
      </c>
      <c r="M913">
        <v>3028</v>
      </c>
      <c r="N913" t="b">
        <v>1</v>
      </c>
      <c r="P913">
        <f t="shared" si="18"/>
        <v>9</v>
      </c>
      <c r="Q913">
        <f t="shared" si="19"/>
        <v>0</v>
      </c>
      <c r="R913">
        <f t="shared" si="20"/>
        <v>10</v>
      </c>
      <c r="S913" t="s">
        <v>442</v>
      </c>
      <c r="T913" t="s">
        <v>447</v>
      </c>
      <c r="U913" t="s">
        <v>187</v>
      </c>
      <c r="V913" t="s">
        <v>39</v>
      </c>
      <c r="X913">
        <v>1</v>
      </c>
      <c r="AF913">
        <v>-76.680293329999998</v>
      </c>
      <c r="AG913">
        <v>3.4007516670000002</v>
      </c>
      <c r="AH913">
        <v>10</v>
      </c>
      <c r="AI913">
        <v>0</v>
      </c>
      <c r="AJ913">
        <v>8</v>
      </c>
      <c r="AK913">
        <v>-76.680963329999997</v>
      </c>
      <c r="AL913">
        <v>3.4013466669999999</v>
      </c>
      <c r="AM913">
        <v>10</v>
      </c>
      <c r="AN913">
        <v>0</v>
      </c>
      <c r="AO913">
        <v>10</v>
      </c>
      <c r="AP913" t="s">
        <v>450</v>
      </c>
      <c r="AQ913" t="s">
        <v>443</v>
      </c>
      <c r="AR913" t="s">
        <v>522</v>
      </c>
    </row>
    <row r="914" spans="1:44" x14ac:dyDescent="0.2">
      <c r="A914">
        <v>2022</v>
      </c>
      <c r="B914" t="s">
        <v>15</v>
      </c>
      <c r="C914" t="s">
        <v>19</v>
      </c>
      <c r="D914" t="s">
        <v>193</v>
      </c>
      <c r="E914" t="s">
        <v>111</v>
      </c>
      <c r="F914" s="9">
        <v>44867</v>
      </c>
      <c r="G914" s="5">
        <v>0.9208101851851852</v>
      </c>
      <c r="H914">
        <v>-76.680454999999995</v>
      </c>
      <c r="I914">
        <v>3.4010750000000001</v>
      </c>
      <c r="J914">
        <v>7</v>
      </c>
      <c r="K914" t="s">
        <v>119</v>
      </c>
      <c r="L914" t="s">
        <v>136</v>
      </c>
      <c r="N914" t="b">
        <v>1</v>
      </c>
      <c r="P914">
        <f t="shared" si="18"/>
        <v>9</v>
      </c>
      <c r="Q914">
        <f t="shared" si="19"/>
        <v>0</v>
      </c>
      <c r="R914">
        <f t="shared" si="20"/>
        <v>10</v>
      </c>
      <c r="S914" t="s">
        <v>532</v>
      </c>
      <c r="T914" t="s">
        <v>447</v>
      </c>
      <c r="U914" t="s">
        <v>533</v>
      </c>
      <c r="V914" t="s">
        <v>33</v>
      </c>
      <c r="X914">
        <v>2</v>
      </c>
      <c r="AF914">
        <v>-76.680293329999998</v>
      </c>
      <c r="AG914">
        <v>3.4007516670000002</v>
      </c>
      <c r="AH914">
        <v>10</v>
      </c>
      <c r="AI914">
        <v>0</v>
      </c>
      <c r="AJ914">
        <v>8</v>
      </c>
      <c r="AK914">
        <v>-76.680963329999997</v>
      </c>
      <c r="AL914">
        <v>3.4013466669999999</v>
      </c>
      <c r="AM914">
        <v>10</v>
      </c>
      <c r="AN914">
        <v>0</v>
      </c>
      <c r="AO914">
        <v>10</v>
      </c>
      <c r="AP914" t="s">
        <v>448</v>
      </c>
      <c r="AQ914" t="s">
        <v>244</v>
      </c>
      <c r="AR914" t="s">
        <v>522</v>
      </c>
    </row>
    <row r="915" spans="1:44" x14ac:dyDescent="0.2">
      <c r="A915">
        <v>2022</v>
      </c>
      <c r="B915" t="s">
        <v>15</v>
      </c>
      <c r="C915" t="s">
        <v>19</v>
      </c>
      <c r="D915" t="s">
        <v>193</v>
      </c>
      <c r="E915" t="s">
        <v>111</v>
      </c>
      <c r="F915" s="9">
        <v>44867</v>
      </c>
      <c r="G915" s="5">
        <v>0.92461805555555554</v>
      </c>
      <c r="H915">
        <v>-76.680671669999995</v>
      </c>
      <c r="I915">
        <v>3.4010233329999999</v>
      </c>
      <c r="J915">
        <v>7</v>
      </c>
      <c r="K915" t="s">
        <v>119</v>
      </c>
      <c r="L915" t="s">
        <v>136</v>
      </c>
      <c r="M915">
        <v>3028</v>
      </c>
      <c r="N915" t="b">
        <v>1</v>
      </c>
      <c r="P915">
        <f t="shared" si="18"/>
        <v>9</v>
      </c>
      <c r="Q915">
        <f t="shared" si="19"/>
        <v>0</v>
      </c>
      <c r="R915">
        <f t="shared" si="20"/>
        <v>10</v>
      </c>
      <c r="S915" t="s">
        <v>318</v>
      </c>
      <c r="T915" t="s">
        <v>258</v>
      </c>
      <c r="U915" t="s">
        <v>187</v>
      </c>
      <c r="V915" t="s">
        <v>37</v>
      </c>
      <c r="X915">
        <v>1</v>
      </c>
      <c r="AA915" t="s">
        <v>436</v>
      </c>
      <c r="AD915" t="s">
        <v>534</v>
      </c>
      <c r="AF915">
        <v>-76.680293329999998</v>
      </c>
      <c r="AG915">
        <v>3.4007516670000002</v>
      </c>
      <c r="AH915">
        <v>10</v>
      </c>
      <c r="AI915">
        <v>0</v>
      </c>
      <c r="AJ915">
        <v>8</v>
      </c>
      <c r="AK915">
        <v>-76.680963329999997</v>
      </c>
      <c r="AL915">
        <v>3.4013466669999999</v>
      </c>
      <c r="AM915">
        <v>10</v>
      </c>
      <c r="AN915">
        <v>0</v>
      </c>
      <c r="AO915">
        <v>10</v>
      </c>
      <c r="AP915" t="s">
        <v>450</v>
      </c>
      <c r="AQ915" t="s">
        <v>443</v>
      </c>
      <c r="AR915" t="s">
        <v>522</v>
      </c>
    </row>
    <row r="916" spans="1:44" x14ac:dyDescent="0.2">
      <c r="A916">
        <v>2022</v>
      </c>
      <c r="B916" t="s">
        <v>15</v>
      </c>
      <c r="C916" t="s">
        <v>19</v>
      </c>
      <c r="D916" t="s">
        <v>153</v>
      </c>
      <c r="E916" t="s">
        <v>127</v>
      </c>
      <c r="F916" s="9">
        <v>44867</v>
      </c>
      <c r="G916" s="5">
        <v>0.89692129629629624</v>
      </c>
      <c r="H916">
        <v>-76.679093330000001</v>
      </c>
      <c r="I916">
        <v>3.4007183329999999</v>
      </c>
      <c r="J916">
        <v>7</v>
      </c>
      <c r="L916" t="s">
        <v>136</v>
      </c>
      <c r="P916">
        <f t="shared" si="18"/>
        <v>13</v>
      </c>
      <c r="Q916">
        <f t="shared" si="19"/>
        <v>0.3</v>
      </c>
      <c r="R916">
        <f t="shared" si="20"/>
        <v>5</v>
      </c>
      <c r="V916" t="s">
        <v>47</v>
      </c>
      <c r="X916">
        <v>0</v>
      </c>
      <c r="AA916" t="s">
        <v>436</v>
      </c>
      <c r="AD916" t="s">
        <v>535</v>
      </c>
      <c r="AF916">
        <v>-76.678711669999998</v>
      </c>
      <c r="AG916">
        <v>3.4015083330000002</v>
      </c>
      <c r="AH916">
        <v>5</v>
      </c>
      <c r="AI916">
        <v>0</v>
      </c>
      <c r="AJ916">
        <v>18</v>
      </c>
      <c r="AK916">
        <v>-76.679093330000001</v>
      </c>
      <c r="AL916">
        <v>3.4007183329999999</v>
      </c>
      <c r="AM916">
        <v>5</v>
      </c>
      <c r="AN916">
        <v>0.6</v>
      </c>
      <c r="AO916">
        <v>8</v>
      </c>
      <c r="AR916" t="s">
        <v>522</v>
      </c>
    </row>
    <row r="917" spans="1:44" x14ac:dyDescent="0.2">
      <c r="A917">
        <v>2022</v>
      </c>
      <c r="B917" t="s">
        <v>15</v>
      </c>
      <c r="C917" t="s">
        <v>19</v>
      </c>
      <c r="D917" t="s">
        <v>150</v>
      </c>
      <c r="E917" t="s">
        <v>122</v>
      </c>
      <c r="F917" s="9">
        <v>44867</v>
      </c>
      <c r="G917" s="5">
        <v>0.90662037037037035</v>
      </c>
      <c r="H917">
        <v>-76.680066670000002</v>
      </c>
      <c r="I917">
        <v>3.400956667</v>
      </c>
      <c r="J917">
        <v>7</v>
      </c>
      <c r="L917" t="s">
        <v>136</v>
      </c>
      <c r="P917">
        <f t="shared" si="18"/>
        <v>8</v>
      </c>
      <c r="Q917">
        <f t="shared" si="19"/>
        <v>0</v>
      </c>
      <c r="R917">
        <f t="shared" si="20"/>
        <v>7.5</v>
      </c>
      <c r="V917" t="s">
        <v>47</v>
      </c>
      <c r="X917">
        <v>0</v>
      </c>
      <c r="AF917">
        <v>-76.679201669999998</v>
      </c>
      <c r="AG917">
        <v>3.400833333</v>
      </c>
      <c r="AH917">
        <v>10</v>
      </c>
      <c r="AI917">
        <v>0</v>
      </c>
      <c r="AJ917">
        <v>8</v>
      </c>
      <c r="AK917">
        <v>-76.680066670000002</v>
      </c>
      <c r="AL917">
        <v>3.400956667</v>
      </c>
      <c r="AM917">
        <v>5</v>
      </c>
      <c r="AN917">
        <v>0</v>
      </c>
      <c r="AO917">
        <v>8</v>
      </c>
      <c r="AR917" t="s">
        <v>522</v>
      </c>
    </row>
    <row r="918" spans="1:44" x14ac:dyDescent="0.2">
      <c r="A918">
        <v>2022</v>
      </c>
      <c r="B918" t="s">
        <v>15</v>
      </c>
      <c r="C918" t="s">
        <v>20</v>
      </c>
      <c r="D918" t="s">
        <v>496</v>
      </c>
      <c r="E918" t="s">
        <v>122</v>
      </c>
      <c r="F918" s="9">
        <v>44867</v>
      </c>
      <c r="G918" s="5">
        <v>0.86579861111111112</v>
      </c>
      <c r="H918">
        <v>-76.677778329999995</v>
      </c>
      <c r="I918">
        <v>3.4024483330000002</v>
      </c>
      <c r="J918">
        <v>7</v>
      </c>
      <c r="L918" t="s">
        <v>136</v>
      </c>
      <c r="P918">
        <f t="shared" si="18"/>
        <v>10</v>
      </c>
      <c r="Q918">
        <f t="shared" si="19"/>
        <v>0</v>
      </c>
      <c r="R918">
        <f t="shared" si="20"/>
        <v>10</v>
      </c>
      <c r="V918" t="s">
        <v>47</v>
      </c>
      <c r="X918">
        <v>0</v>
      </c>
      <c r="AF918">
        <v>-76.677083330000002</v>
      </c>
      <c r="AG918">
        <v>3.4026299999999998</v>
      </c>
      <c r="AH918">
        <v>15</v>
      </c>
      <c r="AI918">
        <v>0</v>
      </c>
      <c r="AJ918">
        <v>8</v>
      </c>
      <c r="AK918">
        <v>-76.677778329999995</v>
      </c>
      <c r="AL918">
        <v>3.4024483330000002</v>
      </c>
      <c r="AM918">
        <v>5</v>
      </c>
      <c r="AN918">
        <v>0</v>
      </c>
      <c r="AO918">
        <v>12</v>
      </c>
      <c r="AR918" t="s">
        <v>522</v>
      </c>
    </row>
    <row r="919" spans="1:44" x14ac:dyDescent="0.2">
      <c r="A919">
        <v>2022</v>
      </c>
      <c r="B919" t="s">
        <v>15</v>
      </c>
      <c r="C919" t="s">
        <v>20</v>
      </c>
      <c r="D919" t="s">
        <v>509</v>
      </c>
      <c r="E919" t="s">
        <v>127</v>
      </c>
      <c r="F919" s="9">
        <v>44867</v>
      </c>
      <c r="G919" s="5">
        <v>0.83796296296296291</v>
      </c>
      <c r="H919">
        <v>-76.676443329999998</v>
      </c>
      <c r="I919">
        <v>3.4024749999999999</v>
      </c>
      <c r="J919">
        <v>7</v>
      </c>
      <c r="K919" t="s">
        <v>112</v>
      </c>
      <c r="L919" t="s">
        <v>136</v>
      </c>
      <c r="M919">
        <v>2978</v>
      </c>
      <c r="N919" t="b">
        <v>1</v>
      </c>
      <c r="P919">
        <f t="shared" si="18"/>
        <v>8</v>
      </c>
      <c r="Q919">
        <f t="shared" si="19"/>
        <v>0</v>
      </c>
      <c r="R919">
        <f t="shared" si="20"/>
        <v>12.5</v>
      </c>
      <c r="S919" t="s">
        <v>442</v>
      </c>
      <c r="T919" t="s">
        <v>258</v>
      </c>
      <c r="U919" t="s">
        <v>536</v>
      </c>
      <c r="V919" t="s">
        <v>38</v>
      </c>
      <c r="X919">
        <v>1</v>
      </c>
      <c r="AD919" t="s">
        <v>537</v>
      </c>
      <c r="AE919" t="s">
        <v>440</v>
      </c>
      <c r="AF919">
        <v>-76.676066669999997</v>
      </c>
      <c r="AG919">
        <v>3.4021566669999999</v>
      </c>
      <c r="AH919">
        <v>15</v>
      </c>
      <c r="AI919">
        <v>0</v>
      </c>
      <c r="AJ919">
        <v>8</v>
      </c>
      <c r="AK919">
        <v>-76.676916669999997</v>
      </c>
      <c r="AL919">
        <v>3.4027283330000002</v>
      </c>
      <c r="AM919">
        <v>10</v>
      </c>
      <c r="AN919">
        <v>0</v>
      </c>
      <c r="AO919">
        <v>8</v>
      </c>
      <c r="AP919" t="s">
        <v>441</v>
      </c>
      <c r="AQ919" t="s">
        <v>443</v>
      </c>
      <c r="AR919" t="s">
        <v>522</v>
      </c>
    </row>
    <row r="920" spans="1:44" x14ac:dyDescent="0.2">
      <c r="A920">
        <v>2022</v>
      </c>
      <c r="B920" t="s">
        <v>49</v>
      </c>
      <c r="C920" t="s">
        <v>50</v>
      </c>
      <c r="D920" t="s">
        <v>243</v>
      </c>
      <c r="E920" t="s">
        <v>135</v>
      </c>
      <c r="F920" s="9">
        <v>44908</v>
      </c>
      <c r="G920" s="5">
        <v>0.90983796296296293</v>
      </c>
      <c r="H920">
        <v>-76.880615000000006</v>
      </c>
      <c r="I920">
        <v>3.5794266669999999</v>
      </c>
      <c r="J920">
        <v>7</v>
      </c>
      <c r="K920" t="s">
        <v>112</v>
      </c>
      <c r="L920" t="s">
        <v>113</v>
      </c>
      <c r="M920">
        <v>620</v>
      </c>
      <c r="N920" t="b">
        <v>1</v>
      </c>
      <c r="P920">
        <f t="shared" si="18"/>
        <v>19</v>
      </c>
      <c r="Q920">
        <f t="shared" si="19"/>
        <v>0</v>
      </c>
      <c r="R920">
        <f t="shared" si="20"/>
        <v>20</v>
      </c>
      <c r="S920" t="s">
        <v>442</v>
      </c>
      <c r="T920" t="s">
        <v>258</v>
      </c>
      <c r="V920" t="s">
        <v>71</v>
      </c>
      <c r="X920">
        <v>1</v>
      </c>
      <c r="AF920">
        <v>-76.880468329999999</v>
      </c>
      <c r="AG920">
        <v>3.5789650000000002</v>
      </c>
      <c r="AH920">
        <v>30</v>
      </c>
      <c r="AI920">
        <v>0</v>
      </c>
      <c r="AJ920">
        <v>20</v>
      </c>
      <c r="AK920">
        <v>-76.880390000000006</v>
      </c>
      <c r="AL920">
        <v>3.57965</v>
      </c>
      <c r="AM920">
        <v>10</v>
      </c>
      <c r="AN920">
        <v>0</v>
      </c>
      <c r="AO920">
        <v>18</v>
      </c>
      <c r="AP920" t="s">
        <v>450</v>
      </c>
      <c r="AQ920" t="s">
        <v>443</v>
      </c>
      <c r="AR920" t="s">
        <v>519</v>
      </c>
    </row>
    <row r="921" spans="1:44" x14ac:dyDescent="0.2">
      <c r="A921">
        <v>2022</v>
      </c>
      <c r="B921" t="s">
        <v>49</v>
      </c>
      <c r="C921" t="s">
        <v>50</v>
      </c>
      <c r="D921" t="s">
        <v>243</v>
      </c>
      <c r="E921" t="s">
        <v>135</v>
      </c>
      <c r="F921" s="9">
        <v>44908</v>
      </c>
      <c r="G921" s="5">
        <v>0.91130787037037042</v>
      </c>
      <c r="H921">
        <v>-76.880726670000001</v>
      </c>
      <c r="I921">
        <v>3.5793849999999998</v>
      </c>
      <c r="J921">
        <v>7</v>
      </c>
      <c r="K921" t="s">
        <v>112</v>
      </c>
      <c r="L921" t="s">
        <v>517</v>
      </c>
      <c r="M921">
        <v>620</v>
      </c>
      <c r="N921" t="b">
        <v>1</v>
      </c>
      <c r="P921">
        <f t="shared" si="18"/>
        <v>19</v>
      </c>
      <c r="Q921">
        <f t="shared" si="19"/>
        <v>0</v>
      </c>
      <c r="R921">
        <f t="shared" si="20"/>
        <v>20</v>
      </c>
      <c r="S921" t="s">
        <v>518</v>
      </c>
      <c r="T921" t="s">
        <v>258</v>
      </c>
      <c r="V921" t="s">
        <v>72</v>
      </c>
      <c r="X921">
        <v>1</v>
      </c>
      <c r="AF921">
        <v>-76.880468329999999</v>
      </c>
      <c r="AG921">
        <v>3.5789650000000002</v>
      </c>
      <c r="AH921">
        <v>30</v>
      </c>
      <c r="AI921">
        <v>0</v>
      </c>
      <c r="AJ921">
        <v>20</v>
      </c>
      <c r="AK921">
        <v>-76.880390000000006</v>
      </c>
      <c r="AL921">
        <v>3.57965</v>
      </c>
      <c r="AM921">
        <v>10</v>
      </c>
      <c r="AN921">
        <v>0</v>
      </c>
      <c r="AO921">
        <v>18</v>
      </c>
      <c r="AP921" t="s">
        <v>441</v>
      </c>
      <c r="AQ921" t="s">
        <v>443</v>
      </c>
      <c r="AR921" t="s">
        <v>519</v>
      </c>
    </row>
    <row r="922" spans="1:44" x14ac:dyDescent="0.2">
      <c r="A922">
        <v>2022</v>
      </c>
      <c r="B922" t="s">
        <v>49</v>
      </c>
      <c r="C922" t="s">
        <v>50</v>
      </c>
      <c r="D922" t="s">
        <v>243</v>
      </c>
      <c r="E922" t="s">
        <v>135</v>
      </c>
      <c r="F922" s="9">
        <v>44908</v>
      </c>
      <c r="G922" s="5">
        <v>0.90456018518518522</v>
      </c>
      <c r="H922">
        <v>-76.880636670000001</v>
      </c>
      <c r="I922">
        <v>3.5791566669999999</v>
      </c>
      <c r="J922">
        <v>7</v>
      </c>
      <c r="K922" t="s">
        <v>112</v>
      </c>
      <c r="M922">
        <v>620</v>
      </c>
      <c r="N922" t="b">
        <v>1</v>
      </c>
      <c r="P922">
        <f t="shared" si="18"/>
        <v>19</v>
      </c>
      <c r="Q922">
        <f t="shared" si="19"/>
        <v>0</v>
      </c>
      <c r="R922">
        <f t="shared" si="20"/>
        <v>20</v>
      </c>
      <c r="S922" t="s">
        <v>318</v>
      </c>
      <c r="T922" t="s">
        <v>258</v>
      </c>
      <c r="V922" t="s">
        <v>74</v>
      </c>
      <c r="X922">
        <v>2</v>
      </c>
      <c r="AF922">
        <v>-76.880468329999999</v>
      </c>
      <c r="AG922">
        <v>3.5789650000000002</v>
      </c>
      <c r="AH922">
        <v>30</v>
      </c>
      <c r="AI922">
        <v>0</v>
      </c>
      <c r="AJ922">
        <v>20</v>
      </c>
      <c r="AK922">
        <v>-76.880390000000006</v>
      </c>
      <c r="AL922">
        <v>3.57965</v>
      </c>
      <c r="AM922">
        <v>10</v>
      </c>
      <c r="AN922">
        <v>0</v>
      </c>
      <c r="AO922">
        <v>18</v>
      </c>
      <c r="AP922" t="s">
        <v>450</v>
      </c>
      <c r="AQ922" t="s">
        <v>443</v>
      </c>
      <c r="AR922" t="s">
        <v>519</v>
      </c>
    </row>
    <row r="923" spans="1:44" x14ac:dyDescent="0.2">
      <c r="A923">
        <v>2022</v>
      </c>
      <c r="B923" t="s">
        <v>49</v>
      </c>
      <c r="C923" t="s">
        <v>50</v>
      </c>
      <c r="D923" t="s">
        <v>243</v>
      </c>
      <c r="E923" t="s">
        <v>135</v>
      </c>
      <c r="F923" s="9">
        <v>44908</v>
      </c>
      <c r="G923" s="5">
        <v>0.90049768518518514</v>
      </c>
      <c r="H923">
        <v>-76.880854999999997</v>
      </c>
      <c r="I923">
        <v>3.5791983329999999</v>
      </c>
      <c r="J923">
        <v>7</v>
      </c>
      <c r="K923" t="s">
        <v>119</v>
      </c>
      <c r="N923" t="b">
        <v>1</v>
      </c>
      <c r="P923">
        <f t="shared" si="18"/>
        <v>19</v>
      </c>
      <c r="Q923">
        <f t="shared" si="19"/>
        <v>0</v>
      </c>
      <c r="R923">
        <f t="shared" si="20"/>
        <v>20</v>
      </c>
      <c r="S923" t="s">
        <v>442</v>
      </c>
      <c r="T923" t="s">
        <v>258</v>
      </c>
      <c r="V923" t="s">
        <v>72</v>
      </c>
      <c r="X923">
        <v>1</v>
      </c>
      <c r="AF923">
        <v>-76.880468329999999</v>
      </c>
      <c r="AG923">
        <v>3.5789650000000002</v>
      </c>
      <c r="AH923">
        <v>30</v>
      </c>
      <c r="AI923">
        <v>0</v>
      </c>
      <c r="AJ923">
        <v>20</v>
      </c>
      <c r="AK923">
        <v>-76.880390000000006</v>
      </c>
      <c r="AL923">
        <v>3.57965</v>
      </c>
      <c r="AM923">
        <v>10</v>
      </c>
      <c r="AN923">
        <v>0</v>
      </c>
      <c r="AO923">
        <v>18</v>
      </c>
      <c r="AP923" t="s">
        <v>441</v>
      </c>
      <c r="AQ923" t="s">
        <v>443</v>
      </c>
      <c r="AR923" t="s">
        <v>519</v>
      </c>
    </row>
    <row r="924" spans="1:44" x14ac:dyDescent="0.2">
      <c r="A924">
        <v>2022</v>
      </c>
      <c r="B924" t="s">
        <v>49</v>
      </c>
      <c r="C924" t="s">
        <v>50</v>
      </c>
      <c r="D924" t="s">
        <v>243</v>
      </c>
      <c r="E924" t="s">
        <v>135</v>
      </c>
      <c r="F924" s="9">
        <v>44908</v>
      </c>
      <c r="G924" s="5">
        <v>0.90049768518518514</v>
      </c>
      <c r="H924">
        <v>-76.880854999999997</v>
      </c>
      <c r="I924">
        <v>3.5791983329999999</v>
      </c>
      <c r="J924">
        <v>7</v>
      </c>
      <c r="K924" t="s">
        <v>112</v>
      </c>
      <c r="N924" t="b">
        <v>1</v>
      </c>
      <c r="P924">
        <f t="shared" si="18"/>
        <v>19</v>
      </c>
      <c r="Q924">
        <f t="shared" si="19"/>
        <v>0</v>
      </c>
      <c r="R924">
        <f t="shared" si="20"/>
        <v>20</v>
      </c>
      <c r="S924" t="s">
        <v>518</v>
      </c>
      <c r="T924" t="s">
        <v>258</v>
      </c>
      <c r="V924" t="s">
        <v>71</v>
      </c>
      <c r="X924">
        <v>1</v>
      </c>
      <c r="AF924">
        <v>-76.880468329999999</v>
      </c>
      <c r="AG924">
        <v>3.5789650000000002</v>
      </c>
      <c r="AH924">
        <v>30</v>
      </c>
      <c r="AI924">
        <v>0</v>
      </c>
      <c r="AJ924">
        <v>20</v>
      </c>
      <c r="AK924">
        <v>-76.880390000000006</v>
      </c>
      <c r="AL924">
        <v>3.57965</v>
      </c>
      <c r="AM924">
        <v>10</v>
      </c>
      <c r="AN924">
        <v>0</v>
      </c>
      <c r="AO924">
        <v>18</v>
      </c>
      <c r="AP924" t="s">
        <v>441</v>
      </c>
      <c r="AQ924" t="s">
        <v>443</v>
      </c>
      <c r="AR924" t="s">
        <v>519</v>
      </c>
    </row>
    <row r="925" spans="1:44" x14ac:dyDescent="0.2">
      <c r="A925">
        <v>2022</v>
      </c>
      <c r="B925" t="s">
        <v>49</v>
      </c>
      <c r="C925" t="s">
        <v>50</v>
      </c>
      <c r="D925" t="s">
        <v>245</v>
      </c>
      <c r="E925" t="s">
        <v>127</v>
      </c>
      <c r="F925" s="9">
        <v>44908</v>
      </c>
      <c r="G925" s="5">
        <v>0.88590277777777782</v>
      </c>
      <c r="H925">
        <v>-76.880555000000001</v>
      </c>
      <c r="I925">
        <v>3.578601667</v>
      </c>
      <c r="J925">
        <v>7</v>
      </c>
      <c r="K925" t="s">
        <v>112</v>
      </c>
      <c r="L925" t="s">
        <v>113</v>
      </c>
      <c r="M925">
        <v>620</v>
      </c>
      <c r="N925" t="b">
        <v>1</v>
      </c>
      <c r="P925">
        <f t="shared" si="18"/>
        <v>16</v>
      </c>
      <c r="Q925">
        <f t="shared" si="19"/>
        <v>3</v>
      </c>
      <c r="R925">
        <f t="shared" si="20"/>
        <v>15</v>
      </c>
      <c r="S925" t="s">
        <v>518</v>
      </c>
      <c r="T925" t="s">
        <v>258</v>
      </c>
      <c r="V925" t="s">
        <v>71</v>
      </c>
      <c r="X925">
        <v>1</v>
      </c>
      <c r="AF925">
        <v>-76.880870000000002</v>
      </c>
      <c r="AG925">
        <v>3.5783133330000001</v>
      </c>
      <c r="AH925">
        <v>5</v>
      </c>
      <c r="AI925">
        <v>6</v>
      </c>
      <c r="AJ925">
        <v>12</v>
      </c>
      <c r="AK925">
        <v>-76.880573330000004</v>
      </c>
      <c r="AL925">
        <v>3.5788383330000002</v>
      </c>
      <c r="AM925">
        <v>25</v>
      </c>
      <c r="AN925">
        <v>0</v>
      </c>
      <c r="AO925">
        <v>20</v>
      </c>
      <c r="AP925" t="s">
        <v>441</v>
      </c>
      <c r="AQ925" t="s">
        <v>443</v>
      </c>
      <c r="AR925" t="s">
        <v>519</v>
      </c>
    </row>
    <row r="926" spans="1:44" x14ac:dyDescent="0.2">
      <c r="A926">
        <v>2022</v>
      </c>
      <c r="B926" t="s">
        <v>49</v>
      </c>
      <c r="C926" t="s">
        <v>50</v>
      </c>
      <c r="D926" t="s">
        <v>245</v>
      </c>
      <c r="E926" t="s">
        <v>127</v>
      </c>
      <c r="F926" s="9">
        <v>44908</v>
      </c>
      <c r="G926" s="5">
        <v>0.89402777777777775</v>
      </c>
      <c r="H926">
        <v>-76.880573330000004</v>
      </c>
      <c r="I926">
        <v>3.5788383330000002</v>
      </c>
      <c r="J926">
        <v>7</v>
      </c>
      <c r="K926" t="s">
        <v>119</v>
      </c>
      <c r="L926" t="s">
        <v>520</v>
      </c>
      <c r="M926">
        <v>620</v>
      </c>
      <c r="N926" t="b">
        <v>1</v>
      </c>
      <c r="P926">
        <f t="shared" si="18"/>
        <v>16</v>
      </c>
      <c r="Q926">
        <f t="shared" si="19"/>
        <v>3</v>
      </c>
      <c r="R926">
        <f t="shared" si="20"/>
        <v>15</v>
      </c>
      <c r="S926" t="s">
        <v>518</v>
      </c>
      <c r="T926" t="s">
        <v>258</v>
      </c>
      <c r="V926" t="s">
        <v>71</v>
      </c>
      <c r="X926">
        <v>1</v>
      </c>
      <c r="AF926">
        <v>-76.880870000000002</v>
      </c>
      <c r="AG926">
        <v>3.5783133330000001</v>
      </c>
      <c r="AH926">
        <v>5</v>
      </c>
      <c r="AI926">
        <v>6</v>
      </c>
      <c r="AJ926">
        <v>12</v>
      </c>
      <c r="AK926">
        <v>-76.880573330000004</v>
      </c>
      <c r="AL926">
        <v>3.5788383330000002</v>
      </c>
      <c r="AM926">
        <v>25</v>
      </c>
      <c r="AN926">
        <v>0</v>
      </c>
      <c r="AO926">
        <v>20</v>
      </c>
      <c r="AP926" t="s">
        <v>450</v>
      </c>
      <c r="AQ926" t="s">
        <v>443</v>
      </c>
      <c r="AR926" t="s">
        <v>519</v>
      </c>
    </row>
    <row r="927" spans="1:44" x14ac:dyDescent="0.2">
      <c r="A927">
        <v>2022</v>
      </c>
      <c r="B927" t="s">
        <v>49</v>
      </c>
      <c r="C927" t="s">
        <v>50</v>
      </c>
      <c r="D927" t="s">
        <v>245</v>
      </c>
      <c r="E927" t="s">
        <v>127</v>
      </c>
      <c r="F927" s="9">
        <v>44908</v>
      </c>
      <c r="G927" s="5">
        <v>0.87547453703703704</v>
      </c>
      <c r="H927">
        <v>-76.880870000000002</v>
      </c>
      <c r="I927">
        <v>3.5783133330000001</v>
      </c>
      <c r="J927">
        <v>7</v>
      </c>
      <c r="K927" t="s">
        <v>119</v>
      </c>
      <c r="M927">
        <v>620</v>
      </c>
      <c r="O927" t="b">
        <v>1</v>
      </c>
      <c r="P927">
        <f t="shared" si="18"/>
        <v>16</v>
      </c>
      <c r="Q927">
        <f t="shared" si="19"/>
        <v>3</v>
      </c>
      <c r="R927">
        <f t="shared" si="20"/>
        <v>15</v>
      </c>
      <c r="S927" t="s">
        <v>489</v>
      </c>
      <c r="T927" t="s">
        <v>447</v>
      </c>
      <c r="U927" t="s">
        <v>533</v>
      </c>
      <c r="V927" t="s">
        <v>45</v>
      </c>
      <c r="X927">
        <v>1</v>
      </c>
      <c r="AF927">
        <v>-76.880870000000002</v>
      </c>
      <c r="AG927">
        <v>3.5783133330000001</v>
      </c>
      <c r="AH927">
        <v>5</v>
      </c>
      <c r="AI927">
        <v>6</v>
      </c>
      <c r="AJ927">
        <v>12</v>
      </c>
      <c r="AK927">
        <v>-76.880573330000004</v>
      </c>
      <c r="AL927">
        <v>3.5788383330000002</v>
      </c>
      <c r="AM927">
        <v>25</v>
      </c>
      <c r="AN927">
        <v>0</v>
      </c>
      <c r="AO927">
        <v>20</v>
      </c>
      <c r="AP927" t="s">
        <v>450</v>
      </c>
      <c r="AQ927" t="s">
        <v>443</v>
      </c>
      <c r="AR927" t="s">
        <v>519</v>
      </c>
    </row>
    <row r="928" spans="1:44" x14ac:dyDescent="0.2">
      <c r="A928">
        <v>2022</v>
      </c>
      <c r="B928" t="s">
        <v>49</v>
      </c>
      <c r="C928" t="s">
        <v>50</v>
      </c>
      <c r="D928" t="s">
        <v>242</v>
      </c>
      <c r="E928" t="s">
        <v>111</v>
      </c>
      <c r="F928" s="9">
        <v>44908</v>
      </c>
      <c r="G928" s="5">
        <v>0.85660879629629627</v>
      </c>
      <c r="H928">
        <v>-76.880705000000006</v>
      </c>
      <c r="I928">
        <v>3.5771283330000001</v>
      </c>
      <c r="J928">
        <v>7</v>
      </c>
      <c r="K928" t="s">
        <v>112</v>
      </c>
      <c r="L928" t="s">
        <v>520</v>
      </c>
      <c r="M928">
        <v>620</v>
      </c>
      <c r="N928" t="b">
        <v>1</v>
      </c>
      <c r="P928">
        <f t="shared" si="18"/>
        <v>14</v>
      </c>
      <c r="Q928">
        <f t="shared" si="19"/>
        <v>0</v>
      </c>
      <c r="R928">
        <f t="shared" si="20"/>
        <v>5</v>
      </c>
      <c r="S928" t="s">
        <v>518</v>
      </c>
      <c r="T928" t="s">
        <v>258</v>
      </c>
      <c r="V928" t="s">
        <v>32</v>
      </c>
      <c r="X928">
        <v>1</v>
      </c>
      <c r="AF928">
        <v>-76.880228329999994</v>
      </c>
      <c r="AG928">
        <v>3.5765666669999998</v>
      </c>
      <c r="AH928">
        <v>5</v>
      </c>
      <c r="AI928">
        <v>0</v>
      </c>
      <c r="AJ928">
        <v>16</v>
      </c>
      <c r="AK928">
        <v>-76.880331670000004</v>
      </c>
      <c r="AL928">
        <v>3.5774249999999999</v>
      </c>
      <c r="AM928">
        <v>5</v>
      </c>
      <c r="AN928">
        <v>0</v>
      </c>
      <c r="AO928">
        <v>12</v>
      </c>
      <c r="AP928" t="s">
        <v>441</v>
      </c>
      <c r="AQ928" t="s">
        <v>244</v>
      </c>
      <c r="AR928" t="s">
        <v>519</v>
      </c>
    </row>
    <row r="929" spans="1:44" x14ac:dyDescent="0.2">
      <c r="A929">
        <v>2022</v>
      </c>
      <c r="B929" t="s">
        <v>49</v>
      </c>
      <c r="C929" t="s">
        <v>50</v>
      </c>
      <c r="D929" t="s">
        <v>242</v>
      </c>
      <c r="E929" t="s">
        <v>111</v>
      </c>
      <c r="F929" s="9">
        <v>44908</v>
      </c>
      <c r="G929" s="5">
        <v>0.85660879629629627</v>
      </c>
      <c r="H929">
        <v>-76.880705000000006</v>
      </c>
      <c r="I929">
        <v>3.5771283330000001</v>
      </c>
      <c r="J929">
        <v>7</v>
      </c>
      <c r="K929" t="s">
        <v>112</v>
      </c>
      <c r="L929" t="s">
        <v>520</v>
      </c>
      <c r="M929">
        <v>620</v>
      </c>
      <c r="N929" t="b">
        <v>1</v>
      </c>
      <c r="P929">
        <f t="shared" si="18"/>
        <v>14</v>
      </c>
      <c r="Q929">
        <f t="shared" si="19"/>
        <v>0</v>
      </c>
      <c r="R929">
        <f t="shared" si="20"/>
        <v>5</v>
      </c>
      <c r="S929" t="s">
        <v>442</v>
      </c>
      <c r="T929" t="s">
        <v>258</v>
      </c>
      <c r="V929" t="s">
        <v>31</v>
      </c>
      <c r="X929">
        <v>1</v>
      </c>
      <c r="AF929">
        <v>-76.880228329999994</v>
      </c>
      <c r="AG929">
        <v>3.5765666669999998</v>
      </c>
      <c r="AH929">
        <v>5</v>
      </c>
      <c r="AI929">
        <v>0</v>
      </c>
      <c r="AJ929">
        <v>16</v>
      </c>
      <c r="AK929">
        <v>-76.880331670000004</v>
      </c>
      <c r="AL929">
        <v>3.5774249999999999</v>
      </c>
      <c r="AM929">
        <v>5</v>
      </c>
      <c r="AN929">
        <v>0</v>
      </c>
      <c r="AO929">
        <v>12</v>
      </c>
      <c r="AP929" t="s">
        <v>441</v>
      </c>
      <c r="AQ929" t="s">
        <v>244</v>
      </c>
      <c r="AR929" t="s">
        <v>519</v>
      </c>
    </row>
    <row r="930" spans="1:44" x14ac:dyDescent="0.2">
      <c r="A930">
        <v>2022</v>
      </c>
      <c r="B930" t="s">
        <v>49</v>
      </c>
      <c r="C930" t="s">
        <v>50</v>
      </c>
      <c r="D930" t="s">
        <v>245</v>
      </c>
      <c r="E930" t="s">
        <v>127</v>
      </c>
      <c r="F930" s="9">
        <v>44908</v>
      </c>
      <c r="G930" s="5">
        <v>0.6777199074074074</v>
      </c>
      <c r="H930">
        <v>-76.881349999999998</v>
      </c>
      <c r="I930">
        <v>3.5789149999999998</v>
      </c>
      <c r="J930">
        <v>7</v>
      </c>
      <c r="K930" t="s">
        <v>119</v>
      </c>
      <c r="L930" t="s">
        <v>113</v>
      </c>
      <c r="M930">
        <v>620</v>
      </c>
      <c r="N930" t="b">
        <v>1</v>
      </c>
      <c r="P930">
        <f t="shared" si="18"/>
        <v>16</v>
      </c>
      <c r="Q930">
        <f t="shared" si="19"/>
        <v>3</v>
      </c>
      <c r="R930">
        <f t="shared" si="20"/>
        <v>15</v>
      </c>
      <c r="S930" t="s">
        <v>442</v>
      </c>
      <c r="T930" t="s">
        <v>258</v>
      </c>
      <c r="V930" t="s">
        <v>71</v>
      </c>
      <c r="X930">
        <v>1</v>
      </c>
      <c r="AF930">
        <v>-76.880870000000002</v>
      </c>
      <c r="AG930">
        <v>3.5783133330000001</v>
      </c>
      <c r="AH930">
        <v>5</v>
      </c>
      <c r="AI930">
        <v>6</v>
      </c>
      <c r="AJ930">
        <v>12</v>
      </c>
      <c r="AK930">
        <v>-76.880573330000004</v>
      </c>
      <c r="AL930">
        <v>3.5788383330000002</v>
      </c>
      <c r="AM930">
        <v>25</v>
      </c>
      <c r="AN930">
        <v>0</v>
      </c>
      <c r="AO930">
        <v>20</v>
      </c>
      <c r="AP930" t="s">
        <v>450</v>
      </c>
      <c r="AQ930" t="s">
        <v>443</v>
      </c>
      <c r="AR930" t="s">
        <v>519</v>
      </c>
    </row>
    <row r="931" spans="1:44" x14ac:dyDescent="0.2">
      <c r="A931">
        <v>2022</v>
      </c>
      <c r="B931" t="s">
        <v>49</v>
      </c>
      <c r="C931" t="s">
        <v>50</v>
      </c>
      <c r="D931" t="s">
        <v>245</v>
      </c>
      <c r="E931" t="s">
        <v>127</v>
      </c>
      <c r="F931" s="9">
        <v>44908</v>
      </c>
      <c r="G931" s="5">
        <v>0.67024305555555552</v>
      </c>
      <c r="H931">
        <v>-76.880971669999994</v>
      </c>
      <c r="I931">
        <v>3.5786983330000002</v>
      </c>
      <c r="J931">
        <v>7</v>
      </c>
      <c r="K931" t="s">
        <v>119</v>
      </c>
      <c r="L931" t="s">
        <v>520</v>
      </c>
      <c r="M931">
        <v>619</v>
      </c>
      <c r="N931" t="b">
        <v>1</v>
      </c>
      <c r="P931">
        <f t="shared" si="18"/>
        <v>16</v>
      </c>
      <c r="Q931">
        <f t="shared" si="19"/>
        <v>3</v>
      </c>
      <c r="R931">
        <f t="shared" si="20"/>
        <v>15</v>
      </c>
      <c r="S931" t="s">
        <v>318</v>
      </c>
      <c r="T931" t="s">
        <v>258</v>
      </c>
      <c r="V931" t="s">
        <v>71</v>
      </c>
      <c r="X931">
        <v>1</v>
      </c>
      <c r="AF931">
        <v>-76.880870000000002</v>
      </c>
      <c r="AG931">
        <v>3.5783133330000001</v>
      </c>
      <c r="AH931">
        <v>5</v>
      </c>
      <c r="AI931">
        <v>6</v>
      </c>
      <c r="AJ931">
        <v>12</v>
      </c>
      <c r="AK931">
        <v>-76.880573330000004</v>
      </c>
      <c r="AL931">
        <v>3.5788383330000002</v>
      </c>
      <c r="AM931">
        <v>25</v>
      </c>
      <c r="AN931">
        <v>0</v>
      </c>
      <c r="AO931">
        <v>20</v>
      </c>
      <c r="AP931" t="s">
        <v>450</v>
      </c>
      <c r="AQ931" t="s">
        <v>244</v>
      </c>
      <c r="AR931" t="s">
        <v>519</v>
      </c>
    </row>
    <row r="932" spans="1:44" x14ac:dyDescent="0.2">
      <c r="A932">
        <v>2022</v>
      </c>
      <c r="B932" t="s">
        <v>49</v>
      </c>
      <c r="C932" t="s">
        <v>50</v>
      </c>
      <c r="D932" t="s">
        <v>245</v>
      </c>
      <c r="E932" t="s">
        <v>127</v>
      </c>
      <c r="F932" s="9">
        <v>44908</v>
      </c>
      <c r="G932" s="5">
        <v>0.66487268518518516</v>
      </c>
      <c r="H932">
        <v>-76.880786670000006</v>
      </c>
      <c r="I932">
        <v>3.5787300000000002</v>
      </c>
      <c r="J932">
        <v>7</v>
      </c>
      <c r="K932" t="s">
        <v>119</v>
      </c>
      <c r="L932" t="s">
        <v>538</v>
      </c>
      <c r="M932">
        <v>619</v>
      </c>
      <c r="N932" t="b">
        <v>1</v>
      </c>
      <c r="P932">
        <f t="shared" si="18"/>
        <v>16</v>
      </c>
      <c r="Q932">
        <f t="shared" si="19"/>
        <v>3</v>
      </c>
      <c r="R932">
        <f t="shared" si="20"/>
        <v>15</v>
      </c>
      <c r="S932" t="s">
        <v>269</v>
      </c>
      <c r="T932" t="s">
        <v>258</v>
      </c>
      <c r="V932" t="s">
        <v>71</v>
      </c>
      <c r="X932">
        <v>1</v>
      </c>
      <c r="AF932">
        <v>-76.880870000000002</v>
      </c>
      <c r="AG932">
        <v>3.5783133330000001</v>
      </c>
      <c r="AH932">
        <v>5</v>
      </c>
      <c r="AI932">
        <v>6</v>
      </c>
      <c r="AJ932">
        <v>12</v>
      </c>
      <c r="AK932">
        <v>-76.880573330000004</v>
      </c>
      <c r="AL932">
        <v>3.5788383330000002</v>
      </c>
      <c r="AM932">
        <v>25</v>
      </c>
      <c r="AN932">
        <v>0</v>
      </c>
      <c r="AO932">
        <v>20</v>
      </c>
      <c r="AP932" t="s">
        <v>467</v>
      </c>
      <c r="AQ932" t="s">
        <v>443</v>
      </c>
      <c r="AR932" t="s">
        <v>519</v>
      </c>
    </row>
    <row r="933" spans="1:44" x14ac:dyDescent="0.2">
      <c r="A933">
        <v>2022</v>
      </c>
      <c r="B933" t="s">
        <v>49</v>
      </c>
      <c r="C933" t="s">
        <v>50</v>
      </c>
      <c r="D933" t="s">
        <v>246</v>
      </c>
      <c r="E933" t="s">
        <v>122</v>
      </c>
      <c r="F933" s="9">
        <v>44908</v>
      </c>
      <c r="G933" s="5">
        <v>0.64994212962962961</v>
      </c>
      <c r="H933">
        <v>-76.881076669999999</v>
      </c>
      <c r="I933">
        <v>3.5782366670000001</v>
      </c>
      <c r="J933">
        <v>7</v>
      </c>
      <c r="P933">
        <f t="shared" si="18"/>
        <v>11</v>
      </c>
      <c r="Q933">
        <f t="shared" si="19"/>
        <v>0</v>
      </c>
      <c r="R933">
        <f t="shared" si="20"/>
        <v>5</v>
      </c>
      <c r="V933" t="s">
        <v>47</v>
      </c>
      <c r="X933">
        <v>0</v>
      </c>
      <c r="AF933">
        <v>-76.880240000000001</v>
      </c>
      <c r="AG933">
        <v>3.57761</v>
      </c>
      <c r="AH933">
        <v>5</v>
      </c>
      <c r="AI933">
        <v>0</v>
      </c>
      <c r="AJ933">
        <v>12</v>
      </c>
      <c r="AK933">
        <v>-76.880803330000006</v>
      </c>
      <c r="AL933">
        <v>3.5782500000000002</v>
      </c>
      <c r="AM933">
        <v>5</v>
      </c>
      <c r="AN933">
        <v>0</v>
      </c>
      <c r="AO933">
        <v>10</v>
      </c>
      <c r="AR933" t="s">
        <v>519</v>
      </c>
    </row>
    <row r="934" spans="1:44" x14ac:dyDescent="0.2">
      <c r="A934">
        <v>2022</v>
      </c>
      <c r="B934" t="s">
        <v>49</v>
      </c>
      <c r="C934" t="s">
        <v>50</v>
      </c>
      <c r="D934" t="s">
        <v>242</v>
      </c>
      <c r="E934" t="s">
        <v>111</v>
      </c>
      <c r="F934" s="9">
        <v>44908</v>
      </c>
      <c r="G934" s="5">
        <v>0.64085648148148144</v>
      </c>
      <c r="H934">
        <v>-76.880523330000003</v>
      </c>
      <c r="I934">
        <v>3.5773216670000001</v>
      </c>
      <c r="J934">
        <v>7</v>
      </c>
      <c r="K934" t="s">
        <v>119</v>
      </c>
      <c r="L934" t="s">
        <v>113</v>
      </c>
      <c r="M934">
        <v>619</v>
      </c>
      <c r="N934" t="b">
        <v>1</v>
      </c>
      <c r="P934">
        <f t="shared" si="18"/>
        <v>14</v>
      </c>
      <c r="Q934">
        <f t="shared" si="19"/>
        <v>0</v>
      </c>
      <c r="R934">
        <f t="shared" si="20"/>
        <v>5</v>
      </c>
      <c r="S934" t="s">
        <v>318</v>
      </c>
      <c r="T934" t="s">
        <v>258</v>
      </c>
      <c r="V934" t="s">
        <v>30</v>
      </c>
      <c r="X934">
        <v>1</v>
      </c>
      <c r="AF934">
        <v>-76.880228329999994</v>
      </c>
      <c r="AG934">
        <v>3.5765666669999998</v>
      </c>
      <c r="AH934">
        <v>5</v>
      </c>
      <c r="AI934">
        <v>0</v>
      </c>
      <c r="AJ934">
        <v>16</v>
      </c>
      <c r="AK934">
        <v>-76.880331670000004</v>
      </c>
      <c r="AL934">
        <v>3.5774249999999999</v>
      </c>
      <c r="AM934">
        <v>5</v>
      </c>
      <c r="AN934">
        <v>0</v>
      </c>
      <c r="AO934">
        <v>12</v>
      </c>
      <c r="AP934" t="s">
        <v>450</v>
      </c>
      <c r="AQ934" t="s">
        <v>443</v>
      </c>
      <c r="AR934" t="s">
        <v>519</v>
      </c>
    </row>
    <row r="935" spans="1:44" x14ac:dyDescent="0.2">
      <c r="A935">
        <v>2022</v>
      </c>
      <c r="B935" t="s">
        <v>49</v>
      </c>
      <c r="C935" t="s">
        <v>75</v>
      </c>
      <c r="D935" t="s">
        <v>539</v>
      </c>
      <c r="E935" t="s">
        <v>111</v>
      </c>
      <c r="F935" s="9">
        <v>44909</v>
      </c>
      <c r="G935" s="5">
        <v>0.87797453703703698</v>
      </c>
      <c r="H935">
        <v>-76.877613330000003</v>
      </c>
      <c r="I935">
        <v>3.5809483329999998</v>
      </c>
      <c r="J935">
        <v>7</v>
      </c>
      <c r="K935" t="s">
        <v>112</v>
      </c>
      <c r="L935" t="s">
        <v>517</v>
      </c>
      <c r="M935">
        <v>600</v>
      </c>
      <c r="N935" t="b">
        <v>1</v>
      </c>
      <c r="P935">
        <f t="shared" si="18"/>
        <v>16</v>
      </c>
      <c r="Q935">
        <f t="shared" si="19"/>
        <v>0</v>
      </c>
      <c r="R935">
        <f t="shared" si="20"/>
        <v>5</v>
      </c>
      <c r="S935" t="s">
        <v>518</v>
      </c>
      <c r="T935" t="s">
        <v>145</v>
      </c>
      <c r="V935" t="s">
        <v>27</v>
      </c>
      <c r="X935">
        <v>1</v>
      </c>
      <c r="AF935">
        <v>-76.877568330000003</v>
      </c>
      <c r="AG935">
        <v>3.5815766670000002</v>
      </c>
      <c r="AH935">
        <v>5</v>
      </c>
      <c r="AI935">
        <v>0</v>
      </c>
      <c r="AJ935">
        <v>20</v>
      </c>
      <c r="AK935">
        <v>-76.876528329999999</v>
      </c>
      <c r="AL935">
        <v>3.579555</v>
      </c>
      <c r="AM935">
        <v>5</v>
      </c>
      <c r="AN935">
        <v>0</v>
      </c>
      <c r="AO935">
        <v>12</v>
      </c>
      <c r="AP935" t="s">
        <v>441</v>
      </c>
      <c r="AQ935" t="s">
        <v>443</v>
      </c>
      <c r="AR935" t="s">
        <v>519</v>
      </c>
    </row>
    <row r="936" spans="1:44" x14ac:dyDescent="0.2">
      <c r="A936">
        <v>2022</v>
      </c>
      <c r="B936" t="s">
        <v>49</v>
      </c>
      <c r="C936" t="s">
        <v>75</v>
      </c>
      <c r="D936" t="s">
        <v>539</v>
      </c>
      <c r="E936" t="s">
        <v>111</v>
      </c>
      <c r="F936" s="9">
        <v>44909</v>
      </c>
      <c r="G936" s="5">
        <v>0.86781249999999999</v>
      </c>
      <c r="H936">
        <v>-76.877570000000006</v>
      </c>
      <c r="I936">
        <v>3.5815199999999998</v>
      </c>
      <c r="J936">
        <v>7</v>
      </c>
      <c r="K936" t="s">
        <v>119</v>
      </c>
      <c r="L936" t="s">
        <v>538</v>
      </c>
      <c r="M936">
        <v>600</v>
      </c>
      <c r="N936" t="b">
        <v>1</v>
      </c>
      <c r="P936">
        <f t="shared" ref="P936:P937" si="21">AVERAGE(AJ936,AO936)</f>
        <v>16</v>
      </c>
      <c r="Q936">
        <f t="shared" ref="Q936:Q937" si="22">AVERAGE(AI936,AN936)</f>
        <v>0</v>
      </c>
      <c r="R936">
        <f t="shared" ref="R936:R937" si="23">AVERAGE(AH936,AM936)</f>
        <v>5</v>
      </c>
      <c r="S936" t="s">
        <v>442</v>
      </c>
      <c r="T936" t="s">
        <v>145</v>
      </c>
      <c r="V936" t="s">
        <v>48</v>
      </c>
      <c r="X936">
        <v>1</v>
      </c>
      <c r="AA936" t="s">
        <v>436</v>
      </c>
      <c r="AE936" t="s">
        <v>440</v>
      </c>
      <c r="AF936">
        <v>-76.877568330000003</v>
      </c>
      <c r="AG936">
        <v>3.5815766670000002</v>
      </c>
      <c r="AH936">
        <v>5</v>
      </c>
      <c r="AI936">
        <v>0</v>
      </c>
      <c r="AJ936">
        <v>20</v>
      </c>
      <c r="AK936">
        <v>-76.876528329999999</v>
      </c>
      <c r="AL936">
        <v>3.579555</v>
      </c>
      <c r="AM936">
        <v>5</v>
      </c>
      <c r="AN936">
        <v>0</v>
      </c>
      <c r="AO936">
        <v>12</v>
      </c>
      <c r="AP936" t="s">
        <v>441</v>
      </c>
      <c r="AQ936" t="s">
        <v>443</v>
      </c>
      <c r="AR936" t="s">
        <v>519</v>
      </c>
    </row>
    <row r="937" spans="1:44" x14ac:dyDescent="0.2">
      <c r="A937">
        <v>2022</v>
      </c>
      <c r="B937" t="s">
        <v>49</v>
      </c>
      <c r="C937" t="s">
        <v>75</v>
      </c>
      <c r="D937" t="s">
        <v>539</v>
      </c>
      <c r="E937" t="s">
        <v>111</v>
      </c>
      <c r="F937" s="9">
        <v>44909</v>
      </c>
      <c r="G937" s="5">
        <v>0.89118055555555553</v>
      </c>
      <c r="H937">
        <v>-76.876528329999999</v>
      </c>
      <c r="I937">
        <v>3.579555</v>
      </c>
      <c r="J937">
        <v>7</v>
      </c>
      <c r="K937" t="s">
        <v>119</v>
      </c>
      <c r="L937" t="s">
        <v>540</v>
      </c>
      <c r="M937">
        <v>600</v>
      </c>
      <c r="N937" t="b">
        <v>1</v>
      </c>
      <c r="P937">
        <f t="shared" si="21"/>
        <v>16</v>
      </c>
      <c r="Q937">
        <f t="shared" si="22"/>
        <v>0</v>
      </c>
      <c r="R937">
        <f t="shared" si="23"/>
        <v>5</v>
      </c>
      <c r="S937" t="s">
        <v>518</v>
      </c>
      <c r="T937" t="s">
        <v>145</v>
      </c>
      <c r="V937" t="s">
        <v>60</v>
      </c>
      <c r="X937">
        <v>1</v>
      </c>
      <c r="AD937" t="s">
        <v>541</v>
      </c>
      <c r="AF937">
        <v>-76.877568330000003</v>
      </c>
      <c r="AG937">
        <v>3.5815766670000002</v>
      </c>
      <c r="AH937">
        <v>5</v>
      </c>
      <c r="AI937">
        <v>0</v>
      </c>
      <c r="AJ937">
        <v>20</v>
      </c>
      <c r="AK937">
        <v>-76.876528329999999</v>
      </c>
      <c r="AL937">
        <v>3.579555</v>
      </c>
      <c r="AM937">
        <v>5</v>
      </c>
      <c r="AN937">
        <v>0</v>
      </c>
      <c r="AO937">
        <v>12</v>
      </c>
      <c r="AP937" t="s">
        <v>441</v>
      </c>
      <c r="AQ937" t="s">
        <v>443</v>
      </c>
      <c r="AR937" t="s">
        <v>519</v>
      </c>
    </row>
    <row r="938" spans="1:44" x14ac:dyDescent="0.2">
      <c r="A938">
        <v>2023</v>
      </c>
      <c r="B938" t="s">
        <v>10</v>
      </c>
      <c r="C938" t="s">
        <v>14</v>
      </c>
      <c r="D938" t="s">
        <v>324</v>
      </c>
      <c r="E938" t="s">
        <v>127</v>
      </c>
      <c r="F938" s="4">
        <v>45245</v>
      </c>
      <c r="G938" s="5">
        <v>0</v>
      </c>
      <c r="H938">
        <v>-76.646100000000004</v>
      </c>
      <c r="I938">
        <v>3.3496999999999999</v>
      </c>
      <c r="J938">
        <v>8</v>
      </c>
      <c r="K938" t="s">
        <v>119</v>
      </c>
      <c r="L938" t="s">
        <v>524</v>
      </c>
      <c r="M938">
        <v>2300</v>
      </c>
      <c r="N938">
        <v>1</v>
      </c>
      <c r="O938">
        <v>0</v>
      </c>
      <c r="P938">
        <v>8</v>
      </c>
      <c r="Q938" s="10" t="s">
        <v>543</v>
      </c>
      <c r="R938" s="10">
        <v>27.5</v>
      </c>
      <c r="S938" t="s">
        <v>518</v>
      </c>
      <c r="T938" t="s">
        <v>145</v>
      </c>
      <c r="V938" t="s">
        <v>9</v>
      </c>
      <c r="X938">
        <v>1</v>
      </c>
      <c r="AA938" t="s">
        <v>505</v>
      </c>
      <c r="AF938">
        <v>-76.645799999999994</v>
      </c>
      <c r="AG938">
        <v>3.3496999999999999</v>
      </c>
      <c r="AP938" t="s">
        <v>441</v>
      </c>
      <c r="AQ938" t="s">
        <v>443</v>
      </c>
    </row>
    <row r="939" spans="1:44" x14ac:dyDescent="0.2">
      <c r="A939">
        <v>2023</v>
      </c>
      <c r="B939" t="s">
        <v>10</v>
      </c>
      <c r="C939" t="s">
        <v>14</v>
      </c>
      <c r="D939" t="s">
        <v>324</v>
      </c>
      <c r="E939" t="s">
        <v>127</v>
      </c>
      <c r="F939" s="4">
        <v>45245</v>
      </c>
      <c r="G939" s="5">
        <v>0</v>
      </c>
      <c r="H939">
        <v>-76.646500000000003</v>
      </c>
      <c r="I939">
        <v>3.3498999999999999</v>
      </c>
      <c r="J939">
        <v>8</v>
      </c>
      <c r="K939" t="s">
        <v>119</v>
      </c>
      <c r="L939" t="s">
        <v>120</v>
      </c>
      <c r="M939">
        <v>2300</v>
      </c>
      <c r="N939">
        <v>1</v>
      </c>
      <c r="O939">
        <v>0</v>
      </c>
      <c r="P939">
        <v>8</v>
      </c>
      <c r="Q939" s="10" t="s">
        <v>543</v>
      </c>
      <c r="R939" s="10">
        <v>27.5</v>
      </c>
      <c r="S939" t="s">
        <v>518</v>
      </c>
      <c r="T939" t="s">
        <v>145</v>
      </c>
      <c r="V939" t="s">
        <v>40</v>
      </c>
      <c r="X939">
        <v>1</v>
      </c>
      <c r="AF939">
        <v>-76.645799999999994</v>
      </c>
      <c r="AG939">
        <v>3.3496999999999999</v>
      </c>
      <c r="AP939" t="s">
        <v>441</v>
      </c>
      <c r="AQ939" t="s">
        <v>443</v>
      </c>
    </row>
    <row r="940" spans="1:44" x14ac:dyDescent="0.2">
      <c r="A940">
        <v>2023</v>
      </c>
      <c r="B940" t="s">
        <v>21</v>
      </c>
      <c r="C940" t="s">
        <v>22</v>
      </c>
      <c r="D940" t="s">
        <v>211</v>
      </c>
      <c r="E940" t="s">
        <v>135</v>
      </c>
      <c r="F940" s="4">
        <v>45212</v>
      </c>
      <c r="G940" s="5">
        <v>0.89936342592592589</v>
      </c>
      <c r="H940">
        <v>-76.723174999999998</v>
      </c>
      <c r="I940">
        <v>3.4800183329999999</v>
      </c>
      <c r="J940">
        <v>8</v>
      </c>
      <c r="K940" t="s">
        <v>119</v>
      </c>
      <c r="L940" t="s">
        <v>544</v>
      </c>
      <c r="M940">
        <v>2100</v>
      </c>
      <c r="N940">
        <v>1</v>
      </c>
      <c r="O940">
        <v>0</v>
      </c>
      <c r="P940">
        <v>10</v>
      </c>
      <c r="Q940" s="10" t="s">
        <v>543</v>
      </c>
      <c r="R940" s="10">
        <v>26</v>
      </c>
      <c r="S940" t="s">
        <v>442</v>
      </c>
      <c r="T940" t="s">
        <v>258</v>
      </c>
      <c r="V940" t="s">
        <v>8</v>
      </c>
      <c r="X940">
        <v>1</v>
      </c>
      <c r="AF940">
        <v>-76.722916670000004</v>
      </c>
      <c r="AG940">
        <v>3.4792366669999999</v>
      </c>
      <c r="AP940" t="s">
        <v>441</v>
      </c>
      <c r="AQ940" t="s">
        <v>443</v>
      </c>
    </row>
    <row r="941" spans="1:44" x14ac:dyDescent="0.2">
      <c r="A941">
        <v>2023</v>
      </c>
      <c r="B941" t="s">
        <v>21</v>
      </c>
      <c r="C941" t="s">
        <v>22</v>
      </c>
      <c r="D941" t="s">
        <v>217</v>
      </c>
      <c r="E941" t="s">
        <v>122</v>
      </c>
      <c r="F941" s="4">
        <v>45212</v>
      </c>
      <c r="G941" s="5">
        <v>0.83560185185185187</v>
      </c>
      <c r="H941">
        <v>-76.722671669999997</v>
      </c>
      <c r="I941">
        <v>3.477686667</v>
      </c>
      <c r="J941">
        <v>8</v>
      </c>
      <c r="K941" t="s">
        <v>112</v>
      </c>
      <c r="L941" t="s">
        <v>544</v>
      </c>
      <c r="M941">
        <v>2100</v>
      </c>
      <c r="N941">
        <v>1</v>
      </c>
      <c r="O941">
        <v>0</v>
      </c>
      <c r="P941">
        <v>10</v>
      </c>
      <c r="Q941" s="10" t="s">
        <v>543</v>
      </c>
      <c r="R941" s="10">
        <v>22.5</v>
      </c>
      <c r="S941" t="s">
        <v>442</v>
      </c>
      <c r="T941" t="s">
        <v>258</v>
      </c>
      <c r="V941" t="s">
        <v>8</v>
      </c>
      <c r="X941">
        <v>1</v>
      </c>
      <c r="AF941">
        <v>-76.722300000000004</v>
      </c>
      <c r="AG941">
        <v>3.477146667</v>
      </c>
      <c r="AP941" t="s">
        <v>441</v>
      </c>
      <c r="AQ941" t="s">
        <v>443</v>
      </c>
    </row>
    <row r="942" spans="1:44" x14ac:dyDescent="0.2">
      <c r="A942">
        <v>2023</v>
      </c>
      <c r="B942" t="s">
        <v>21</v>
      </c>
      <c r="C942" t="s">
        <v>22</v>
      </c>
      <c r="D942" t="s">
        <v>217</v>
      </c>
      <c r="E942" t="s">
        <v>122</v>
      </c>
      <c r="F942" s="4">
        <v>45212</v>
      </c>
      <c r="G942" s="5">
        <v>0.83560185185185187</v>
      </c>
      <c r="H942">
        <v>-76.722671669999997</v>
      </c>
      <c r="I942">
        <v>3.477686667</v>
      </c>
      <c r="J942">
        <v>8</v>
      </c>
      <c r="K942" t="s">
        <v>112</v>
      </c>
      <c r="L942" t="s">
        <v>544</v>
      </c>
      <c r="M942">
        <v>2100</v>
      </c>
      <c r="N942">
        <v>1</v>
      </c>
      <c r="O942">
        <v>0</v>
      </c>
      <c r="P942">
        <v>10</v>
      </c>
      <c r="Q942" s="10" t="s">
        <v>543</v>
      </c>
      <c r="R942" s="10">
        <v>22.5</v>
      </c>
      <c r="S942" t="s">
        <v>318</v>
      </c>
      <c r="T942" t="s">
        <v>258</v>
      </c>
      <c r="V942" t="s">
        <v>8</v>
      </c>
      <c r="X942">
        <v>2</v>
      </c>
      <c r="AF942">
        <v>-76.722300000000004</v>
      </c>
      <c r="AG942">
        <v>3.477146667</v>
      </c>
      <c r="AP942" t="s">
        <v>441</v>
      </c>
      <c r="AQ942" t="s">
        <v>443</v>
      </c>
    </row>
    <row r="943" spans="1:44" x14ac:dyDescent="0.2">
      <c r="A943">
        <v>2023</v>
      </c>
      <c r="B943" t="s">
        <v>21</v>
      </c>
      <c r="C943" t="s">
        <v>23</v>
      </c>
      <c r="D943" t="s">
        <v>165</v>
      </c>
      <c r="E943" t="s">
        <v>122</v>
      </c>
      <c r="F943" s="4">
        <v>45212</v>
      </c>
      <c r="G943" s="5">
        <v>0.94067129629629631</v>
      </c>
      <c r="H943">
        <v>-76.723664999999997</v>
      </c>
      <c r="I943">
        <v>3.4834966669999998</v>
      </c>
      <c r="J943">
        <v>8</v>
      </c>
      <c r="N943">
        <v>0</v>
      </c>
      <c r="O943">
        <v>0</v>
      </c>
      <c r="P943">
        <v>15</v>
      </c>
      <c r="Q943" s="10" t="s">
        <v>543</v>
      </c>
      <c r="R943" s="10">
        <v>20</v>
      </c>
      <c r="V943" t="s">
        <v>47</v>
      </c>
      <c r="X943">
        <v>0</v>
      </c>
      <c r="AF943">
        <v>-76.723664999999997</v>
      </c>
      <c r="AG943">
        <v>3.4834966669999998</v>
      </c>
    </row>
    <row r="944" spans="1:44" x14ac:dyDescent="0.2">
      <c r="A944">
        <v>2023</v>
      </c>
      <c r="B944" t="s">
        <v>21</v>
      </c>
      <c r="C944" t="s">
        <v>22</v>
      </c>
      <c r="D944" t="s">
        <v>163</v>
      </c>
      <c r="E944" t="s">
        <v>157</v>
      </c>
      <c r="F944" s="4">
        <v>45212</v>
      </c>
      <c r="G944" s="5">
        <v>0.90333333333333332</v>
      </c>
      <c r="H944">
        <v>-76.723211669999998</v>
      </c>
      <c r="I944">
        <v>3.4803066669999998</v>
      </c>
      <c r="J944">
        <v>8</v>
      </c>
      <c r="K944" t="s">
        <v>119</v>
      </c>
      <c r="L944" t="s">
        <v>120</v>
      </c>
      <c r="M944">
        <v>2100</v>
      </c>
      <c r="N944">
        <v>1</v>
      </c>
      <c r="O944">
        <v>0</v>
      </c>
      <c r="P944">
        <v>10</v>
      </c>
      <c r="Q944" s="10" t="s">
        <v>543</v>
      </c>
      <c r="R944" s="10">
        <v>21</v>
      </c>
      <c r="S944" t="s">
        <v>442</v>
      </c>
      <c r="T944" t="s">
        <v>258</v>
      </c>
      <c r="V944" t="s">
        <v>2</v>
      </c>
      <c r="X944">
        <v>1</v>
      </c>
      <c r="AF944">
        <v>-76.723211669999998</v>
      </c>
      <c r="AG944">
        <v>3.4803066669999998</v>
      </c>
      <c r="AP944" t="s">
        <v>441</v>
      </c>
      <c r="AQ944" t="s">
        <v>443</v>
      </c>
    </row>
    <row r="945" spans="1:43" x14ac:dyDescent="0.2">
      <c r="A945">
        <v>2023</v>
      </c>
      <c r="B945" t="s">
        <v>21</v>
      </c>
      <c r="C945" t="s">
        <v>23</v>
      </c>
      <c r="D945" t="s">
        <v>158</v>
      </c>
      <c r="E945" t="s">
        <v>111</v>
      </c>
      <c r="F945" s="4">
        <v>45212</v>
      </c>
      <c r="G945" s="5">
        <v>0.93509259259259259</v>
      </c>
      <c r="H945">
        <v>-76.723100000000002</v>
      </c>
      <c r="I945">
        <v>3.4828983330000001</v>
      </c>
      <c r="J945">
        <v>8</v>
      </c>
      <c r="K945" t="s">
        <v>119</v>
      </c>
      <c r="L945" t="s">
        <v>120</v>
      </c>
      <c r="M945">
        <v>2100</v>
      </c>
      <c r="N945">
        <v>1</v>
      </c>
      <c r="O945">
        <v>0</v>
      </c>
      <c r="P945">
        <v>11</v>
      </c>
      <c r="Q945" s="10" t="s">
        <v>543</v>
      </c>
      <c r="R945" s="10">
        <v>18.5</v>
      </c>
      <c r="S945" t="s">
        <v>442</v>
      </c>
      <c r="T945" t="s">
        <v>258</v>
      </c>
      <c r="V945" t="s">
        <v>9</v>
      </c>
      <c r="X945">
        <v>1</v>
      </c>
      <c r="AF945">
        <v>-76.722953329999996</v>
      </c>
      <c r="AG945">
        <v>3.482678333</v>
      </c>
      <c r="AP945" t="s">
        <v>441</v>
      </c>
      <c r="AQ945" t="s">
        <v>443</v>
      </c>
    </row>
    <row r="946" spans="1:43" x14ac:dyDescent="0.2">
      <c r="A946">
        <v>2023</v>
      </c>
      <c r="B946" t="s">
        <v>21</v>
      </c>
      <c r="C946" t="s">
        <v>22</v>
      </c>
      <c r="D946" t="s">
        <v>214</v>
      </c>
      <c r="E946" t="s">
        <v>127</v>
      </c>
      <c r="F946" s="4">
        <v>45212</v>
      </c>
      <c r="G946" s="5">
        <v>0.86814814814814811</v>
      </c>
      <c r="H946">
        <v>-76.722880000000004</v>
      </c>
      <c r="I946">
        <v>3.4789266670000001</v>
      </c>
      <c r="J946">
        <v>8</v>
      </c>
      <c r="K946" t="s">
        <v>112</v>
      </c>
      <c r="L946" t="s">
        <v>545</v>
      </c>
      <c r="M946">
        <v>2100</v>
      </c>
      <c r="N946">
        <v>1</v>
      </c>
      <c r="O946">
        <v>0</v>
      </c>
      <c r="P946">
        <v>10</v>
      </c>
      <c r="Q946" s="10" t="s">
        <v>543</v>
      </c>
      <c r="R946" s="10">
        <v>30</v>
      </c>
      <c r="S946" t="s">
        <v>442</v>
      </c>
      <c r="T946" t="s">
        <v>258</v>
      </c>
      <c r="V946" t="s">
        <v>8</v>
      </c>
      <c r="X946">
        <v>1</v>
      </c>
      <c r="AF946">
        <v>-76.722768329999994</v>
      </c>
      <c r="AG946">
        <v>3.4780600000000002</v>
      </c>
      <c r="AP946" t="s">
        <v>467</v>
      </c>
      <c r="AQ946" t="s">
        <v>443</v>
      </c>
    </row>
    <row r="947" spans="1:43" x14ac:dyDescent="0.2">
      <c r="A947">
        <v>2023</v>
      </c>
      <c r="B947" t="s">
        <v>21</v>
      </c>
      <c r="C947" t="s">
        <v>22</v>
      </c>
      <c r="D947" t="s">
        <v>163</v>
      </c>
      <c r="E947" t="s">
        <v>157</v>
      </c>
      <c r="F947" s="4">
        <v>45212</v>
      </c>
      <c r="G947" s="5">
        <v>0.91365740740740742</v>
      </c>
      <c r="H947">
        <v>-76.723221670000001</v>
      </c>
      <c r="I947">
        <v>3.4806900000000001</v>
      </c>
      <c r="J947">
        <v>8</v>
      </c>
      <c r="K947" t="s">
        <v>112</v>
      </c>
      <c r="M947">
        <v>2100</v>
      </c>
      <c r="N947">
        <v>0</v>
      </c>
      <c r="O947">
        <v>1</v>
      </c>
      <c r="P947">
        <v>10</v>
      </c>
      <c r="Q947" s="10" t="s">
        <v>543</v>
      </c>
      <c r="R947" s="10">
        <v>21</v>
      </c>
      <c r="S947" t="s">
        <v>442</v>
      </c>
      <c r="T947" t="s">
        <v>258</v>
      </c>
      <c r="V947" t="s">
        <v>73</v>
      </c>
      <c r="X947">
        <v>1</v>
      </c>
      <c r="AF947">
        <v>-76.723211669999998</v>
      </c>
      <c r="AG947">
        <v>3.4803066669999998</v>
      </c>
      <c r="AP947" t="s">
        <v>441</v>
      </c>
      <c r="AQ947" t="s">
        <v>443</v>
      </c>
    </row>
    <row r="948" spans="1:43" x14ac:dyDescent="0.2">
      <c r="A948">
        <v>2023</v>
      </c>
      <c r="B948" t="s">
        <v>21</v>
      </c>
      <c r="C948" t="s">
        <v>22</v>
      </c>
      <c r="D948" t="s">
        <v>214</v>
      </c>
      <c r="E948" t="s">
        <v>127</v>
      </c>
      <c r="F948" s="4">
        <v>45212</v>
      </c>
      <c r="G948" s="5">
        <v>0.84506944444444443</v>
      </c>
      <c r="H948">
        <v>-76.722768329999994</v>
      </c>
      <c r="I948">
        <v>3.4780600000000002</v>
      </c>
      <c r="J948">
        <v>8</v>
      </c>
      <c r="K948" t="s">
        <v>112</v>
      </c>
      <c r="L948" t="s">
        <v>545</v>
      </c>
      <c r="M948">
        <v>2100</v>
      </c>
      <c r="N948">
        <v>1</v>
      </c>
      <c r="O948">
        <v>0</v>
      </c>
      <c r="P948">
        <v>10</v>
      </c>
      <c r="Q948" s="10" t="s">
        <v>543</v>
      </c>
      <c r="R948" s="10">
        <v>30</v>
      </c>
      <c r="S948" t="s">
        <v>442</v>
      </c>
      <c r="T948" t="s">
        <v>258</v>
      </c>
      <c r="V948" t="s">
        <v>65</v>
      </c>
      <c r="X948">
        <v>1</v>
      </c>
      <c r="AF948">
        <v>-76.722768329999994</v>
      </c>
      <c r="AG948">
        <v>3.4780600000000002</v>
      </c>
      <c r="AP948" t="s">
        <v>441</v>
      </c>
      <c r="AQ948" t="s">
        <v>244</v>
      </c>
    </row>
    <row r="949" spans="1:43" x14ac:dyDescent="0.2">
      <c r="A949">
        <v>2023</v>
      </c>
      <c r="B949" t="s">
        <v>21</v>
      </c>
      <c r="C949" t="s">
        <v>22</v>
      </c>
      <c r="D949" t="s">
        <v>214</v>
      </c>
      <c r="E949" t="s">
        <v>127</v>
      </c>
      <c r="F949" s="4">
        <v>45212</v>
      </c>
      <c r="G949" s="5">
        <v>0.84506944444444443</v>
      </c>
      <c r="H949">
        <v>-76.722768329999994</v>
      </c>
      <c r="I949">
        <v>3.4780600000000002</v>
      </c>
      <c r="J949">
        <v>8</v>
      </c>
      <c r="K949" t="s">
        <v>119</v>
      </c>
      <c r="L949" t="s">
        <v>544</v>
      </c>
      <c r="M949">
        <v>2100</v>
      </c>
      <c r="N949">
        <v>1</v>
      </c>
      <c r="O949">
        <v>0</v>
      </c>
      <c r="P949">
        <v>10</v>
      </c>
      <c r="Q949" s="10" t="s">
        <v>543</v>
      </c>
      <c r="R949" s="10">
        <v>30</v>
      </c>
      <c r="S949" t="s">
        <v>442</v>
      </c>
      <c r="T949" t="s">
        <v>258</v>
      </c>
      <c r="V949" t="s">
        <v>8</v>
      </c>
      <c r="X949">
        <v>2</v>
      </c>
      <c r="AF949">
        <v>-76.722768329999994</v>
      </c>
      <c r="AG949">
        <v>3.4780600000000002</v>
      </c>
      <c r="AP949" t="s">
        <v>441</v>
      </c>
      <c r="AQ949" t="s">
        <v>443</v>
      </c>
    </row>
    <row r="950" spans="1:43" x14ac:dyDescent="0.2">
      <c r="A950">
        <v>2023</v>
      </c>
      <c r="B950" t="s">
        <v>21</v>
      </c>
      <c r="C950" t="s">
        <v>22</v>
      </c>
      <c r="D950" t="s">
        <v>214</v>
      </c>
      <c r="E950" t="s">
        <v>127</v>
      </c>
      <c r="F950" s="4">
        <v>45212</v>
      </c>
      <c r="G950" s="5">
        <v>0.84506944444444443</v>
      </c>
      <c r="H950">
        <v>-76.722768329999994</v>
      </c>
      <c r="I950">
        <v>3.4780600000000002</v>
      </c>
      <c r="J950">
        <v>8</v>
      </c>
      <c r="K950" t="s">
        <v>119</v>
      </c>
      <c r="L950" t="s">
        <v>507</v>
      </c>
      <c r="M950">
        <v>2100</v>
      </c>
      <c r="N950">
        <v>1</v>
      </c>
      <c r="O950">
        <v>0</v>
      </c>
      <c r="P950">
        <v>10</v>
      </c>
      <c r="Q950" s="10" t="s">
        <v>543</v>
      </c>
      <c r="R950" s="10">
        <v>30</v>
      </c>
      <c r="S950" t="s">
        <v>442</v>
      </c>
      <c r="T950" t="s">
        <v>258</v>
      </c>
      <c r="V950" t="s">
        <v>4</v>
      </c>
      <c r="X950">
        <v>1</v>
      </c>
      <c r="AF950">
        <v>-76.722768329999994</v>
      </c>
      <c r="AG950">
        <v>3.4780600000000002</v>
      </c>
      <c r="AP950" t="s">
        <v>441</v>
      </c>
      <c r="AQ950" t="s">
        <v>443</v>
      </c>
    </row>
    <row r="951" spans="1:43" x14ac:dyDescent="0.2">
      <c r="A951">
        <v>2023</v>
      </c>
      <c r="B951" t="s">
        <v>21</v>
      </c>
      <c r="C951" t="s">
        <v>22</v>
      </c>
      <c r="D951" t="s">
        <v>163</v>
      </c>
      <c r="E951" t="s">
        <v>157</v>
      </c>
      <c r="F951" s="4">
        <v>45212</v>
      </c>
      <c r="G951" s="5">
        <v>0.90424768518518517</v>
      </c>
      <c r="H951">
        <v>-76.723213329999993</v>
      </c>
      <c r="I951">
        <v>3.4802583330000001</v>
      </c>
      <c r="J951">
        <v>8</v>
      </c>
      <c r="K951" t="s">
        <v>112</v>
      </c>
      <c r="L951" t="s">
        <v>546</v>
      </c>
      <c r="M951">
        <v>2100</v>
      </c>
      <c r="N951">
        <v>1</v>
      </c>
      <c r="O951">
        <v>0</v>
      </c>
      <c r="P951">
        <v>10</v>
      </c>
      <c r="Q951" s="10" t="s">
        <v>543</v>
      </c>
      <c r="R951" s="10">
        <v>21</v>
      </c>
      <c r="S951" t="s">
        <v>442</v>
      </c>
      <c r="T951" t="s">
        <v>258</v>
      </c>
      <c r="V951" t="s">
        <v>73</v>
      </c>
      <c r="X951">
        <v>3</v>
      </c>
      <c r="AF951">
        <v>-76.723211669999998</v>
      </c>
      <c r="AG951">
        <v>3.4803066669999998</v>
      </c>
      <c r="AP951" t="s">
        <v>441</v>
      </c>
      <c r="AQ951" t="s">
        <v>443</v>
      </c>
    </row>
    <row r="952" spans="1:43" x14ac:dyDescent="0.2">
      <c r="A952">
        <v>2023</v>
      </c>
      <c r="B952" t="s">
        <v>21</v>
      </c>
      <c r="C952" t="s">
        <v>22</v>
      </c>
      <c r="D952" t="s">
        <v>217</v>
      </c>
      <c r="E952" t="s">
        <v>122</v>
      </c>
      <c r="F952" s="4">
        <v>45212</v>
      </c>
      <c r="G952" s="5">
        <v>0.81260416666666668</v>
      </c>
      <c r="H952">
        <v>-76.722388330000001</v>
      </c>
      <c r="I952">
        <v>3.4772416669999999</v>
      </c>
      <c r="J952">
        <v>8</v>
      </c>
      <c r="K952" t="s">
        <v>112</v>
      </c>
      <c r="L952" t="s">
        <v>545</v>
      </c>
      <c r="M952">
        <v>2100</v>
      </c>
      <c r="N952">
        <v>1</v>
      </c>
      <c r="O952">
        <v>0</v>
      </c>
      <c r="P952">
        <v>10</v>
      </c>
      <c r="Q952" s="10" t="s">
        <v>543</v>
      </c>
      <c r="R952" s="10">
        <v>22.5</v>
      </c>
      <c r="S952" t="s">
        <v>518</v>
      </c>
      <c r="T952" t="s">
        <v>258</v>
      </c>
      <c r="V952" t="s">
        <v>8</v>
      </c>
      <c r="X952">
        <v>1</v>
      </c>
      <c r="AF952">
        <v>-76.722300000000004</v>
      </c>
      <c r="AG952">
        <v>3.477146667</v>
      </c>
      <c r="AP952" t="s">
        <v>441</v>
      </c>
      <c r="AQ952" t="s">
        <v>443</v>
      </c>
    </row>
    <row r="953" spans="1:43" x14ac:dyDescent="0.2">
      <c r="A953">
        <v>2023</v>
      </c>
      <c r="B953" t="s">
        <v>21</v>
      </c>
      <c r="C953" t="s">
        <v>22</v>
      </c>
      <c r="D953" t="s">
        <v>217</v>
      </c>
      <c r="E953" t="s">
        <v>122</v>
      </c>
      <c r="F953" s="4">
        <v>45212</v>
      </c>
      <c r="G953" s="5">
        <v>0.81260416666666668</v>
      </c>
      <c r="H953">
        <v>-76.722388330000001</v>
      </c>
      <c r="I953">
        <v>3.4772416669999999</v>
      </c>
      <c r="J953">
        <v>8</v>
      </c>
      <c r="K953" t="s">
        <v>119</v>
      </c>
      <c r="L953" t="s">
        <v>545</v>
      </c>
      <c r="M953">
        <v>2100</v>
      </c>
      <c r="N953">
        <v>1</v>
      </c>
      <c r="O953">
        <v>0</v>
      </c>
      <c r="P953">
        <v>10</v>
      </c>
      <c r="Q953" s="10" t="s">
        <v>543</v>
      </c>
      <c r="R953" s="10">
        <v>22.5</v>
      </c>
      <c r="S953" t="s">
        <v>442</v>
      </c>
      <c r="T953" t="s">
        <v>258</v>
      </c>
      <c r="V953" t="s">
        <v>8</v>
      </c>
      <c r="X953">
        <v>1</v>
      </c>
      <c r="AF953">
        <v>-76.722300000000004</v>
      </c>
      <c r="AG953">
        <v>3.477146667</v>
      </c>
      <c r="AP953" t="s">
        <v>441</v>
      </c>
      <c r="AQ953" t="s">
        <v>443</v>
      </c>
    </row>
    <row r="954" spans="1:43" x14ac:dyDescent="0.2">
      <c r="A954">
        <v>2023</v>
      </c>
      <c r="B954" t="s">
        <v>21</v>
      </c>
      <c r="C954" t="s">
        <v>22</v>
      </c>
      <c r="D954" t="s">
        <v>217</v>
      </c>
      <c r="E954" t="s">
        <v>122</v>
      </c>
      <c r="F954" s="4">
        <v>45212</v>
      </c>
      <c r="G954" s="5">
        <v>0.81980324074074074</v>
      </c>
      <c r="H954">
        <v>-76.722438330000003</v>
      </c>
      <c r="I954">
        <v>3.4775783329999999</v>
      </c>
      <c r="J954">
        <v>8</v>
      </c>
      <c r="K954" t="s">
        <v>119</v>
      </c>
      <c r="L954" t="s">
        <v>545</v>
      </c>
      <c r="M954">
        <v>2100</v>
      </c>
      <c r="N954">
        <v>1</v>
      </c>
      <c r="O954">
        <v>0</v>
      </c>
      <c r="P954">
        <v>10</v>
      </c>
      <c r="Q954" s="10" t="s">
        <v>543</v>
      </c>
      <c r="R954" s="10">
        <v>22.5</v>
      </c>
      <c r="S954" t="s">
        <v>442</v>
      </c>
      <c r="T954" t="s">
        <v>258</v>
      </c>
      <c r="V954" t="s">
        <v>2</v>
      </c>
      <c r="X954">
        <v>1</v>
      </c>
      <c r="AF954">
        <v>-76.722300000000004</v>
      </c>
      <c r="AG954">
        <v>3.477146667</v>
      </c>
      <c r="AP954" t="s">
        <v>441</v>
      </c>
      <c r="AQ954" t="s">
        <v>443</v>
      </c>
    </row>
    <row r="955" spans="1:43" x14ac:dyDescent="0.2">
      <c r="A955">
        <v>2023</v>
      </c>
      <c r="B955" t="s">
        <v>21</v>
      </c>
      <c r="C955" t="s">
        <v>22</v>
      </c>
      <c r="D955" t="s">
        <v>217</v>
      </c>
      <c r="E955" t="s">
        <v>122</v>
      </c>
      <c r="F955" s="4">
        <v>45212</v>
      </c>
      <c r="G955" s="5">
        <v>0.81980324074074074</v>
      </c>
      <c r="H955">
        <v>-76.722438330000003</v>
      </c>
      <c r="I955">
        <v>3.4775783329999999</v>
      </c>
      <c r="J955">
        <v>8</v>
      </c>
      <c r="K955" t="s">
        <v>112</v>
      </c>
      <c r="L955" t="s">
        <v>545</v>
      </c>
      <c r="M955">
        <v>2100</v>
      </c>
      <c r="N955">
        <v>1</v>
      </c>
      <c r="O955">
        <v>0</v>
      </c>
      <c r="P955">
        <v>10</v>
      </c>
      <c r="Q955" s="10" t="s">
        <v>543</v>
      </c>
      <c r="R955" s="10">
        <v>22.5</v>
      </c>
      <c r="S955" t="s">
        <v>442</v>
      </c>
      <c r="T955" t="s">
        <v>258</v>
      </c>
      <c r="V955" t="s">
        <v>2</v>
      </c>
      <c r="X955">
        <v>1</v>
      </c>
      <c r="AF955">
        <v>-76.722300000000004</v>
      </c>
      <c r="AG955">
        <v>3.477146667</v>
      </c>
      <c r="AP955" t="s">
        <v>441</v>
      </c>
      <c r="AQ955" t="s">
        <v>443</v>
      </c>
    </row>
    <row r="956" spans="1:43" x14ac:dyDescent="0.2">
      <c r="A956">
        <v>2023</v>
      </c>
      <c r="B956" t="s">
        <v>21</v>
      </c>
      <c r="C956" t="s">
        <v>22</v>
      </c>
      <c r="D956" t="s">
        <v>217</v>
      </c>
      <c r="E956" t="s">
        <v>122</v>
      </c>
      <c r="F956" s="4">
        <v>45212</v>
      </c>
      <c r="G956" s="5">
        <v>0.81980324074074074</v>
      </c>
      <c r="H956">
        <v>-76.722438330000003</v>
      </c>
      <c r="I956">
        <v>3.4775783329999999</v>
      </c>
      <c r="J956">
        <v>8</v>
      </c>
      <c r="K956" t="s">
        <v>119</v>
      </c>
      <c r="L956" t="s">
        <v>545</v>
      </c>
      <c r="M956">
        <v>2100</v>
      </c>
      <c r="N956">
        <v>1</v>
      </c>
      <c r="O956">
        <v>0</v>
      </c>
      <c r="P956">
        <v>10</v>
      </c>
      <c r="Q956" s="10" t="s">
        <v>543</v>
      </c>
      <c r="R956" s="10">
        <v>22.5</v>
      </c>
      <c r="S956" t="s">
        <v>442</v>
      </c>
      <c r="T956" t="s">
        <v>258</v>
      </c>
      <c r="V956" t="s">
        <v>8</v>
      </c>
      <c r="X956">
        <v>1</v>
      </c>
      <c r="AF956">
        <v>-76.722300000000004</v>
      </c>
      <c r="AG956">
        <v>3.477146667</v>
      </c>
      <c r="AP956" t="s">
        <v>441</v>
      </c>
      <c r="AQ956" t="s">
        <v>443</v>
      </c>
    </row>
    <row r="957" spans="1:43" x14ac:dyDescent="0.2">
      <c r="A957">
        <v>2023</v>
      </c>
      <c r="B957" t="s">
        <v>21</v>
      </c>
      <c r="C957" t="s">
        <v>22</v>
      </c>
      <c r="D957" t="s">
        <v>163</v>
      </c>
      <c r="E957" t="s">
        <v>157</v>
      </c>
      <c r="F957" s="4">
        <v>45212</v>
      </c>
      <c r="G957" s="5">
        <v>0.91170138888888885</v>
      </c>
      <c r="H957">
        <v>-76.723193330000001</v>
      </c>
      <c r="I957">
        <v>3.4806699999999999</v>
      </c>
      <c r="J957">
        <v>8</v>
      </c>
      <c r="K957" t="s">
        <v>119</v>
      </c>
      <c r="L957" t="s">
        <v>546</v>
      </c>
      <c r="M957">
        <v>2100</v>
      </c>
      <c r="N957">
        <v>1</v>
      </c>
      <c r="O957">
        <v>0</v>
      </c>
      <c r="P957">
        <v>10</v>
      </c>
      <c r="Q957" s="10" t="s">
        <v>543</v>
      </c>
      <c r="R957" s="10">
        <v>21</v>
      </c>
      <c r="S957" t="s">
        <v>442</v>
      </c>
      <c r="T957" t="s">
        <v>258</v>
      </c>
      <c r="V957" t="s">
        <v>73</v>
      </c>
      <c r="X957">
        <v>1</v>
      </c>
      <c r="AF957">
        <v>-76.723211669999998</v>
      </c>
      <c r="AG957">
        <v>3.4803066669999998</v>
      </c>
      <c r="AP957" t="s">
        <v>441</v>
      </c>
      <c r="AQ957" t="s">
        <v>443</v>
      </c>
    </row>
    <row r="958" spans="1:43" x14ac:dyDescent="0.2">
      <c r="A958">
        <v>2023</v>
      </c>
      <c r="B958" t="s">
        <v>21</v>
      </c>
      <c r="C958" t="s">
        <v>22</v>
      </c>
      <c r="D958" t="s">
        <v>211</v>
      </c>
      <c r="E958" t="s">
        <v>135</v>
      </c>
      <c r="F958" s="4">
        <v>45212</v>
      </c>
      <c r="G958" s="5">
        <v>0.89539351851851856</v>
      </c>
      <c r="H958">
        <v>-76.723169999999996</v>
      </c>
      <c r="I958">
        <v>3.4798716669999998</v>
      </c>
      <c r="J958">
        <v>8</v>
      </c>
      <c r="K958" t="s">
        <v>119</v>
      </c>
      <c r="L958" t="s">
        <v>546</v>
      </c>
      <c r="M958">
        <v>2100</v>
      </c>
      <c r="N958">
        <v>1</v>
      </c>
      <c r="O958">
        <v>0</v>
      </c>
      <c r="P958">
        <v>10</v>
      </c>
      <c r="Q958" s="10" t="s">
        <v>543</v>
      </c>
      <c r="R958" s="10">
        <v>26</v>
      </c>
      <c r="S958" t="s">
        <v>442</v>
      </c>
      <c r="T958" t="s">
        <v>258</v>
      </c>
      <c r="V958" t="s">
        <v>73</v>
      </c>
      <c r="X958">
        <v>1</v>
      </c>
      <c r="AF958">
        <v>-76.722916670000004</v>
      </c>
      <c r="AG958">
        <v>3.4792366669999999</v>
      </c>
      <c r="AP958" t="s">
        <v>441</v>
      </c>
      <c r="AQ958" t="s">
        <v>443</v>
      </c>
    </row>
    <row r="959" spans="1:43" x14ac:dyDescent="0.2">
      <c r="A959">
        <v>2023</v>
      </c>
      <c r="B959" t="s">
        <v>21</v>
      </c>
      <c r="C959" t="s">
        <v>22</v>
      </c>
      <c r="D959" t="s">
        <v>214</v>
      </c>
      <c r="E959" t="s">
        <v>127</v>
      </c>
      <c r="F959" s="4">
        <v>45212</v>
      </c>
      <c r="G959" s="5">
        <v>0.86151620370370374</v>
      </c>
      <c r="H959">
        <v>-76.722838330000002</v>
      </c>
      <c r="I959">
        <v>3.478723333</v>
      </c>
      <c r="J959">
        <v>8</v>
      </c>
      <c r="K959" t="s">
        <v>119</v>
      </c>
      <c r="L959" t="s">
        <v>546</v>
      </c>
      <c r="M959">
        <v>2100</v>
      </c>
      <c r="N959">
        <v>1</v>
      </c>
      <c r="O959">
        <v>0</v>
      </c>
      <c r="P959">
        <v>10</v>
      </c>
      <c r="Q959" s="10" t="s">
        <v>543</v>
      </c>
      <c r="R959" s="10">
        <v>30</v>
      </c>
      <c r="S959" t="s">
        <v>442</v>
      </c>
      <c r="T959" t="s">
        <v>258</v>
      </c>
      <c r="V959" t="s">
        <v>73</v>
      </c>
      <c r="X959">
        <v>2</v>
      </c>
      <c r="AF959">
        <v>-76.722768329999994</v>
      </c>
      <c r="AG959">
        <v>3.4780600000000002</v>
      </c>
      <c r="AP959" t="s">
        <v>441</v>
      </c>
      <c r="AQ959" t="s">
        <v>443</v>
      </c>
    </row>
    <row r="960" spans="1:43" x14ac:dyDescent="0.2">
      <c r="A960">
        <v>2023</v>
      </c>
      <c r="B960" t="s">
        <v>21</v>
      </c>
      <c r="C960" t="s">
        <v>22</v>
      </c>
      <c r="D960" t="s">
        <v>214</v>
      </c>
      <c r="E960" t="s">
        <v>127</v>
      </c>
      <c r="F960" s="4">
        <v>45212</v>
      </c>
      <c r="G960" s="5">
        <v>0.87056712962962968</v>
      </c>
      <c r="H960">
        <v>-76.722920000000002</v>
      </c>
      <c r="I960">
        <v>3.4789916669999998</v>
      </c>
      <c r="J960">
        <v>8</v>
      </c>
      <c r="K960" t="s">
        <v>119</v>
      </c>
      <c r="L960" t="s">
        <v>120</v>
      </c>
      <c r="M960">
        <v>2100</v>
      </c>
      <c r="N960">
        <v>1</v>
      </c>
      <c r="O960">
        <v>0</v>
      </c>
      <c r="P960">
        <v>10</v>
      </c>
      <c r="Q960" s="10" t="s">
        <v>543</v>
      </c>
      <c r="R960" s="10">
        <v>30</v>
      </c>
      <c r="S960" t="s">
        <v>442</v>
      </c>
      <c r="T960" t="s">
        <v>258</v>
      </c>
      <c r="V960" t="s">
        <v>8</v>
      </c>
      <c r="X960">
        <v>1</v>
      </c>
      <c r="AF960">
        <v>-76.722768329999994</v>
      </c>
      <c r="AG960">
        <v>3.4780600000000002</v>
      </c>
      <c r="AP960" t="s">
        <v>441</v>
      </c>
      <c r="AQ960" t="s">
        <v>443</v>
      </c>
    </row>
    <row r="961" spans="1:43" x14ac:dyDescent="0.2">
      <c r="A961">
        <v>2023</v>
      </c>
      <c r="B961" t="s">
        <v>21</v>
      </c>
      <c r="C961" t="s">
        <v>22</v>
      </c>
      <c r="D961" t="s">
        <v>214</v>
      </c>
      <c r="E961" t="s">
        <v>127</v>
      </c>
      <c r="F961" s="4">
        <v>45212</v>
      </c>
      <c r="G961" s="5">
        <v>0.87056712962962968</v>
      </c>
      <c r="H961">
        <v>-76.722920000000002</v>
      </c>
      <c r="I961">
        <v>3.4789916669999998</v>
      </c>
      <c r="J961">
        <v>8</v>
      </c>
      <c r="K961" t="s">
        <v>119</v>
      </c>
      <c r="L961" t="s">
        <v>120</v>
      </c>
      <c r="M961">
        <v>2100</v>
      </c>
      <c r="N961">
        <v>1</v>
      </c>
      <c r="O961">
        <v>0</v>
      </c>
      <c r="P961">
        <v>10</v>
      </c>
      <c r="Q961" s="10" t="s">
        <v>543</v>
      </c>
      <c r="R961" s="10">
        <v>30</v>
      </c>
      <c r="S961" t="s">
        <v>442</v>
      </c>
      <c r="T961" t="s">
        <v>258</v>
      </c>
      <c r="V961" t="s">
        <v>2</v>
      </c>
      <c r="X961">
        <v>2</v>
      </c>
      <c r="AF961">
        <v>-76.722768329999994</v>
      </c>
      <c r="AG961">
        <v>3.4780600000000002</v>
      </c>
      <c r="AP961" t="s">
        <v>441</v>
      </c>
      <c r="AQ961" t="s">
        <v>443</v>
      </c>
    </row>
    <row r="962" spans="1:43" x14ac:dyDescent="0.2">
      <c r="A962">
        <v>2023</v>
      </c>
      <c r="B962" t="s">
        <v>21</v>
      </c>
      <c r="C962" t="s">
        <v>22</v>
      </c>
      <c r="D962" t="s">
        <v>211</v>
      </c>
      <c r="E962" t="s">
        <v>135</v>
      </c>
      <c r="F962" s="4">
        <v>45212</v>
      </c>
      <c r="G962" s="5">
        <v>0.88069444444444445</v>
      </c>
      <c r="H962">
        <v>-76.723034999999996</v>
      </c>
      <c r="I962">
        <v>3.479403333</v>
      </c>
      <c r="J962">
        <v>8</v>
      </c>
      <c r="K962" t="s">
        <v>112</v>
      </c>
      <c r="L962" t="s">
        <v>545</v>
      </c>
      <c r="M962">
        <v>2100</v>
      </c>
      <c r="N962">
        <v>1</v>
      </c>
      <c r="O962">
        <v>0</v>
      </c>
      <c r="P962">
        <v>10</v>
      </c>
      <c r="Q962" s="10" t="s">
        <v>543</v>
      </c>
      <c r="R962" s="10">
        <v>26</v>
      </c>
      <c r="S962" t="s">
        <v>442</v>
      </c>
      <c r="T962" t="s">
        <v>258</v>
      </c>
      <c r="V962" t="s">
        <v>2</v>
      </c>
      <c r="X962">
        <v>1</v>
      </c>
      <c r="AF962">
        <v>-76.722916670000004</v>
      </c>
      <c r="AG962">
        <v>3.4792366669999999</v>
      </c>
      <c r="AP962" t="s">
        <v>441</v>
      </c>
      <c r="AQ962" t="s">
        <v>443</v>
      </c>
    </row>
    <row r="963" spans="1:43" x14ac:dyDescent="0.2">
      <c r="A963">
        <v>2023</v>
      </c>
      <c r="B963" t="s">
        <v>21</v>
      </c>
      <c r="C963" t="s">
        <v>22</v>
      </c>
      <c r="D963" t="s">
        <v>211</v>
      </c>
      <c r="E963" t="s">
        <v>135</v>
      </c>
      <c r="F963" s="4">
        <v>45212</v>
      </c>
      <c r="G963" s="5">
        <v>0.88069444444444445</v>
      </c>
      <c r="H963">
        <v>-76.723034999999996</v>
      </c>
      <c r="I963">
        <v>3.479403333</v>
      </c>
      <c r="J963">
        <v>8</v>
      </c>
      <c r="K963" t="s">
        <v>112</v>
      </c>
      <c r="L963" t="s">
        <v>120</v>
      </c>
      <c r="M963">
        <v>2100</v>
      </c>
      <c r="N963">
        <v>1</v>
      </c>
      <c r="O963">
        <v>0</v>
      </c>
      <c r="P963">
        <v>10</v>
      </c>
      <c r="Q963" s="10" t="s">
        <v>543</v>
      </c>
      <c r="R963" s="10">
        <v>26</v>
      </c>
      <c r="S963" t="s">
        <v>442</v>
      </c>
      <c r="T963" t="s">
        <v>258</v>
      </c>
      <c r="V963" t="s">
        <v>73</v>
      </c>
      <c r="X963">
        <v>1</v>
      </c>
      <c r="AF963">
        <v>-76.722916670000004</v>
      </c>
      <c r="AG963">
        <v>3.4792366669999999</v>
      </c>
      <c r="AP963" t="s">
        <v>441</v>
      </c>
      <c r="AQ963" t="s">
        <v>443</v>
      </c>
    </row>
    <row r="964" spans="1:43" x14ac:dyDescent="0.2">
      <c r="A964">
        <v>2023</v>
      </c>
      <c r="B964" t="s">
        <v>21</v>
      </c>
      <c r="C964" t="s">
        <v>22</v>
      </c>
      <c r="D964" t="s">
        <v>217</v>
      </c>
      <c r="E964" t="s">
        <v>122</v>
      </c>
      <c r="F964" s="4">
        <v>45212</v>
      </c>
      <c r="G964" s="5">
        <v>0.80918981481481478</v>
      </c>
      <c r="H964">
        <v>-76.722300000000004</v>
      </c>
      <c r="I964">
        <v>3.477146667</v>
      </c>
      <c r="J964">
        <v>8</v>
      </c>
      <c r="K964" t="s">
        <v>119</v>
      </c>
      <c r="L964" t="s">
        <v>546</v>
      </c>
      <c r="M964">
        <v>2100</v>
      </c>
      <c r="N964">
        <v>1</v>
      </c>
      <c r="O964">
        <v>0</v>
      </c>
      <c r="P964">
        <v>10</v>
      </c>
      <c r="Q964" s="10" t="s">
        <v>543</v>
      </c>
      <c r="R964" s="10">
        <v>22.5</v>
      </c>
      <c r="S964" t="s">
        <v>442</v>
      </c>
      <c r="V964" t="s">
        <v>73</v>
      </c>
      <c r="X964">
        <v>1</v>
      </c>
      <c r="AF964">
        <v>-76.722300000000004</v>
      </c>
      <c r="AG964">
        <v>3.477146667</v>
      </c>
      <c r="AP964" t="s">
        <v>450</v>
      </c>
      <c r="AQ964" t="s">
        <v>443</v>
      </c>
    </row>
    <row r="965" spans="1:43" x14ac:dyDescent="0.2">
      <c r="A965">
        <v>2023</v>
      </c>
      <c r="B965" t="s">
        <v>21</v>
      </c>
      <c r="C965" t="s">
        <v>22</v>
      </c>
      <c r="D965" t="s">
        <v>214</v>
      </c>
      <c r="E965" t="s">
        <v>127</v>
      </c>
      <c r="F965" s="4">
        <v>45212</v>
      </c>
      <c r="G965" s="5">
        <v>0.85532407407407407</v>
      </c>
      <c r="H965">
        <v>-76.722840000000005</v>
      </c>
      <c r="I965">
        <v>3.4783849999999998</v>
      </c>
      <c r="J965">
        <v>8</v>
      </c>
      <c r="K965" t="s">
        <v>119</v>
      </c>
      <c r="L965" t="s">
        <v>507</v>
      </c>
      <c r="M965">
        <v>2100</v>
      </c>
      <c r="N965">
        <v>1</v>
      </c>
      <c r="O965">
        <v>0</v>
      </c>
      <c r="P965">
        <v>10</v>
      </c>
      <c r="Q965" s="10" t="s">
        <v>543</v>
      </c>
      <c r="R965" s="10">
        <v>30</v>
      </c>
      <c r="S965" t="s">
        <v>442</v>
      </c>
      <c r="T965" t="s">
        <v>258</v>
      </c>
      <c r="V965" t="s">
        <v>8</v>
      </c>
      <c r="X965">
        <v>2</v>
      </c>
      <c r="AF965">
        <v>-76.722768329999994</v>
      </c>
      <c r="AG965">
        <v>3.4780600000000002</v>
      </c>
      <c r="AP965" t="s">
        <v>441</v>
      </c>
      <c r="AQ965" t="s">
        <v>443</v>
      </c>
    </row>
    <row r="966" spans="1:43" x14ac:dyDescent="0.2">
      <c r="A966">
        <v>2023</v>
      </c>
      <c r="B966" t="s">
        <v>21</v>
      </c>
      <c r="C966" t="s">
        <v>22</v>
      </c>
      <c r="D966" t="s">
        <v>214</v>
      </c>
      <c r="E966" t="s">
        <v>127</v>
      </c>
      <c r="F966" s="4">
        <v>45212</v>
      </c>
      <c r="G966" s="5">
        <v>0.86663194444444447</v>
      </c>
      <c r="H966">
        <v>-76.722893330000005</v>
      </c>
      <c r="I966">
        <v>3.4788250000000001</v>
      </c>
      <c r="J966">
        <v>8</v>
      </c>
      <c r="K966" t="s">
        <v>112</v>
      </c>
      <c r="L966" t="s">
        <v>544</v>
      </c>
      <c r="M966">
        <v>2100</v>
      </c>
      <c r="N966">
        <v>1</v>
      </c>
      <c r="O966">
        <v>0</v>
      </c>
      <c r="P966">
        <v>10</v>
      </c>
      <c r="Q966" s="10" t="s">
        <v>543</v>
      </c>
      <c r="R966" s="10">
        <v>30</v>
      </c>
      <c r="S966" t="s">
        <v>518</v>
      </c>
      <c r="T966" t="s">
        <v>258</v>
      </c>
      <c r="V966" t="s">
        <v>8</v>
      </c>
      <c r="X966">
        <v>1</v>
      </c>
      <c r="AF966">
        <v>-76.722768329999994</v>
      </c>
      <c r="AG966">
        <v>3.4780600000000002</v>
      </c>
      <c r="AP966" t="s">
        <v>441</v>
      </c>
      <c r="AQ966" t="s">
        <v>443</v>
      </c>
    </row>
    <row r="967" spans="1:43" x14ac:dyDescent="0.2">
      <c r="A967">
        <v>2023</v>
      </c>
      <c r="B967" t="s">
        <v>21</v>
      </c>
      <c r="C967" t="s">
        <v>22</v>
      </c>
      <c r="D967" t="s">
        <v>214</v>
      </c>
      <c r="E967" t="s">
        <v>127</v>
      </c>
      <c r="F967" s="4">
        <v>45212</v>
      </c>
      <c r="G967" s="5">
        <v>0.86663194444444447</v>
      </c>
      <c r="H967">
        <v>-76.722893330000005</v>
      </c>
      <c r="I967">
        <v>3.4788250000000001</v>
      </c>
      <c r="J967">
        <v>8</v>
      </c>
      <c r="K967" t="s">
        <v>119</v>
      </c>
      <c r="L967" t="s">
        <v>545</v>
      </c>
      <c r="M967">
        <v>2100</v>
      </c>
      <c r="N967">
        <v>1</v>
      </c>
      <c r="O967">
        <v>0</v>
      </c>
      <c r="P967">
        <v>10</v>
      </c>
      <c r="Q967" s="10" t="s">
        <v>543</v>
      </c>
      <c r="R967" s="10">
        <v>30</v>
      </c>
      <c r="S967" t="s">
        <v>442</v>
      </c>
      <c r="T967" t="s">
        <v>258</v>
      </c>
      <c r="V967" t="s">
        <v>8</v>
      </c>
      <c r="X967">
        <v>2</v>
      </c>
      <c r="AF967">
        <v>-76.722768329999994</v>
      </c>
      <c r="AG967">
        <v>3.4780600000000002</v>
      </c>
      <c r="AP967" t="s">
        <v>441</v>
      </c>
      <c r="AQ967" t="s">
        <v>443</v>
      </c>
    </row>
    <row r="968" spans="1:43" x14ac:dyDescent="0.2">
      <c r="A968">
        <v>2023</v>
      </c>
      <c r="B968" t="s">
        <v>21</v>
      </c>
      <c r="C968" t="s">
        <v>22</v>
      </c>
      <c r="D968" t="s">
        <v>163</v>
      </c>
      <c r="E968" t="s">
        <v>157</v>
      </c>
      <c r="F968" s="4">
        <v>45212</v>
      </c>
      <c r="G968" s="5">
        <v>0.90853009259259254</v>
      </c>
      <c r="H968">
        <v>-76.723235000000003</v>
      </c>
      <c r="I968">
        <v>3.4804283329999999</v>
      </c>
      <c r="J968">
        <v>8</v>
      </c>
      <c r="K968" t="s">
        <v>119</v>
      </c>
      <c r="L968" t="s">
        <v>113</v>
      </c>
      <c r="M968">
        <v>2100</v>
      </c>
      <c r="N968">
        <v>1</v>
      </c>
      <c r="O968">
        <v>0</v>
      </c>
      <c r="P968">
        <v>10</v>
      </c>
      <c r="Q968" s="10" t="s">
        <v>543</v>
      </c>
      <c r="R968" s="10">
        <v>21</v>
      </c>
      <c r="S968" t="s">
        <v>442</v>
      </c>
      <c r="T968" t="s">
        <v>258</v>
      </c>
      <c r="V968" t="s">
        <v>8</v>
      </c>
      <c r="X968">
        <v>3</v>
      </c>
      <c r="AF968">
        <v>-76.723211669999998</v>
      </c>
      <c r="AG968">
        <v>3.4803066669999998</v>
      </c>
      <c r="AP968" t="s">
        <v>441</v>
      </c>
      <c r="AQ968" t="s">
        <v>443</v>
      </c>
    </row>
    <row r="969" spans="1:43" x14ac:dyDescent="0.2">
      <c r="A969">
        <v>2023</v>
      </c>
      <c r="B969" t="s">
        <v>21</v>
      </c>
      <c r="C969" t="s">
        <v>22</v>
      </c>
      <c r="D969" t="s">
        <v>214</v>
      </c>
      <c r="E969" t="s">
        <v>127</v>
      </c>
      <c r="F969" s="4">
        <v>45212</v>
      </c>
      <c r="G969" s="5">
        <v>0.84840277777777773</v>
      </c>
      <c r="H969">
        <v>-76.722703330000002</v>
      </c>
      <c r="I969">
        <v>3.4781083330000002</v>
      </c>
      <c r="J969">
        <v>8</v>
      </c>
      <c r="K969" t="s">
        <v>112</v>
      </c>
      <c r="L969" t="s">
        <v>545</v>
      </c>
      <c r="M969">
        <v>2100</v>
      </c>
      <c r="N969">
        <v>1</v>
      </c>
      <c r="O969">
        <v>0</v>
      </c>
      <c r="P969">
        <v>10</v>
      </c>
      <c r="Q969" s="10" t="s">
        <v>543</v>
      </c>
      <c r="R969" s="10">
        <v>30</v>
      </c>
      <c r="S969" t="s">
        <v>442</v>
      </c>
      <c r="T969" t="s">
        <v>258</v>
      </c>
      <c r="V969" t="s">
        <v>8</v>
      </c>
      <c r="X969">
        <v>1</v>
      </c>
      <c r="AF969">
        <v>-76.722768329999994</v>
      </c>
      <c r="AG969">
        <v>3.4780600000000002</v>
      </c>
      <c r="AP969" t="s">
        <v>441</v>
      </c>
      <c r="AQ969" t="s">
        <v>443</v>
      </c>
    </row>
    <row r="970" spans="1:43" x14ac:dyDescent="0.2">
      <c r="A970">
        <v>2023</v>
      </c>
      <c r="B970" t="s">
        <v>21</v>
      </c>
      <c r="C970" t="s">
        <v>22</v>
      </c>
      <c r="D970" t="s">
        <v>214</v>
      </c>
      <c r="E970" t="s">
        <v>127</v>
      </c>
      <c r="F970" s="4">
        <v>45212</v>
      </c>
      <c r="G970" s="5">
        <v>0.84840277777777773</v>
      </c>
      <c r="H970">
        <v>-76.722703330000002</v>
      </c>
      <c r="I970">
        <v>3.4781083330000002</v>
      </c>
      <c r="J970">
        <v>8</v>
      </c>
      <c r="K970" t="s">
        <v>112</v>
      </c>
      <c r="L970" t="s">
        <v>546</v>
      </c>
      <c r="M970">
        <v>2100</v>
      </c>
      <c r="N970">
        <v>1</v>
      </c>
      <c r="O970">
        <v>0</v>
      </c>
      <c r="P970">
        <v>10</v>
      </c>
      <c r="Q970" s="10" t="s">
        <v>543</v>
      </c>
      <c r="R970" s="10">
        <v>30</v>
      </c>
      <c r="S970" t="s">
        <v>442</v>
      </c>
      <c r="T970" t="s">
        <v>258</v>
      </c>
      <c r="V970" t="s">
        <v>73</v>
      </c>
      <c r="X970">
        <v>1</v>
      </c>
      <c r="AF970">
        <v>-76.722768329999994</v>
      </c>
      <c r="AG970">
        <v>3.4780600000000002</v>
      </c>
      <c r="AP970" t="s">
        <v>441</v>
      </c>
      <c r="AQ970" t="s">
        <v>443</v>
      </c>
    </row>
    <row r="971" spans="1:43" x14ac:dyDescent="0.2">
      <c r="A971">
        <v>2023</v>
      </c>
      <c r="B971" t="s">
        <v>21</v>
      </c>
      <c r="C971" t="s">
        <v>22</v>
      </c>
      <c r="D971" t="s">
        <v>217</v>
      </c>
      <c r="E971" t="s">
        <v>122</v>
      </c>
      <c r="F971" s="4">
        <v>45212</v>
      </c>
      <c r="G971" s="5">
        <v>0.81012731481481481</v>
      </c>
      <c r="H971">
        <v>-76.722363329999993</v>
      </c>
      <c r="I971">
        <v>3.4771000000000001</v>
      </c>
      <c r="J971">
        <v>8</v>
      </c>
      <c r="K971" t="s">
        <v>112</v>
      </c>
      <c r="L971" t="s">
        <v>120</v>
      </c>
      <c r="M971">
        <v>2100</v>
      </c>
      <c r="N971">
        <v>1</v>
      </c>
      <c r="O971">
        <v>0</v>
      </c>
      <c r="P971">
        <v>10</v>
      </c>
      <c r="Q971" s="10" t="s">
        <v>543</v>
      </c>
      <c r="R971" s="10">
        <v>22.5</v>
      </c>
      <c r="S971" t="s">
        <v>442</v>
      </c>
      <c r="T971" t="s">
        <v>258</v>
      </c>
      <c r="V971" t="s">
        <v>73</v>
      </c>
      <c r="X971">
        <v>1</v>
      </c>
      <c r="AF971">
        <v>-76.722300000000004</v>
      </c>
      <c r="AG971">
        <v>3.477146667</v>
      </c>
      <c r="AP971" t="s">
        <v>441</v>
      </c>
      <c r="AQ971" t="s">
        <v>443</v>
      </c>
    </row>
    <row r="972" spans="1:43" x14ac:dyDescent="0.2">
      <c r="A972">
        <v>2023</v>
      </c>
      <c r="B972" t="s">
        <v>21</v>
      </c>
      <c r="C972" t="s">
        <v>23</v>
      </c>
      <c r="D972" t="s">
        <v>158</v>
      </c>
      <c r="E972" t="s">
        <v>111</v>
      </c>
      <c r="F972" s="4">
        <v>45212</v>
      </c>
      <c r="G972" s="5">
        <v>0.93307870370370372</v>
      </c>
      <c r="H972">
        <v>-76.722941669999997</v>
      </c>
      <c r="I972">
        <v>3.4826899999999998</v>
      </c>
      <c r="J972">
        <v>8</v>
      </c>
      <c r="K972" t="s">
        <v>119</v>
      </c>
      <c r="L972" t="s">
        <v>113</v>
      </c>
      <c r="M972">
        <v>2100</v>
      </c>
      <c r="N972">
        <v>1</v>
      </c>
      <c r="O972">
        <v>0</v>
      </c>
      <c r="P972">
        <v>11</v>
      </c>
      <c r="Q972" s="10" t="s">
        <v>543</v>
      </c>
      <c r="R972" s="10">
        <v>18.5</v>
      </c>
      <c r="S972" t="s">
        <v>442</v>
      </c>
      <c r="T972" t="s">
        <v>145</v>
      </c>
      <c r="V972" t="s">
        <v>9</v>
      </c>
      <c r="X972">
        <v>1</v>
      </c>
      <c r="AF972">
        <v>-76.722953329999996</v>
      </c>
      <c r="AG972">
        <v>3.482678333</v>
      </c>
      <c r="AP972" t="s">
        <v>441</v>
      </c>
      <c r="AQ972" t="s">
        <v>443</v>
      </c>
    </row>
    <row r="973" spans="1:43" x14ac:dyDescent="0.2">
      <c r="A973">
        <v>2023</v>
      </c>
      <c r="B973" t="s">
        <v>21</v>
      </c>
      <c r="C973" t="s">
        <v>22</v>
      </c>
      <c r="D973" t="s">
        <v>211</v>
      </c>
      <c r="E973" t="s">
        <v>135</v>
      </c>
      <c r="F973" s="4">
        <v>45212</v>
      </c>
      <c r="G973" s="5">
        <v>0.88513888888888892</v>
      </c>
      <c r="H973">
        <v>-76.723036669999999</v>
      </c>
      <c r="I973">
        <v>3.4795950000000002</v>
      </c>
      <c r="J973">
        <v>8</v>
      </c>
      <c r="K973" t="s">
        <v>119</v>
      </c>
      <c r="L973" t="s">
        <v>120</v>
      </c>
      <c r="M973">
        <v>2100</v>
      </c>
      <c r="N973">
        <v>1</v>
      </c>
      <c r="O973">
        <v>0</v>
      </c>
      <c r="P973">
        <v>10</v>
      </c>
      <c r="Q973" s="10" t="s">
        <v>543</v>
      </c>
      <c r="R973" s="10">
        <v>26</v>
      </c>
      <c r="S973" t="s">
        <v>442</v>
      </c>
      <c r="T973" t="s">
        <v>258</v>
      </c>
      <c r="V973" t="s">
        <v>4</v>
      </c>
      <c r="X973">
        <v>1</v>
      </c>
      <c r="AF973">
        <v>-76.722916670000004</v>
      </c>
      <c r="AG973">
        <v>3.4792366669999999</v>
      </c>
      <c r="AP973" t="s">
        <v>441</v>
      </c>
      <c r="AQ973" t="s">
        <v>443</v>
      </c>
    </row>
    <row r="974" spans="1:43" x14ac:dyDescent="0.2">
      <c r="A974">
        <v>2023</v>
      </c>
      <c r="B974" t="s">
        <v>21</v>
      </c>
      <c r="C974" t="s">
        <v>22</v>
      </c>
      <c r="D974" t="s">
        <v>211</v>
      </c>
      <c r="E974" t="s">
        <v>135</v>
      </c>
      <c r="F974" s="4">
        <v>45212</v>
      </c>
      <c r="G974" s="5">
        <v>0.88513888888888892</v>
      </c>
      <c r="H974">
        <v>-76.723036669999999</v>
      </c>
      <c r="I974">
        <v>3.4795950000000002</v>
      </c>
      <c r="J974">
        <v>8</v>
      </c>
      <c r="K974" t="s">
        <v>112</v>
      </c>
      <c r="L974" t="s">
        <v>113</v>
      </c>
      <c r="M974">
        <v>2100</v>
      </c>
      <c r="N974">
        <v>1</v>
      </c>
      <c r="O974">
        <v>0</v>
      </c>
      <c r="P974">
        <v>10</v>
      </c>
      <c r="Q974" s="10" t="s">
        <v>543</v>
      </c>
      <c r="R974" s="10">
        <v>26</v>
      </c>
      <c r="S974" t="s">
        <v>442</v>
      </c>
      <c r="T974" t="s">
        <v>258</v>
      </c>
      <c r="V974" t="s">
        <v>73</v>
      </c>
      <c r="X974">
        <v>1</v>
      </c>
      <c r="AF974">
        <v>-76.722916670000004</v>
      </c>
      <c r="AG974">
        <v>3.4792366669999999</v>
      </c>
      <c r="AP974" t="s">
        <v>441</v>
      </c>
      <c r="AQ974" t="s">
        <v>443</v>
      </c>
    </row>
    <row r="975" spans="1:43" x14ac:dyDescent="0.2">
      <c r="A975">
        <v>2023</v>
      </c>
      <c r="B975" t="s">
        <v>21</v>
      </c>
      <c r="C975" t="s">
        <v>22</v>
      </c>
      <c r="D975" t="s">
        <v>214</v>
      </c>
      <c r="E975" t="s">
        <v>127</v>
      </c>
      <c r="F975" s="4">
        <v>45212</v>
      </c>
      <c r="G975" s="5">
        <v>0.85099537037037032</v>
      </c>
      <c r="H975">
        <v>-76.722719999999995</v>
      </c>
      <c r="I975">
        <v>3.4782816670000001</v>
      </c>
      <c r="J975">
        <v>8</v>
      </c>
      <c r="K975" t="s">
        <v>119</v>
      </c>
      <c r="L975" t="s">
        <v>545</v>
      </c>
      <c r="M975">
        <v>2100</v>
      </c>
      <c r="N975">
        <v>1</v>
      </c>
      <c r="O975">
        <v>0</v>
      </c>
      <c r="P975">
        <v>10</v>
      </c>
      <c r="Q975" s="10" t="s">
        <v>543</v>
      </c>
      <c r="R975" s="10">
        <v>30</v>
      </c>
      <c r="S975" t="s">
        <v>318</v>
      </c>
      <c r="T975" t="s">
        <v>258</v>
      </c>
      <c r="V975" t="s">
        <v>8</v>
      </c>
      <c r="X975">
        <v>1</v>
      </c>
      <c r="AF975">
        <v>-76.722768329999994</v>
      </c>
      <c r="AG975">
        <v>3.4780600000000002</v>
      </c>
      <c r="AP975" t="s">
        <v>441</v>
      </c>
      <c r="AQ975" t="s">
        <v>443</v>
      </c>
    </row>
    <row r="976" spans="1:43" x14ac:dyDescent="0.2">
      <c r="A976">
        <v>2023</v>
      </c>
      <c r="B976" t="s">
        <v>21</v>
      </c>
      <c r="C976" t="s">
        <v>22</v>
      </c>
      <c r="D976" t="s">
        <v>214</v>
      </c>
      <c r="E976" t="s">
        <v>127</v>
      </c>
      <c r="F976" s="4">
        <v>45212</v>
      </c>
      <c r="G976" s="5">
        <v>0.87306712962962962</v>
      </c>
      <c r="H976">
        <v>-76.722949999999997</v>
      </c>
      <c r="I976">
        <v>3.4791416669999999</v>
      </c>
      <c r="J976">
        <v>8</v>
      </c>
      <c r="K976" t="s">
        <v>119</v>
      </c>
      <c r="L976" t="s">
        <v>120</v>
      </c>
      <c r="M976">
        <v>2100</v>
      </c>
      <c r="N976">
        <v>1</v>
      </c>
      <c r="O976">
        <v>0</v>
      </c>
      <c r="P976">
        <v>10</v>
      </c>
      <c r="Q976" s="10" t="s">
        <v>543</v>
      </c>
      <c r="R976" s="10">
        <v>30</v>
      </c>
      <c r="S976" t="s">
        <v>442</v>
      </c>
      <c r="T976" t="s">
        <v>258</v>
      </c>
      <c r="V976" t="s">
        <v>8</v>
      </c>
      <c r="X976">
        <v>5</v>
      </c>
      <c r="AF976">
        <v>-76.722768329999994</v>
      </c>
      <c r="AG976">
        <v>3.4780600000000002</v>
      </c>
      <c r="AP976" t="s">
        <v>441</v>
      </c>
      <c r="AQ976" t="s">
        <v>443</v>
      </c>
    </row>
    <row r="977" spans="1:43" x14ac:dyDescent="0.2">
      <c r="A977">
        <v>2023</v>
      </c>
      <c r="B977" t="s">
        <v>21</v>
      </c>
      <c r="C977" t="s">
        <v>23</v>
      </c>
      <c r="D977" t="s">
        <v>499</v>
      </c>
      <c r="E977" t="s">
        <v>127</v>
      </c>
      <c r="F977" s="4">
        <v>45212</v>
      </c>
      <c r="G977" s="5">
        <v>0.94750000000000001</v>
      </c>
      <c r="H977">
        <v>-76.723613330000006</v>
      </c>
      <c r="I977">
        <v>3.4846966670000001</v>
      </c>
      <c r="J977">
        <v>8</v>
      </c>
      <c r="N977">
        <v>0</v>
      </c>
      <c r="O977">
        <v>0</v>
      </c>
      <c r="P977">
        <v>5</v>
      </c>
      <c r="Q977" s="10" t="s">
        <v>543</v>
      </c>
      <c r="R977" s="10">
        <v>12</v>
      </c>
      <c r="V977" t="s">
        <v>47</v>
      </c>
      <c r="X977">
        <v>0</v>
      </c>
    </row>
    <row r="978" spans="1:43" x14ac:dyDescent="0.2">
      <c r="A978">
        <v>2023</v>
      </c>
      <c r="B978" t="s">
        <v>21</v>
      </c>
      <c r="C978" t="s">
        <v>22</v>
      </c>
      <c r="D978" t="s">
        <v>217</v>
      </c>
      <c r="E978" t="s">
        <v>122</v>
      </c>
      <c r="F978" s="4">
        <v>45212</v>
      </c>
      <c r="G978" s="5">
        <v>0.83006944444444442</v>
      </c>
      <c r="H978">
        <v>-76.722605000000001</v>
      </c>
      <c r="I978">
        <v>3.4776250000000002</v>
      </c>
      <c r="J978">
        <v>8</v>
      </c>
      <c r="K978" t="s">
        <v>119</v>
      </c>
      <c r="L978" t="s">
        <v>545</v>
      </c>
      <c r="M978">
        <v>2100</v>
      </c>
      <c r="N978">
        <v>1</v>
      </c>
      <c r="O978">
        <v>0</v>
      </c>
      <c r="P978">
        <v>10</v>
      </c>
      <c r="Q978" s="10" t="s">
        <v>543</v>
      </c>
      <c r="R978" s="10">
        <v>22.5</v>
      </c>
      <c r="S978" t="s">
        <v>442</v>
      </c>
      <c r="T978" t="s">
        <v>258</v>
      </c>
      <c r="V978" t="s">
        <v>8</v>
      </c>
      <c r="X978">
        <v>2</v>
      </c>
      <c r="AF978">
        <v>-76.722300000000004</v>
      </c>
      <c r="AG978">
        <v>3.477146667</v>
      </c>
      <c r="AP978" t="s">
        <v>441</v>
      </c>
      <c r="AQ978" t="s">
        <v>443</v>
      </c>
    </row>
    <row r="979" spans="1:43" x14ac:dyDescent="0.2">
      <c r="A979">
        <v>2023</v>
      </c>
      <c r="B979" t="s">
        <v>21</v>
      </c>
      <c r="C979" t="s">
        <v>22</v>
      </c>
      <c r="D979" t="s">
        <v>211</v>
      </c>
      <c r="E979" t="s">
        <v>135</v>
      </c>
      <c r="F979" s="4">
        <v>45212</v>
      </c>
      <c r="G979" s="5">
        <v>0.89254629629629634</v>
      </c>
      <c r="H979">
        <v>-76.723056670000005</v>
      </c>
      <c r="I979">
        <v>3.4796466669999999</v>
      </c>
      <c r="J979">
        <v>8</v>
      </c>
      <c r="K979" t="s">
        <v>119</v>
      </c>
      <c r="L979" t="s">
        <v>507</v>
      </c>
      <c r="M979">
        <v>2100</v>
      </c>
      <c r="N979">
        <v>1</v>
      </c>
      <c r="O979">
        <v>0</v>
      </c>
      <c r="P979">
        <v>10</v>
      </c>
      <c r="Q979" s="10" t="s">
        <v>543</v>
      </c>
      <c r="R979" s="10">
        <v>26</v>
      </c>
      <c r="S979" t="s">
        <v>442</v>
      </c>
      <c r="T979" t="s">
        <v>258</v>
      </c>
      <c r="V979" t="s">
        <v>4</v>
      </c>
      <c r="X979">
        <v>1</v>
      </c>
      <c r="AF979">
        <v>-76.722916670000004</v>
      </c>
      <c r="AG979">
        <v>3.4792366669999999</v>
      </c>
      <c r="AP979" t="s">
        <v>450</v>
      </c>
      <c r="AQ979" t="s">
        <v>443</v>
      </c>
    </row>
    <row r="980" spans="1:43" x14ac:dyDescent="0.2">
      <c r="A980">
        <v>2023</v>
      </c>
      <c r="B980" t="s">
        <v>21</v>
      </c>
      <c r="C980" t="s">
        <v>22</v>
      </c>
      <c r="D980" t="s">
        <v>163</v>
      </c>
      <c r="E980" t="s">
        <v>157</v>
      </c>
      <c r="F980" s="4">
        <v>45212</v>
      </c>
      <c r="G980" s="5">
        <v>0.9185416666666667</v>
      </c>
      <c r="H980">
        <v>-76.723193330000001</v>
      </c>
      <c r="I980">
        <v>3.480911667</v>
      </c>
      <c r="J980">
        <v>8</v>
      </c>
      <c r="K980" t="s">
        <v>119</v>
      </c>
      <c r="L980" t="s">
        <v>120</v>
      </c>
      <c r="M980">
        <v>2100</v>
      </c>
      <c r="N980">
        <v>1</v>
      </c>
      <c r="O980">
        <v>0</v>
      </c>
      <c r="P980">
        <v>10</v>
      </c>
      <c r="Q980" s="10" t="s">
        <v>543</v>
      </c>
      <c r="R980" s="10">
        <v>21</v>
      </c>
      <c r="S980" t="s">
        <v>442</v>
      </c>
      <c r="T980" t="s">
        <v>258</v>
      </c>
      <c r="V980" t="s">
        <v>8</v>
      </c>
      <c r="X980">
        <v>1</v>
      </c>
      <c r="AF980">
        <v>-76.723211669999998</v>
      </c>
      <c r="AG980">
        <v>3.4803066669999998</v>
      </c>
      <c r="AP980" t="s">
        <v>441</v>
      </c>
      <c r="AQ980" t="s">
        <v>443</v>
      </c>
    </row>
    <row r="981" spans="1:43" x14ac:dyDescent="0.2">
      <c r="A981">
        <v>2023</v>
      </c>
      <c r="B981" t="s">
        <v>21</v>
      </c>
      <c r="C981" t="s">
        <v>22</v>
      </c>
      <c r="D981" t="s">
        <v>163</v>
      </c>
      <c r="E981" t="s">
        <v>157</v>
      </c>
      <c r="F981" s="4">
        <v>45212</v>
      </c>
      <c r="G981" s="5">
        <v>0.9185416666666667</v>
      </c>
      <c r="H981">
        <v>-76.723193330000001</v>
      </c>
      <c r="I981">
        <v>3.480911667</v>
      </c>
      <c r="J981">
        <v>8</v>
      </c>
      <c r="K981" t="s">
        <v>112</v>
      </c>
      <c r="L981" t="s">
        <v>545</v>
      </c>
      <c r="M981">
        <v>2100</v>
      </c>
      <c r="N981">
        <v>1</v>
      </c>
      <c r="O981">
        <v>0</v>
      </c>
      <c r="P981">
        <v>10</v>
      </c>
      <c r="Q981" s="10" t="s">
        <v>543</v>
      </c>
      <c r="R981" s="10">
        <v>21</v>
      </c>
      <c r="S981" t="s">
        <v>442</v>
      </c>
      <c r="T981" t="s">
        <v>258</v>
      </c>
      <c r="V981" t="s">
        <v>4</v>
      </c>
      <c r="X981">
        <v>1</v>
      </c>
      <c r="AF981">
        <v>-76.723211669999998</v>
      </c>
      <c r="AG981">
        <v>3.4803066669999998</v>
      </c>
      <c r="AP981" t="s">
        <v>450</v>
      </c>
      <c r="AQ981" t="s">
        <v>443</v>
      </c>
    </row>
    <row r="982" spans="1:43" x14ac:dyDescent="0.2">
      <c r="A982">
        <v>2023</v>
      </c>
      <c r="B982" t="s">
        <v>21</v>
      </c>
      <c r="C982" t="s">
        <v>22</v>
      </c>
      <c r="D982" t="s">
        <v>163</v>
      </c>
      <c r="E982" t="s">
        <v>157</v>
      </c>
      <c r="F982" s="4">
        <v>45212</v>
      </c>
      <c r="G982" s="5">
        <v>0.9185416666666667</v>
      </c>
      <c r="H982">
        <v>-76.723193330000001</v>
      </c>
      <c r="I982">
        <v>3.480911667</v>
      </c>
      <c r="J982">
        <v>8</v>
      </c>
      <c r="K982" t="s">
        <v>112</v>
      </c>
      <c r="L982" t="s">
        <v>545</v>
      </c>
      <c r="M982">
        <v>2100</v>
      </c>
      <c r="N982">
        <v>1</v>
      </c>
      <c r="O982">
        <v>0</v>
      </c>
      <c r="P982">
        <v>10</v>
      </c>
      <c r="Q982" s="10" t="s">
        <v>543</v>
      </c>
      <c r="R982" s="10">
        <v>21</v>
      </c>
      <c r="S982" t="s">
        <v>442</v>
      </c>
      <c r="T982" t="s">
        <v>258</v>
      </c>
      <c r="V982" t="s">
        <v>8</v>
      </c>
      <c r="X982">
        <v>1</v>
      </c>
      <c r="AF982">
        <v>-76.723211669999998</v>
      </c>
      <c r="AG982">
        <v>3.4803066669999998</v>
      </c>
      <c r="AP982" t="s">
        <v>441</v>
      </c>
      <c r="AQ982" t="s">
        <v>443</v>
      </c>
    </row>
    <row r="983" spans="1:43" x14ac:dyDescent="0.2">
      <c r="A983">
        <v>2023</v>
      </c>
      <c r="B983" t="s">
        <v>21</v>
      </c>
      <c r="C983" t="s">
        <v>22</v>
      </c>
      <c r="D983" t="s">
        <v>214</v>
      </c>
      <c r="E983" t="s">
        <v>127</v>
      </c>
      <c r="F983" s="4">
        <v>45212</v>
      </c>
      <c r="G983" s="5">
        <v>0.86357638888888888</v>
      </c>
      <c r="H983">
        <v>-76.722828329999999</v>
      </c>
      <c r="I983">
        <v>3.4787033329999999</v>
      </c>
      <c r="J983">
        <v>8</v>
      </c>
      <c r="K983" t="s">
        <v>112</v>
      </c>
      <c r="L983" t="s">
        <v>544</v>
      </c>
      <c r="M983">
        <v>2100</v>
      </c>
      <c r="N983">
        <v>1</v>
      </c>
      <c r="O983">
        <v>0</v>
      </c>
      <c r="P983">
        <v>10</v>
      </c>
      <c r="Q983" s="10" t="s">
        <v>543</v>
      </c>
      <c r="R983" s="10">
        <v>30</v>
      </c>
      <c r="S983" t="s">
        <v>442</v>
      </c>
      <c r="T983" t="s">
        <v>258</v>
      </c>
      <c r="V983" t="s">
        <v>2</v>
      </c>
      <c r="X983">
        <v>2</v>
      </c>
      <c r="AF983">
        <v>-76.722768329999994</v>
      </c>
      <c r="AG983">
        <v>3.4780600000000002</v>
      </c>
      <c r="AP983" t="s">
        <v>441</v>
      </c>
      <c r="AQ983" t="s">
        <v>443</v>
      </c>
    </row>
    <row r="984" spans="1:43" x14ac:dyDescent="0.2">
      <c r="A984">
        <v>2023</v>
      </c>
      <c r="B984" t="s">
        <v>21</v>
      </c>
      <c r="C984" t="s">
        <v>22</v>
      </c>
      <c r="D984" t="s">
        <v>217</v>
      </c>
      <c r="E984" t="s">
        <v>122</v>
      </c>
      <c r="F984" s="4">
        <v>45212</v>
      </c>
      <c r="G984" s="5">
        <v>0.81526620370370373</v>
      </c>
      <c r="H984">
        <v>-76.722466670000003</v>
      </c>
      <c r="I984">
        <v>3.4773516670000002</v>
      </c>
      <c r="J984">
        <v>8</v>
      </c>
      <c r="K984" t="s">
        <v>119</v>
      </c>
      <c r="L984" t="s">
        <v>545</v>
      </c>
      <c r="M984">
        <v>2100</v>
      </c>
      <c r="N984">
        <v>1</v>
      </c>
      <c r="O984">
        <v>0</v>
      </c>
      <c r="P984">
        <v>10</v>
      </c>
      <c r="Q984" s="10" t="s">
        <v>543</v>
      </c>
      <c r="R984" s="10">
        <v>22.5</v>
      </c>
      <c r="S984" t="s">
        <v>442</v>
      </c>
      <c r="T984" t="s">
        <v>258</v>
      </c>
      <c r="V984" t="s">
        <v>2</v>
      </c>
      <c r="X984">
        <v>1</v>
      </c>
      <c r="AF984">
        <v>-76.722300000000004</v>
      </c>
      <c r="AG984">
        <v>3.477146667</v>
      </c>
      <c r="AP984" t="s">
        <v>441</v>
      </c>
      <c r="AQ984" t="s">
        <v>443</v>
      </c>
    </row>
    <row r="985" spans="1:43" x14ac:dyDescent="0.2">
      <c r="A985">
        <v>2023</v>
      </c>
      <c r="B985" t="s">
        <v>21</v>
      </c>
      <c r="C985" t="s">
        <v>22</v>
      </c>
      <c r="D985" t="s">
        <v>214</v>
      </c>
      <c r="E985" t="s">
        <v>127</v>
      </c>
      <c r="F985" s="4">
        <v>45212</v>
      </c>
      <c r="G985" s="5">
        <v>0.85158564814814819</v>
      </c>
      <c r="H985">
        <v>-76.722763330000006</v>
      </c>
      <c r="I985">
        <v>3.4783083330000002</v>
      </c>
      <c r="J985">
        <v>8</v>
      </c>
      <c r="K985" t="s">
        <v>119</v>
      </c>
      <c r="L985" t="s">
        <v>546</v>
      </c>
      <c r="M985">
        <v>2100</v>
      </c>
      <c r="N985">
        <v>1</v>
      </c>
      <c r="O985">
        <v>0</v>
      </c>
      <c r="P985">
        <v>10</v>
      </c>
      <c r="Q985" s="10" t="s">
        <v>543</v>
      </c>
      <c r="R985" s="10">
        <v>30</v>
      </c>
      <c r="S985" t="s">
        <v>442</v>
      </c>
      <c r="T985" t="s">
        <v>258</v>
      </c>
      <c r="V985" t="s">
        <v>73</v>
      </c>
      <c r="X985">
        <v>2</v>
      </c>
      <c r="AF985">
        <v>-76.722768329999994</v>
      </c>
      <c r="AG985">
        <v>3.4780600000000002</v>
      </c>
      <c r="AP985" t="s">
        <v>441</v>
      </c>
      <c r="AQ985" t="s">
        <v>443</v>
      </c>
    </row>
    <row r="986" spans="1:43" x14ac:dyDescent="0.2">
      <c r="A986">
        <v>2023</v>
      </c>
      <c r="B986" t="s">
        <v>21</v>
      </c>
      <c r="C986" t="s">
        <v>22</v>
      </c>
      <c r="D986" t="s">
        <v>163</v>
      </c>
      <c r="E986" t="s">
        <v>157</v>
      </c>
      <c r="F986" s="4">
        <v>45212</v>
      </c>
      <c r="G986" s="5">
        <v>0.92055555555555557</v>
      </c>
      <c r="H986">
        <v>-76.723176670000001</v>
      </c>
      <c r="I986">
        <v>3.4809733330000001</v>
      </c>
      <c r="J986">
        <v>8</v>
      </c>
      <c r="K986" t="s">
        <v>112</v>
      </c>
      <c r="L986" t="s">
        <v>120</v>
      </c>
      <c r="M986">
        <v>2100</v>
      </c>
      <c r="N986">
        <v>1</v>
      </c>
      <c r="O986">
        <v>0</v>
      </c>
      <c r="P986">
        <v>10</v>
      </c>
      <c r="Q986" s="10" t="s">
        <v>543</v>
      </c>
      <c r="R986" s="10">
        <v>21</v>
      </c>
      <c r="S986" t="s">
        <v>442</v>
      </c>
      <c r="T986" t="s">
        <v>258</v>
      </c>
      <c r="V986" t="s">
        <v>7</v>
      </c>
      <c r="X986">
        <v>1</v>
      </c>
      <c r="AF986">
        <v>-76.723211669999998</v>
      </c>
      <c r="AG986">
        <v>3.4803066669999998</v>
      </c>
      <c r="AP986" t="s">
        <v>441</v>
      </c>
      <c r="AQ986" t="s">
        <v>443</v>
      </c>
    </row>
    <row r="987" spans="1:43" x14ac:dyDescent="0.2">
      <c r="A987">
        <v>2023</v>
      </c>
      <c r="B987" t="s">
        <v>21</v>
      </c>
      <c r="C987" t="s">
        <v>22</v>
      </c>
      <c r="D987" t="s">
        <v>211</v>
      </c>
      <c r="E987" t="s">
        <v>135</v>
      </c>
      <c r="F987" s="4">
        <v>45212</v>
      </c>
      <c r="G987" s="5">
        <v>0.89119212962962968</v>
      </c>
      <c r="H987">
        <v>-76.723070000000007</v>
      </c>
      <c r="I987">
        <v>3.47966</v>
      </c>
      <c r="J987">
        <v>8</v>
      </c>
      <c r="K987" t="s">
        <v>112</v>
      </c>
      <c r="L987" t="s">
        <v>507</v>
      </c>
      <c r="M987">
        <v>2100</v>
      </c>
      <c r="N987">
        <v>1</v>
      </c>
      <c r="O987">
        <v>0</v>
      </c>
      <c r="P987">
        <v>10</v>
      </c>
      <c r="Q987" s="10" t="s">
        <v>543</v>
      </c>
      <c r="R987" s="10">
        <v>26</v>
      </c>
      <c r="S987" t="s">
        <v>442</v>
      </c>
      <c r="T987" t="s">
        <v>258</v>
      </c>
      <c r="V987" t="s">
        <v>62</v>
      </c>
      <c r="X987">
        <v>1</v>
      </c>
      <c r="AF987">
        <v>-76.722916670000004</v>
      </c>
      <c r="AG987">
        <v>3.4792366669999999</v>
      </c>
      <c r="AP987" t="s">
        <v>441</v>
      </c>
      <c r="AQ987" t="s">
        <v>443</v>
      </c>
    </row>
    <row r="988" spans="1:43" x14ac:dyDescent="0.2">
      <c r="A988">
        <v>2023</v>
      </c>
      <c r="B988" t="s">
        <v>21</v>
      </c>
      <c r="C988" t="s">
        <v>22</v>
      </c>
      <c r="D988" t="s">
        <v>217</v>
      </c>
      <c r="E988" t="s">
        <v>122</v>
      </c>
      <c r="F988" s="4">
        <v>45212</v>
      </c>
      <c r="G988" s="5">
        <v>0.83994212962962966</v>
      </c>
      <c r="H988">
        <v>-76.722768329999994</v>
      </c>
      <c r="I988">
        <v>3.4778583329999999</v>
      </c>
      <c r="J988">
        <v>8</v>
      </c>
      <c r="K988" t="s">
        <v>119</v>
      </c>
      <c r="L988" t="s">
        <v>546</v>
      </c>
      <c r="M988">
        <v>2100</v>
      </c>
      <c r="N988">
        <v>1</v>
      </c>
      <c r="O988">
        <v>0</v>
      </c>
      <c r="P988">
        <v>10</v>
      </c>
      <c r="Q988" s="10" t="s">
        <v>543</v>
      </c>
      <c r="R988" s="10">
        <v>22.5</v>
      </c>
      <c r="S988" t="s">
        <v>442</v>
      </c>
      <c r="T988" t="s">
        <v>258</v>
      </c>
      <c r="V988" t="s">
        <v>8</v>
      </c>
      <c r="X988">
        <v>1</v>
      </c>
      <c r="AF988">
        <v>-76.722300000000004</v>
      </c>
      <c r="AG988">
        <v>3.477146667</v>
      </c>
      <c r="AP988" t="s">
        <v>441</v>
      </c>
      <c r="AQ988" t="s">
        <v>443</v>
      </c>
    </row>
    <row r="989" spans="1:43" x14ac:dyDescent="0.2">
      <c r="A989">
        <v>2023</v>
      </c>
      <c r="B989" t="s">
        <v>21</v>
      </c>
      <c r="C989" t="s">
        <v>22</v>
      </c>
      <c r="D989" t="s">
        <v>217</v>
      </c>
      <c r="E989" t="s">
        <v>122</v>
      </c>
      <c r="F989" s="4">
        <v>45212</v>
      </c>
      <c r="G989" s="5">
        <v>0.83994212962962966</v>
      </c>
      <c r="H989">
        <v>-76.722768329999994</v>
      </c>
      <c r="I989">
        <v>3.4778583329999999</v>
      </c>
      <c r="J989">
        <v>8</v>
      </c>
      <c r="K989" t="s">
        <v>119</v>
      </c>
      <c r="L989" t="s">
        <v>120</v>
      </c>
      <c r="M989">
        <v>2100</v>
      </c>
      <c r="N989">
        <v>1</v>
      </c>
      <c r="O989">
        <v>0</v>
      </c>
      <c r="P989">
        <v>10</v>
      </c>
      <c r="Q989" s="10" t="s">
        <v>543</v>
      </c>
      <c r="R989" s="10">
        <v>22.5</v>
      </c>
      <c r="S989" t="s">
        <v>442</v>
      </c>
      <c r="T989" t="s">
        <v>258</v>
      </c>
      <c r="V989" t="s">
        <v>2</v>
      </c>
      <c r="X989">
        <v>1</v>
      </c>
      <c r="AF989">
        <v>-76.722300000000004</v>
      </c>
      <c r="AG989">
        <v>3.477146667</v>
      </c>
      <c r="AP989" t="s">
        <v>441</v>
      </c>
      <c r="AQ989" t="s">
        <v>244</v>
      </c>
    </row>
    <row r="990" spans="1:43" x14ac:dyDescent="0.2">
      <c r="A990">
        <v>2023</v>
      </c>
      <c r="B990" t="s">
        <v>21</v>
      </c>
      <c r="C990" t="s">
        <v>22</v>
      </c>
      <c r="D990" t="s">
        <v>217</v>
      </c>
      <c r="E990" t="s">
        <v>122</v>
      </c>
      <c r="F990" s="4">
        <v>45212</v>
      </c>
      <c r="G990" s="5">
        <v>0.83994212962962966</v>
      </c>
      <c r="H990">
        <v>-76.722768329999994</v>
      </c>
      <c r="I990">
        <v>3.4778583329999999</v>
      </c>
      <c r="J990">
        <v>8</v>
      </c>
      <c r="K990" t="s">
        <v>112</v>
      </c>
      <c r="L990" t="s">
        <v>545</v>
      </c>
      <c r="M990">
        <v>2100</v>
      </c>
      <c r="N990">
        <v>1</v>
      </c>
      <c r="O990">
        <v>0</v>
      </c>
      <c r="P990">
        <v>10</v>
      </c>
      <c r="Q990" s="10" t="s">
        <v>543</v>
      </c>
      <c r="R990" s="10">
        <v>22.5</v>
      </c>
      <c r="S990" t="s">
        <v>442</v>
      </c>
      <c r="T990" t="s">
        <v>258</v>
      </c>
      <c r="V990" t="s">
        <v>8</v>
      </c>
      <c r="X990">
        <v>1</v>
      </c>
      <c r="AF990">
        <v>-76.722300000000004</v>
      </c>
      <c r="AG990">
        <v>3.477146667</v>
      </c>
      <c r="AP990" t="s">
        <v>441</v>
      </c>
      <c r="AQ990" t="s">
        <v>443</v>
      </c>
    </row>
    <row r="991" spans="1:43" x14ac:dyDescent="0.2">
      <c r="A991">
        <v>2023</v>
      </c>
      <c r="B991" t="s">
        <v>21</v>
      </c>
      <c r="C991" t="s">
        <v>67</v>
      </c>
      <c r="D991" t="s">
        <v>288</v>
      </c>
      <c r="E991" t="s">
        <v>135</v>
      </c>
      <c r="F991" s="4">
        <v>45213</v>
      </c>
      <c r="G991" s="5">
        <v>0.80592592592592593</v>
      </c>
      <c r="H991">
        <v>-76.718265000000002</v>
      </c>
      <c r="I991">
        <v>3.4861566669999999</v>
      </c>
      <c r="J991">
        <v>8</v>
      </c>
      <c r="K991" t="s">
        <v>119</v>
      </c>
      <c r="L991" t="s">
        <v>545</v>
      </c>
      <c r="N991">
        <v>1</v>
      </c>
      <c r="O991">
        <v>0</v>
      </c>
      <c r="P991">
        <v>5.5</v>
      </c>
      <c r="Q991" s="10" t="s">
        <v>543</v>
      </c>
      <c r="R991" s="10" t="s">
        <v>543</v>
      </c>
      <c r="S991" t="s">
        <v>269</v>
      </c>
      <c r="T991" t="s">
        <v>255</v>
      </c>
      <c r="V991" t="s">
        <v>40</v>
      </c>
      <c r="X991">
        <v>1</v>
      </c>
      <c r="AF991">
        <v>-76.718265000000002</v>
      </c>
      <c r="AG991">
        <v>3.4861566669999999</v>
      </c>
      <c r="AP991" t="s">
        <v>441</v>
      </c>
      <c r="AQ991" t="s">
        <v>244</v>
      </c>
    </row>
    <row r="992" spans="1:43" x14ac:dyDescent="0.2">
      <c r="A992">
        <v>2023</v>
      </c>
      <c r="B992" t="s">
        <v>21</v>
      </c>
      <c r="C992" t="s">
        <v>67</v>
      </c>
      <c r="D992" t="s">
        <v>288</v>
      </c>
      <c r="E992" t="s">
        <v>135</v>
      </c>
      <c r="F992" s="4">
        <v>45213</v>
      </c>
      <c r="G992" s="5">
        <v>0.80592592592592593</v>
      </c>
      <c r="H992">
        <v>-76.718265000000002</v>
      </c>
      <c r="I992">
        <v>3.4861566669999999</v>
      </c>
      <c r="J992">
        <v>8</v>
      </c>
      <c r="K992" t="s">
        <v>119</v>
      </c>
      <c r="L992" t="s">
        <v>545</v>
      </c>
      <c r="N992">
        <v>1</v>
      </c>
      <c r="O992">
        <v>0</v>
      </c>
      <c r="P992">
        <v>5.5</v>
      </c>
      <c r="Q992" s="10" t="s">
        <v>543</v>
      </c>
      <c r="R992" s="10" t="s">
        <v>543</v>
      </c>
      <c r="S992" t="s">
        <v>269</v>
      </c>
      <c r="T992" t="s">
        <v>255</v>
      </c>
      <c r="V992" t="s">
        <v>43</v>
      </c>
      <c r="X992">
        <v>1</v>
      </c>
      <c r="AF992">
        <v>-76.718265000000002</v>
      </c>
      <c r="AG992">
        <v>3.4861566669999999</v>
      </c>
      <c r="AP992" t="s">
        <v>441</v>
      </c>
      <c r="AQ992" t="s">
        <v>244</v>
      </c>
    </row>
    <row r="993" spans="1:43" x14ac:dyDescent="0.2">
      <c r="A993">
        <v>2023</v>
      </c>
      <c r="B993" t="s">
        <v>21</v>
      </c>
      <c r="C993" t="s">
        <v>67</v>
      </c>
      <c r="D993" t="s">
        <v>284</v>
      </c>
      <c r="E993" t="s">
        <v>157</v>
      </c>
      <c r="F993" s="4">
        <v>45213</v>
      </c>
      <c r="G993" s="5">
        <v>0.79347222222222225</v>
      </c>
      <c r="H993">
        <v>-76.718818330000005</v>
      </c>
      <c r="I993">
        <v>3.487221667</v>
      </c>
      <c r="J993">
        <v>8</v>
      </c>
      <c r="K993" t="s">
        <v>112</v>
      </c>
      <c r="L993" t="s">
        <v>545</v>
      </c>
      <c r="N993">
        <v>1</v>
      </c>
      <c r="O993">
        <v>0</v>
      </c>
      <c r="P993">
        <v>3.25</v>
      </c>
      <c r="Q993" s="10" t="s">
        <v>543</v>
      </c>
      <c r="R993" s="10" t="s">
        <v>543</v>
      </c>
      <c r="S993" t="s">
        <v>361</v>
      </c>
      <c r="T993" t="s">
        <v>255</v>
      </c>
      <c r="V993" t="s">
        <v>9</v>
      </c>
      <c r="X993">
        <v>3</v>
      </c>
      <c r="AF993">
        <v>-76.71884</v>
      </c>
      <c r="AG993">
        <v>3.487211667</v>
      </c>
      <c r="AP993" t="s">
        <v>441</v>
      </c>
      <c r="AQ993" t="s">
        <v>244</v>
      </c>
    </row>
    <row r="994" spans="1:43" x14ac:dyDescent="0.2">
      <c r="A994">
        <v>2023</v>
      </c>
      <c r="B994" t="s">
        <v>21</v>
      </c>
      <c r="C994" t="s">
        <v>67</v>
      </c>
      <c r="D994" t="s">
        <v>284</v>
      </c>
      <c r="E994" t="s">
        <v>157</v>
      </c>
      <c r="F994" s="4">
        <v>45213</v>
      </c>
      <c r="G994" s="5">
        <v>0.79461805555555554</v>
      </c>
      <c r="H994">
        <v>-76.718746670000002</v>
      </c>
      <c r="I994">
        <v>3.4870450000000002</v>
      </c>
      <c r="J994">
        <v>8</v>
      </c>
      <c r="K994" t="s">
        <v>112</v>
      </c>
      <c r="L994" t="s">
        <v>545</v>
      </c>
      <c r="N994">
        <v>1</v>
      </c>
      <c r="O994">
        <v>0</v>
      </c>
      <c r="P994">
        <v>3.25</v>
      </c>
      <c r="Q994" s="10" t="s">
        <v>543</v>
      </c>
      <c r="R994" s="10" t="s">
        <v>543</v>
      </c>
      <c r="S994" t="s">
        <v>269</v>
      </c>
      <c r="T994" t="s">
        <v>255</v>
      </c>
      <c r="V994" t="s">
        <v>43</v>
      </c>
      <c r="X994">
        <v>1</v>
      </c>
      <c r="AF994">
        <v>-76.71884</v>
      </c>
      <c r="AG994">
        <v>3.487211667</v>
      </c>
      <c r="AP994" t="s">
        <v>441</v>
      </c>
      <c r="AQ994" t="s">
        <v>244</v>
      </c>
    </row>
    <row r="995" spans="1:43" x14ac:dyDescent="0.2">
      <c r="A995">
        <v>2023</v>
      </c>
      <c r="B995" t="s">
        <v>21</v>
      </c>
      <c r="C995" t="s">
        <v>67</v>
      </c>
      <c r="D995" t="s">
        <v>284</v>
      </c>
      <c r="E995" t="s">
        <v>157</v>
      </c>
      <c r="F995" s="4">
        <v>45213</v>
      </c>
      <c r="G995" s="5">
        <v>0.79811342592592593</v>
      </c>
      <c r="H995">
        <v>-76.718553330000006</v>
      </c>
      <c r="I995">
        <v>3.4866766669999998</v>
      </c>
      <c r="J995">
        <v>8</v>
      </c>
      <c r="K995" t="s">
        <v>119</v>
      </c>
      <c r="L995" t="s">
        <v>545</v>
      </c>
      <c r="N995">
        <v>1</v>
      </c>
      <c r="O995">
        <v>0</v>
      </c>
      <c r="P995">
        <v>3.25</v>
      </c>
      <c r="Q995" s="10" t="s">
        <v>543</v>
      </c>
      <c r="R995" s="10" t="s">
        <v>543</v>
      </c>
      <c r="S995" t="s">
        <v>442</v>
      </c>
      <c r="T995" t="s">
        <v>255</v>
      </c>
      <c r="V995" t="s">
        <v>43</v>
      </c>
      <c r="X995">
        <v>1</v>
      </c>
      <c r="AF995">
        <v>-76.71884</v>
      </c>
      <c r="AG995">
        <v>3.487211667</v>
      </c>
      <c r="AP995" t="s">
        <v>467</v>
      </c>
      <c r="AQ995" t="s">
        <v>244</v>
      </c>
    </row>
    <row r="996" spans="1:43" x14ac:dyDescent="0.2">
      <c r="A996">
        <v>2023</v>
      </c>
      <c r="B996" t="s">
        <v>21</v>
      </c>
      <c r="C996" t="s">
        <v>67</v>
      </c>
      <c r="D996" t="s">
        <v>288</v>
      </c>
      <c r="E996" t="s">
        <v>135</v>
      </c>
      <c r="F996" s="4">
        <v>45213</v>
      </c>
      <c r="G996" s="5">
        <v>0.81149305555555551</v>
      </c>
      <c r="H996">
        <v>-76.717955000000003</v>
      </c>
      <c r="I996">
        <v>3.486075</v>
      </c>
      <c r="J996">
        <v>8</v>
      </c>
      <c r="K996" t="s">
        <v>112</v>
      </c>
      <c r="L996" t="s">
        <v>120</v>
      </c>
      <c r="N996">
        <v>1</v>
      </c>
      <c r="O996">
        <v>0</v>
      </c>
      <c r="P996">
        <v>5.5</v>
      </c>
      <c r="Q996" s="10" t="s">
        <v>543</v>
      </c>
      <c r="R996" s="10" t="s">
        <v>543</v>
      </c>
      <c r="S996" t="s">
        <v>269</v>
      </c>
      <c r="T996" t="s">
        <v>255</v>
      </c>
      <c r="V996" t="s">
        <v>43</v>
      </c>
      <c r="X996">
        <v>2</v>
      </c>
      <c r="AA996" t="s">
        <v>452</v>
      </c>
      <c r="AF996">
        <v>-76.718265000000002</v>
      </c>
      <c r="AG996">
        <v>3.4861566669999999</v>
      </c>
      <c r="AP996" t="s">
        <v>441</v>
      </c>
      <c r="AQ996" t="s">
        <v>244</v>
      </c>
    </row>
    <row r="997" spans="1:43" x14ac:dyDescent="0.2">
      <c r="A997">
        <v>2023</v>
      </c>
      <c r="B997" t="s">
        <v>49</v>
      </c>
      <c r="C997" t="s">
        <v>54</v>
      </c>
      <c r="D997" t="s">
        <v>362</v>
      </c>
      <c r="E997" t="s">
        <v>135</v>
      </c>
      <c r="F997" s="4">
        <v>45253</v>
      </c>
      <c r="G997" s="5">
        <v>0</v>
      </c>
      <c r="H997">
        <v>-76.888499999999993</v>
      </c>
      <c r="I997">
        <v>3.5971000000000002</v>
      </c>
      <c r="J997">
        <v>8</v>
      </c>
      <c r="K997" t="s">
        <v>119</v>
      </c>
      <c r="L997" t="s">
        <v>547</v>
      </c>
      <c r="M997">
        <v>563</v>
      </c>
      <c r="N997">
        <v>1</v>
      </c>
      <c r="O997">
        <v>0</v>
      </c>
      <c r="P997">
        <v>11.5</v>
      </c>
      <c r="Q997" s="10" t="s">
        <v>543</v>
      </c>
      <c r="R997" s="10">
        <v>14</v>
      </c>
      <c r="S997" t="s">
        <v>518</v>
      </c>
      <c r="T997" t="s">
        <v>258</v>
      </c>
      <c r="V997" t="s">
        <v>48</v>
      </c>
      <c r="X997">
        <v>1</v>
      </c>
      <c r="AF997">
        <v>-76.888499999999993</v>
      </c>
      <c r="AG997">
        <v>3.5979999999999999</v>
      </c>
      <c r="AP997" t="s">
        <v>441</v>
      </c>
      <c r="AQ997" t="s">
        <v>443</v>
      </c>
    </row>
    <row r="998" spans="1:43" x14ac:dyDescent="0.2">
      <c r="A998">
        <v>2023</v>
      </c>
      <c r="B998" t="s">
        <v>49</v>
      </c>
      <c r="C998" t="s">
        <v>54</v>
      </c>
      <c r="D998" t="s">
        <v>362</v>
      </c>
      <c r="E998" t="s">
        <v>135</v>
      </c>
      <c r="F998" s="4">
        <v>45253</v>
      </c>
      <c r="G998" s="5">
        <v>0</v>
      </c>
      <c r="H998">
        <v>-76.888599999999997</v>
      </c>
      <c r="I998">
        <v>3.597</v>
      </c>
      <c r="J998">
        <v>8</v>
      </c>
      <c r="K998" t="s">
        <v>119</v>
      </c>
      <c r="L998" t="s">
        <v>507</v>
      </c>
      <c r="M998">
        <v>563</v>
      </c>
      <c r="N998">
        <v>1</v>
      </c>
      <c r="O998">
        <v>0</v>
      </c>
      <c r="P998">
        <v>11.5</v>
      </c>
      <c r="Q998" s="10" t="s">
        <v>543</v>
      </c>
      <c r="R998" s="10">
        <v>14</v>
      </c>
      <c r="S998" t="s">
        <v>518</v>
      </c>
      <c r="T998" t="s">
        <v>258</v>
      </c>
      <c r="V998" t="s">
        <v>76</v>
      </c>
      <c r="X998">
        <v>3</v>
      </c>
      <c r="AF998">
        <v>-76.888499999999993</v>
      </c>
      <c r="AG998">
        <v>3.5979999999999999</v>
      </c>
      <c r="AP998" t="s">
        <v>441</v>
      </c>
      <c r="AQ998" t="s">
        <v>443</v>
      </c>
    </row>
    <row r="999" spans="1:43" x14ac:dyDescent="0.2">
      <c r="A999">
        <v>2023</v>
      </c>
      <c r="B999" t="s">
        <v>49</v>
      </c>
      <c r="C999" t="s">
        <v>54</v>
      </c>
      <c r="D999" t="s">
        <v>362</v>
      </c>
      <c r="E999" t="s">
        <v>135</v>
      </c>
      <c r="F999" s="4">
        <v>45253</v>
      </c>
      <c r="G999" s="5">
        <v>0</v>
      </c>
      <c r="H999">
        <v>-76.888499999999993</v>
      </c>
      <c r="I999">
        <v>3.5971000000000002</v>
      </c>
      <c r="J999">
        <v>8</v>
      </c>
      <c r="K999" t="s">
        <v>119</v>
      </c>
      <c r="L999" t="s">
        <v>507</v>
      </c>
      <c r="M999">
        <v>563</v>
      </c>
      <c r="N999">
        <v>1</v>
      </c>
      <c r="O999">
        <v>0</v>
      </c>
      <c r="P999">
        <v>11.5</v>
      </c>
      <c r="Q999" s="10" t="s">
        <v>543</v>
      </c>
      <c r="R999" s="10">
        <v>14</v>
      </c>
      <c r="S999" t="s">
        <v>518</v>
      </c>
      <c r="T999" t="s">
        <v>258</v>
      </c>
      <c r="V999" t="s">
        <v>48</v>
      </c>
      <c r="X999">
        <v>1</v>
      </c>
      <c r="AF999">
        <v>-76.888499999999993</v>
      </c>
      <c r="AG999">
        <v>3.5979999999999999</v>
      </c>
      <c r="AP999" t="s">
        <v>441</v>
      </c>
      <c r="AQ999" t="s">
        <v>244</v>
      </c>
    </row>
    <row r="1000" spans="1:43" x14ac:dyDescent="0.2">
      <c r="A1000">
        <v>2023</v>
      </c>
      <c r="B1000" t="s">
        <v>49</v>
      </c>
      <c r="C1000" t="s">
        <v>54</v>
      </c>
      <c r="D1000" t="s">
        <v>362</v>
      </c>
      <c r="E1000" t="s">
        <v>135</v>
      </c>
      <c r="F1000" s="4">
        <v>45253</v>
      </c>
      <c r="G1000" s="5">
        <v>0</v>
      </c>
      <c r="H1000">
        <v>-76.888599999999997</v>
      </c>
      <c r="I1000">
        <v>3.5973999999999999</v>
      </c>
      <c r="J1000">
        <v>8</v>
      </c>
      <c r="K1000" t="s">
        <v>119</v>
      </c>
      <c r="L1000" t="s">
        <v>547</v>
      </c>
      <c r="M1000">
        <v>563</v>
      </c>
      <c r="N1000">
        <v>1</v>
      </c>
      <c r="O1000">
        <v>0</v>
      </c>
      <c r="P1000">
        <v>11.5</v>
      </c>
      <c r="Q1000" s="10" t="s">
        <v>543</v>
      </c>
      <c r="R1000" s="10">
        <v>14</v>
      </c>
      <c r="S1000" t="s">
        <v>518</v>
      </c>
      <c r="T1000" t="s">
        <v>258</v>
      </c>
      <c r="V1000" t="s">
        <v>48</v>
      </c>
      <c r="X1000">
        <v>1</v>
      </c>
      <c r="AF1000">
        <v>-76.888499999999993</v>
      </c>
      <c r="AG1000">
        <v>3.5979999999999999</v>
      </c>
      <c r="AP1000" t="s">
        <v>441</v>
      </c>
      <c r="AQ1000" t="s">
        <v>443</v>
      </c>
    </row>
    <row r="1001" spans="1:43" x14ac:dyDescent="0.2">
      <c r="A1001">
        <v>2023</v>
      </c>
      <c r="B1001" t="s">
        <v>10</v>
      </c>
      <c r="C1001" t="s">
        <v>12</v>
      </c>
      <c r="D1001" t="s">
        <v>192</v>
      </c>
      <c r="E1001" t="s">
        <v>135</v>
      </c>
      <c r="F1001" s="4">
        <v>45246</v>
      </c>
      <c r="G1001" s="5">
        <v>0</v>
      </c>
      <c r="H1001">
        <v>-76.651899999999998</v>
      </c>
      <c r="I1001">
        <v>3.3534999999999999</v>
      </c>
      <c r="J1001">
        <v>8</v>
      </c>
      <c r="K1001" t="s">
        <v>112</v>
      </c>
      <c r="L1001" t="s">
        <v>120</v>
      </c>
      <c r="M1001">
        <v>2570</v>
      </c>
      <c r="N1001">
        <v>1</v>
      </c>
      <c r="O1001">
        <v>0</v>
      </c>
      <c r="P1001">
        <v>33</v>
      </c>
      <c r="Q1001" s="10" t="s">
        <v>543</v>
      </c>
      <c r="R1001" s="10">
        <v>15</v>
      </c>
      <c r="S1001" t="s">
        <v>518</v>
      </c>
      <c r="T1001" t="s">
        <v>145</v>
      </c>
      <c r="V1001" t="s">
        <v>7</v>
      </c>
      <c r="X1001">
        <v>1</v>
      </c>
      <c r="AF1001">
        <v>-76.652799999999999</v>
      </c>
      <c r="AG1001">
        <v>3.3536000000000001</v>
      </c>
      <c r="AP1001" t="s">
        <v>450</v>
      </c>
      <c r="AQ1001" t="s">
        <v>443</v>
      </c>
    </row>
    <row r="1002" spans="1:43" x14ac:dyDescent="0.2">
      <c r="A1002">
        <v>2023</v>
      </c>
      <c r="B1002" t="s">
        <v>10</v>
      </c>
      <c r="C1002" t="s">
        <v>12</v>
      </c>
      <c r="D1002" t="s">
        <v>192</v>
      </c>
      <c r="E1002" t="s">
        <v>135</v>
      </c>
      <c r="F1002" s="4">
        <v>45246</v>
      </c>
      <c r="G1002" s="5">
        <v>0</v>
      </c>
      <c r="H1002">
        <v>-76.652429209999994</v>
      </c>
      <c r="I1002">
        <v>3.3534943460000002</v>
      </c>
      <c r="J1002">
        <v>8</v>
      </c>
      <c r="K1002" t="s">
        <v>119</v>
      </c>
      <c r="L1002" t="s">
        <v>120</v>
      </c>
      <c r="M1002">
        <v>2550</v>
      </c>
      <c r="N1002">
        <v>1</v>
      </c>
      <c r="O1002">
        <v>0</v>
      </c>
      <c r="P1002">
        <v>33</v>
      </c>
      <c r="Q1002" s="10" t="s">
        <v>543</v>
      </c>
      <c r="R1002" s="10">
        <v>15</v>
      </c>
      <c r="S1002" t="s">
        <v>518</v>
      </c>
      <c r="T1002" t="s">
        <v>145</v>
      </c>
      <c r="V1002" t="s">
        <v>7</v>
      </c>
      <c r="X1002">
        <v>1</v>
      </c>
      <c r="AF1002">
        <v>-76.652799999999999</v>
      </c>
      <c r="AG1002">
        <v>3.3536000000000001</v>
      </c>
      <c r="AP1002" t="s">
        <v>450</v>
      </c>
      <c r="AQ1002" t="s">
        <v>443</v>
      </c>
    </row>
    <row r="1003" spans="1:43" x14ac:dyDescent="0.2">
      <c r="A1003">
        <v>2023</v>
      </c>
      <c r="B1003" t="s">
        <v>49</v>
      </c>
      <c r="C1003" t="s">
        <v>80</v>
      </c>
      <c r="D1003" t="s">
        <v>548</v>
      </c>
      <c r="E1003" t="s">
        <v>135</v>
      </c>
      <c r="F1003" s="4">
        <v>45253</v>
      </c>
      <c r="G1003" s="5">
        <v>0.48379629629629628</v>
      </c>
      <c r="H1003">
        <v>-76.880700000000004</v>
      </c>
      <c r="I1003">
        <v>3.5966</v>
      </c>
      <c r="J1003">
        <v>8</v>
      </c>
      <c r="K1003" t="s">
        <v>112</v>
      </c>
      <c r="L1003" t="s">
        <v>507</v>
      </c>
      <c r="M1003">
        <v>533</v>
      </c>
      <c r="N1003">
        <v>0</v>
      </c>
      <c r="O1003">
        <v>1</v>
      </c>
      <c r="P1003">
        <v>21</v>
      </c>
      <c r="Q1003" s="10">
        <v>1</v>
      </c>
      <c r="R1003" s="10">
        <v>30</v>
      </c>
      <c r="S1003" t="s">
        <v>549</v>
      </c>
      <c r="T1003" t="s">
        <v>447</v>
      </c>
      <c r="V1003" t="s">
        <v>30</v>
      </c>
      <c r="X1003">
        <v>1</v>
      </c>
      <c r="AF1003">
        <v>-76.880700000000004</v>
      </c>
      <c r="AG1003">
        <v>3.5962000000000001</v>
      </c>
      <c r="AP1003" t="s">
        <v>450</v>
      </c>
      <c r="AQ1003" t="s">
        <v>443</v>
      </c>
    </row>
    <row r="1004" spans="1:43" x14ac:dyDescent="0.2">
      <c r="A1004">
        <v>2023</v>
      </c>
      <c r="B1004" t="s">
        <v>49</v>
      </c>
      <c r="C1004" t="s">
        <v>50</v>
      </c>
      <c r="D1004" t="s">
        <v>245</v>
      </c>
      <c r="E1004" t="s">
        <v>127</v>
      </c>
      <c r="F1004" s="4">
        <v>45252</v>
      </c>
      <c r="G1004" s="5">
        <v>0</v>
      </c>
      <c r="H1004">
        <v>-76.88077586</v>
      </c>
      <c r="I1004">
        <v>3.5784978559999998</v>
      </c>
      <c r="J1004">
        <v>8</v>
      </c>
      <c r="K1004" t="s">
        <v>119</v>
      </c>
      <c r="L1004" t="s">
        <v>507</v>
      </c>
      <c r="N1004">
        <v>0</v>
      </c>
      <c r="O1004">
        <v>1</v>
      </c>
      <c r="P1004">
        <v>25</v>
      </c>
      <c r="Q1004" s="10">
        <v>4</v>
      </c>
      <c r="R1004" s="10">
        <v>37.5</v>
      </c>
      <c r="S1004" t="s">
        <v>318</v>
      </c>
      <c r="T1004" t="s">
        <v>447</v>
      </c>
      <c r="V1004" t="s">
        <v>71</v>
      </c>
      <c r="X1004">
        <v>1</v>
      </c>
      <c r="AF1004">
        <v>-76.880968330000002</v>
      </c>
      <c r="AG1004">
        <v>3.5783116669999999</v>
      </c>
      <c r="AP1004" t="s">
        <v>450</v>
      </c>
      <c r="AQ1004" t="s">
        <v>244</v>
      </c>
    </row>
    <row r="1005" spans="1:43" x14ac:dyDescent="0.2">
      <c r="A1005">
        <v>2023</v>
      </c>
      <c r="B1005" t="s">
        <v>10</v>
      </c>
      <c r="C1005" t="s">
        <v>11</v>
      </c>
      <c r="D1005" t="s">
        <v>228</v>
      </c>
      <c r="E1005" t="s">
        <v>111</v>
      </c>
      <c r="F1005" s="4">
        <v>45246</v>
      </c>
      <c r="G1005" s="5">
        <v>0</v>
      </c>
      <c r="H1005">
        <v>-76.655500529999998</v>
      </c>
      <c r="I1005">
        <v>3.354115996</v>
      </c>
      <c r="J1005">
        <v>8</v>
      </c>
      <c r="K1005" t="s">
        <v>119</v>
      </c>
      <c r="L1005" t="s">
        <v>120</v>
      </c>
      <c r="M1005">
        <v>2604</v>
      </c>
      <c r="N1005">
        <v>1</v>
      </c>
      <c r="O1005">
        <v>0</v>
      </c>
      <c r="P1005">
        <v>19</v>
      </c>
      <c r="Q1005" s="10" t="s">
        <v>543</v>
      </c>
      <c r="R1005" s="10">
        <v>6</v>
      </c>
      <c r="S1005" t="s">
        <v>518</v>
      </c>
      <c r="T1005" t="s">
        <v>145</v>
      </c>
      <c r="V1005" t="s">
        <v>59</v>
      </c>
      <c r="X1005">
        <v>1</v>
      </c>
      <c r="AF1005">
        <v>-76.655699999999996</v>
      </c>
      <c r="AG1005">
        <v>3.3542999999999998</v>
      </c>
      <c r="AP1005" t="s">
        <v>450</v>
      </c>
      <c r="AQ1005" t="s">
        <v>443</v>
      </c>
    </row>
    <row r="1006" spans="1:43" x14ac:dyDescent="0.2">
      <c r="A1006">
        <v>2023</v>
      </c>
      <c r="B1006" t="s">
        <v>10</v>
      </c>
      <c r="C1006" t="s">
        <v>11</v>
      </c>
      <c r="D1006" t="s">
        <v>228</v>
      </c>
      <c r="E1006" t="s">
        <v>111</v>
      </c>
      <c r="F1006" s="4">
        <v>45246</v>
      </c>
      <c r="G1006" s="5">
        <v>0</v>
      </c>
      <c r="H1006">
        <v>-76.655600000000007</v>
      </c>
      <c r="I1006">
        <v>3.3542000000000001</v>
      </c>
      <c r="J1006">
        <v>8</v>
      </c>
      <c r="K1006" t="s">
        <v>119</v>
      </c>
      <c r="L1006" t="s">
        <v>120</v>
      </c>
      <c r="M1006">
        <v>2604</v>
      </c>
      <c r="N1006">
        <v>1</v>
      </c>
      <c r="O1006">
        <v>0</v>
      </c>
      <c r="P1006">
        <v>19</v>
      </c>
      <c r="Q1006" s="10" t="s">
        <v>543</v>
      </c>
      <c r="R1006" s="10">
        <v>6</v>
      </c>
      <c r="S1006" t="s">
        <v>518</v>
      </c>
      <c r="T1006" t="s">
        <v>145</v>
      </c>
      <c r="V1006" t="s">
        <v>59</v>
      </c>
      <c r="X1006">
        <v>1</v>
      </c>
      <c r="AF1006">
        <v>-76.655699999999996</v>
      </c>
      <c r="AG1006">
        <v>3.3542999999999998</v>
      </c>
      <c r="AP1006" t="s">
        <v>467</v>
      </c>
      <c r="AQ1006" t="s">
        <v>443</v>
      </c>
    </row>
    <row r="1007" spans="1:43" x14ac:dyDescent="0.2">
      <c r="A1007">
        <v>2023</v>
      </c>
      <c r="B1007" t="s">
        <v>10</v>
      </c>
      <c r="C1007" t="s">
        <v>11</v>
      </c>
      <c r="D1007" t="s">
        <v>228</v>
      </c>
      <c r="E1007" t="s">
        <v>111</v>
      </c>
      <c r="F1007" s="4">
        <v>45246</v>
      </c>
      <c r="G1007" s="5">
        <v>0</v>
      </c>
      <c r="H1007">
        <v>-76.655500529999998</v>
      </c>
      <c r="I1007">
        <v>3.354115996</v>
      </c>
      <c r="J1007">
        <v>8</v>
      </c>
      <c r="K1007" t="s">
        <v>119</v>
      </c>
      <c r="L1007" t="s">
        <v>120</v>
      </c>
      <c r="M1007">
        <v>2604</v>
      </c>
      <c r="N1007">
        <v>1</v>
      </c>
      <c r="O1007">
        <v>0</v>
      </c>
      <c r="P1007">
        <v>19</v>
      </c>
      <c r="Q1007" s="10" t="s">
        <v>543</v>
      </c>
      <c r="R1007" s="10">
        <v>6</v>
      </c>
      <c r="S1007" t="s">
        <v>518</v>
      </c>
      <c r="T1007" t="s">
        <v>145</v>
      </c>
      <c r="V1007" t="s">
        <v>59</v>
      </c>
      <c r="X1007">
        <v>1</v>
      </c>
      <c r="AF1007">
        <v>-76.655699999999996</v>
      </c>
      <c r="AG1007">
        <v>3.3542999999999998</v>
      </c>
      <c r="AP1007" t="s">
        <v>441</v>
      </c>
      <c r="AQ1007" t="s">
        <v>443</v>
      </c>
    </row>
    <row r="1008" spans="1:43" x14ac:dyDescent="0.2">
      <c r="A1008">
        <v>2023</v>
      </c>
      <c r="B1008" t="s">
        <v>10</v>
      </c>
      <c r="C1008" t="s">
        <v>11</v>
      </c>
      <c r="D1008" t="s">
        <v>228</v>
      </c>
      <c r="E1008" t="s">
        <v>111</v>
      </c>
      <c r="F1008" s="4">
        <v>45246</v>
      </c>
      <c r="G1008" s="5">
        <v>0</v>
      </c>
      <c r="H1008">
        <v>-76.6554</v>
      </c>
      <c r="I1008">
        <v>3.3540000000000001</v>
      </c>
      <c r="J1008">
        <v>8</v>
      </c>
      <c r="K1008" t="s">
        <v>119</v>
      </c>
      <c r="L1008" t="s">
        <v>120</v>
      </c>
      <c r="M1008">
        <v>2604</v>
      </c>
      <c r="N1008">
        <v>1</v>
      </c>
      <c r="O1008">
        <v>0</v>
      </c>
      <c r="P1008">
        <v>19</v>
      </c>
      <c r="Q1008" s="10" t="s">
        <v>543</v>
      </c>
      <c r="R1008" s="10">
        <v>6</v>
      </c>
      <c r="S1008" t="s">
        <v>518</v>
      </c>
      <c r="T1008" t="s">
        <v>145</v>
      </c>
      <c r="V1008" t="s">
        <v>59</v>
      </c>
      <c r="X1008">
        <v>1</v>
      </c>
      <c r="AF1008">
        <v>-76.655699999999996</v>
      </c>
      <c r="AG1008">
        <v>3.3542999999999998</v>
      </c>
      <c r="AP1008" t="s">
        <v>467</v>
      </c>
      <c r="AQ1008" t="s">
        <v>443</v>
      </c>
    </row>
    <row r="1009" spans="1:43" x14ac:dyDescent="0.2">
      <c r="A1009">
        <v>2023</v>
      </c>
      <c r="B1009" t="s">
        <v>21</v>
      </c>
      <c r="C1009" t="s">
        <v>66</v>
      </c>
      <c r="D1009" t="s">
        <v>250</v>
      </c>
      <c r="E1009" t="s">
        <v>122</v>
      </c>
      <c r="F1009" s="4">
        <v>45210</v>
      </c>
      <c r="G1009" s="5">
        <v>0.87678240740740743</v>
      </c>
      <c r="H1009">
        <v>-76.725849999999994</v>
      </c>
      <c r="I1009">
        <v>3.4993783330000001</v>
      </c>
      <c r="J1009">
        <v>8</v>
      </c>
      <c r="K1009" t="s">
        <v>112</v>
      </c>
      <c r="L1009" t="s">
        <v>546</v>
      </c>
      <c r="N1009">
        <v>1</v>
      </c>
      <c r="O1009">
        <v>0</v>
      </c>
      <c r="P1009">
        <v>2</v>
      </c>
      <c r="Q1009" s="10">
        <v>1.5</v>
      </c>
      <c r="R1009" s="10" t="s">
        <v>543</v>
      </c>
      <c r="S1009" t="s">
        <v>518</v>
      </c>
      <c r="T1009" t="s">
        <v>447</v>
      </c>
      <c r="V1009" t="s">
        <v>40</v>
      </c>
      <c r="X1009">
        <v>1</v>
      </c>
      <c r="AF1009">
        <v>-76.725989999999996</v>
      </c>
      <c r="AG1009">
        <v>3.4992833330000002</v>
      </c>
      <c r="AP1009" t="s">
        <v>441</v>
      </c>
      <c r="AQ1009" t="s">
        <v>443</v>
      </c>
    </row>
    <row r="1010" spans="1:43" x14ac:dyDescent="0.2">
      <c r="A1010">
        <v>2023</v>
      </c>
      <c r="B1010" t="s">
        <v>21</v>
      </c>
      <c r="C1010" t="s">
        <v>66</v>
      </c>
      <c r="D1010" t="s">
        <v>252</v>
      </c>
      <c r="E1010" t="s">
        <v>111</v>
      </c>
      <c r="F1010" s="4">
        <v>45210</v>
      </c>
      <c r="G1010" s="5">
        <v>0.84461805555555558</v>
      </c>
      <c r="H1010">
        <v>-76.726468330000003</v>
      </c>
      <c r="I1010">
        <v>3.5000466669999999</v>
      </c>
      <c r="J1010">
        <v>8</v>
      </c>
      <c r="K1010" t="s">
        <v>112</v>
      </c>
      <c r="L1010" t="s">
        <v>546</v>
      </c>
      <c r="M1010">
        <v>1785</v>
      </c>
      <c r="N1010">
        <v>0</v>
      </c>
      <c r="O1010">
        <v>1</v>
      </c>
      <c r="P1010">
        <v>1.75</v>
      </c>
      <c r="Q1010" s="10">
        <v>6.6</v>
      </c>
      <c r="R1010" s="10" t="s">
        <v>543</v>
      </c>
      <c r="S1010" t="s">
        <v>518</v>
      </c>
      <c r="T1010" t="s">
        <v>447</v>
      </c>
      <c r="V1010" t="s">
        <v>40</v>
      </c>
      <c r="X1010">
        <v>1</v>
      </c>
      <c r="AF1010">
        <v>-76.726733330000002</v>
      </c>
      <c r="AG1010">
        <v>3.5001466670000001</v>
      </c>
      <c r="AP1010" t="s">
        <v>441</v>
      </c>
      <c r="AQ1010" t="s">
        <v>443</v>
      </c>
    </row>
    <row r="1011" spans="1:43" x14ac:dyDescent="0.2">
      <c r="A1011">
        <v>2023</v>
      </c>
      <c r="B1011" t="s">
        <v>21</v>
      </c>
      <c r="C1011" t="s">
        <v>66</v>
      </c>
      <c r="D1011" t="s">
        <v>250</v>
      </c>
      <c r="E1011" t="s">
        <v>122</v>
      </c>
      <c r="F1011" s="4">
        <v>45210</v>
      </c>
      <c r="G1011" s="5">
        <v>0.8636342592592593</v>
      </c>
      <c r="H1011">
        <v>-76.726005000000001</v>
      </c>
      <c r="I1011">
        <v>3.4994200000000002</v>
      </c>
      <c r="J1011">
        <v>8</v>
      </c>
      <c r="K1011" t="s">
        <v>112</v>
      </c>
      <c r="L1011" t="s">
        <v>546</v>
      </c>
      <c r="N1011">
        <v>0</v>
      </c>
      <c r="O1011">
        <v>1</v>
      </c>
      <c r="P1011">
        <v>2</v>
      </c>
      <c r="Q1011" s="10">
        <v>1.5</v>
      </c>
      <c r="R1011" s="10" t="s">
        <v>543</v>
      </c>
      <c r="S1011" t="s">
        <v>318</v>
      </c>
      <c r="T1011" t="s">
        <v>447</v>
      </c>
      <c r="V1011" t="s">
        <v>73</v>
      </c>
      <c r="X1011">
        <v>1</v>
      </c>
      <c r="AF1011">
        <v>-76.725989999999996</v>
      </c>
      <c r="AG1011">
        <v>3.4992833330000002</v>
      </c>
      <c r="AP1011" t="s">
        <v>450</v>
      </c>
      <c r="AQ1011" t="s">
        <v>443</v>
      </c>
    </row>
    <row r="1012" spans="1:43" x14ac:dyDescent="0.2">
      <c r="A1012">
        <v>2023</v>
      </c>
      <c r="B1012" t="s">
        <v>21</v>
      </c>
      <c r="C1012" t="s">
        <v>66</v>
      </c>
      <c r="D1012" t="s">
        <v>252</v>
      </c>
      <c r="E1012" t="s">
        <v>111</v>
      </c>
      <c r="F1012" s="4">
        <v>45210</v>
      </c>
      <c r="G1012" s="5">
        <v>0.80186342592592597</v>
      </c>
      <c r="H1012">
        <v>-76.726733330000002</v>
      </c>
      <c r="I1012">
        <v>3.5001466670000001</v>
      </c>
      <c r="J1012">
        <v>8</v>
      </c>
      <c r="K1012" t="s">
        <v>112</v>
      </c>
      <c r="L1012" t="s">
        <v>120</v>
      </c>
      <c r="N1012">
        <v>0</v>
      </c>
      <c r="O1012">
        <v>1</v>
      </c>
      <c r="P1012">
        <v>1.75</v>
      </c>
      <c r="Q1012" s="10">
        <v>6.6</v>
      </c>
      <c r="R1012" s="10" t="s">
        <v>543</v>
      </c>
      <c r="S1012" t="s">
        <v>489</v>
      </c>
      <c r="T1012" t="s">
        <v>447</v>
      </c>
      <c r="V1012" t="s">
        <v>40</v>
      </c>
      <c r="X1012">
        <v>1</v>
      </c>
      <c r="AF1012">
        <v>-76.726733330000002</v>
      </c>
      <c r="AG1012">
        <v>3.5001466670000001</v>
      </c>
      <c r="AP1012" t="s">
        <v>450</v>
      </c>
      <c r="AQ1012" t="s">
        <v>443</v>
      </c>
    </row>
    <row r="1013" spans="1:43" x14ac:dyDescent="0.2">
      <c r="A1013">
        <v>2023</v>
      </c>
      <c r="B1013" t="s">
        <v>21</v>
      </c>
      <c r="C1013" t="s">
        <v>66</v>
      </c>
      <c r="D1013" t="s">
        <v>250</v>
      </c>
      <c r="E1013" t="s">
        <v>122</v>
      </c>
      <c r="F1013" s="4">
        <v>45210</v>
      </c>
      <c r="G1013" s="5">
        <v>0.86128472222222219</v>
      </c>
      <c r="H1013">
        <v>-76.726074999999994</v>
      </c>
      <c r="I1013">
        <v>3.4994116669999999</v>
      </c>
      <c r="J1013">
        <v>8</v>
      </c>
      <c r="K1013" t="s">
        <v>112</v>
      </c>
      <c r="L1013" t="s">
        <v>546</v>
      </c>
      <c r="N1013">
        <v>0</v>
      </c>
      <c r="O1013">
        <v>1</v>
      </c>
      <c r="P1013">
        <v>2</v>
      </c>
      <c r="Q1013" s="10">
        <v>1.5</v>
      </c>
      <c r="R1013" s="10" t="s">
        <v>543</v>
      </c>
      <c r="S1013" t="s">
        <v>532</v>
      </c>
      <c r="T1013" t="s">
        <v>447</v>
      </c>
      <c r="V1013" t="s">
        <v>73</v>
      </c>
      <c r="X1013">
        <v>1</v>
      </c>
      <c r="AF1013">
        <v>-76.725989999999996</v>
      </c>
      <c r="AG1013">
        <v>3.4992833330000002</v>
      </c>
      <c r="AP1013" t="s">
        <v>467</v>
      </c>
      <c r="AQ1013" t="s">
        <v>244</v>
      </c>
    </row>
    <row r="1014" spans="1:43" x14ac:dyDescent="0.2">
      <c r="A1014">
        <v>2023</v>
      </c>
      <c r="B1014" t="s">
        <v>21</v>
      </c>
      <c r="C1014" t="s">
        <v>66</v>
      </c>
      <c r="D1014" t="s">
        <v>250</v>
      </c>
      <c r="E1014" t="s">
        <v>122</v>
      </c>
      <c r="F1014" s="4">
        <v>45210</v>
      </c>
      <c r="G1014" s="5">
        <v>0.85944444444444446</v>
      </c>
      <c r="H1014">
        <v>-76.726076669999998</v>
      </c>
      <c r="I1014">
        <v>3.4994366669999999</v>
      </c>
      <c r="J1014">
        <v>8</v>
      </c>
      <c r="K1014" t="s">
        <v>112</v>
      </c>
      <c r="L1014" t="s">
        <v>546</v>
      </c>
      <c r="N1014">
        <v>0</v>
      </c>
      <c r="O1014">
        <v>1</v>
      </c>
      <c r="P1014">
        <v>2</v>
      </c>
      <c r="Q1014" s="10">
        <v>1.5</v>
      </c>
      <c r="R1014" s="10" t="s">
        <v>543</v>
      </c>
      <c r="S1014" t="s">
        <v>518</v>
      </c>
      <c r="T1014" t="s">
        <v>447</v>
      </c>
      <c r="V1014" t="s">
        <v>8</v>
      </c>
      <c r="X1014">
        <v>1</v>
      </c>
      <c r="AF1014">
        <v>-76.725989999999996</v>
      </c>
      <c r="AG1014">
        <v>3.4992833330000002</v>
      </c>
      <c r="AP1014" t="s">
        <v>467</v>
      </c>
      <c r="AQ1014" t="s">
        <v>443</v>
      </c>
    </row>
    <row r="1015" spans="1:43" x14ac:dyDescent="0.2">
      <c r="A1015">
        <v>2023</v>
      </c>
      <c r="B1015" t="s">
        <v>21</v>
      </c>
      <c r="C1015" t="s">
        <v>66</v>
      </c>
      <c r="D1015" t="s">
        <v>252</v>
      </c>
      <c r="E1015" t="s">
        <v>111</v>
      </c>
      <c r="F1015" s="4">
        <v>45210</v>
      </c>
      <c r="G1015" s="5">
        <v>0.84783564814814816</v>
      </c>
      <c r="H1015">
        <v>-76.726418330000001</v>
      </c>
      <c r="I1015">
        <v>3.4998399999999998</v>
      </c>
      <c r="J1015">
        <v>8</v>
      </c>
      <c r="K1015" t="s">
        <v>112</v>
      </c>
      <c r="L1015" t="s">
        <v>546</v>
      </c>
      <c r="M1015">
        <v>1786</v>
      </c>
      <c r="N1015">
        <v>0</v>
      </c>
      <c r="O1015">
        <v>1</v>
      </c>
      <c r="P1015">
        <v>1.75</v>
      </c>
      <c r="Q1015" s="10">
        <v>6.6</v>
      </c>
      <c r="R1015" s="10" t="s">
        <v>543</v>
      </c>
      <c r="S1015" t="s">
        <v>518</v>
      </c>
      <c r="T1015" t="s">
        <v>447</v>
      </c>
      <c r="V1015" t="s">
        <v>9</v>
      </c>
      <c r="X1015">
        <v>1</v>
      </c>
      <c r="AF1015">
        <v>-76.726733330000002</v>
      </c>
      <c r="AG1015">
        <v>3.5001466670000001</v>
      </c>
      <c r="AP1015" t="s">
        <v>441</v>
      </c>
      <c r="AQ1015" t="s">
        <v>443</v>
      </c>
    </row>
    <row r="1016" spans="1:43" x14ac:dyDescent="0.2">
      <c r="A1016">
        <v>2023</v>
      </c>
      <c r="B1016" t="s">
        <v>21</v>
      </c>
      <c r="C1016" t="s">
        <v>66</v>
      </c>
      <c r="D1016" t="s">
        <v>252</v>
      </c>
      <c r="E1016" t="s">
        <v>111</v>
      </c>
      <c r="F1016" s="4">
        <v>45210</v>
      </c>
      <c r="G1016" s="5">
        <v>0.81026620370370372</v>
      </c>
      <c r="H1016">
        <v>-76.726796669999999</v>
      </c>
      <c r="I1016">
        <v>3.5001600000000002</v>
      </c>
      <c r="J1016">
        <v>8</v>
      </c>
      <c r="K1016" t="s">
        <v>119</v>
      </c>
      <c r="L1016" t="s">
        <v>546</v>
      </c>
      <c r="M1016">
        <v>1754</v>
      </c>
      <c r="N1016">
        <v>0</v>
      </c>
      <c r="O1016">
        <v>1</v>
      </c>
      <c r="P1016">
        <v>1.75</v>
      </c>
      <c r="Q1016" s="10">
        <v>6.6</v>
      </c>
      <c r="R1016" s="10" t="s">
        <v>543</v>
      </c>
      <c r="S1016" t="s">
        <v>518</v>
      </c>
      <c r="T1016" t="s">
        <v>447</v>
      </c>
      <c r="V1016" t="s">
        <v>9</v>
      </c>
      <c r="X1016">
        <v>1</v>
      </c>
      <c r="AF1016">
        <v>-76.726733330000002</v>
      </c>
      <c r="AG1016">
        <v>3.5001466670000001</v>
      </c>
      <c r="AP1016" t="s">
        <v>441</v>
      </c>
      <c r="AQ1016" t="s">
        <v>443</v>
      </c>
    </row>
    <row r="1017" spans="1:43" x14ac:dyDescent="0.2">
      <c r="A1017">
        <v>2023</v>
      </c>
      <c r="B1017" t="s">
        <v>21</v>
      </c>
      <c r="C1017" t="s">
        <v>66</v>
      </c>
      <c r="D1017" t="s">
        <v>252</v>
      </c>
      <c r="E1017" t="s">
        <v>111</v>
      </c>
      <c r="F1017" s="4">
        <v>45210</v>
      </c>
      <c r="G1017" s="5">
        <v>0.82026620370370373</v>
      </c>
      <c r="H1017">
        <v>-76.726786669999996</v>
      </c>
      <c r="I1017">
        <v>3.5001116670000001</v>
      </c>
      <c r="J1017">
        <v>8</v>
      </c>
      <c r="K1017" t="s">
        <v>119</v>
      </c>
      <c r="L1017" t="s">
        <v>120</v>
      </c>
      <c r="M1017">
        <v>1796</v>
      </c>
      <c r="N1017">
        <v>0</v>
      </c>
      <c r="O1017">
        <v>1</v>
      </c>
      <c r="P1017">
        <v>1.75</v>
      </c>
      <c r="Q1017" s="10">
        <v>6.6</v>
      </c>
      <c r="R1017" s="10" t="s">
        <v>543</v>
      </c>
      <c r="S1017" t="s">
        <v>518</v>
      </c>
      <c r="T1017" t="s">
        <v>447</v>
      </c>
      <c r="V1017" t="s">
        <v>3</v>
      </c>
      <c r="X1017">
        <v>1</v>
      </c>
      <c r="AF1017">
        <v>-76.726733330000002</v>
      </c>
      <c r="AG1017">
        <v>3.5001466670000001</v>
      </c>
      <c r="AP1017" t="s">
        <v>467</v>
      </c>
      <c r="AQ1017" t="s">
        <v>443</v>
      </c>
    </row>
    <row r="1018" spans="1:43" x14ac:dyDescent="0.2">
      <c r="A1018">
        <v>2023</v>
      </c>
      <c r="B1018" t="s">
        <v>21</v>
      </c>
      <c r="C1018" t="s">
        <v>66</v>
      </c>
      <c r="D1018" t="s">
        <v>252</v>
      </c>
      <c r="E1018" t="s">
        <v>111</v>
      </c>
      <c r="F1018" s="4">
        <v>45210</v>
      </c>
      <c r="G1018" s="5">
        <v>0.80917824074074074</v>
      </c>
      <c r="H1018">
        <v>-76.726743330000005</v>
      </c>
      <c r="I1018">
        <v>3.5001633330000002</v>
      </c>
      <c r="J1018">
        <v>8</v>
      </c>
      <c r="K1018" t="s">
        <v>112</v>
      </c>
      <c r="L1018" t="s">
        <v>546</v>
      </c>
      <c r="M1018">
        <v>1754</v>
      </c>
      <c r="N1018">
        <v>0</v>
      </c>
      <c r="O1018">
        <v>1</v>
      </c>
      <c r="P1018">
        <v>1.75</v>
      </c>
      <c r="Q1018" s="10">
        <v>6.6</v>
      </c>
      <c r="R1018" s="10" t="s">
        <v>543</v>
      </c>
      <c r="S1018" t="s">
        <v>269</v>
      </c>
      <c r="T1018" t="s">
        <v>447</v>
      </c>
      <c r="V1018" t="s">
        <v>40</v>
      </c>
      <c r="X1018">
        <v>2</v>
      </c>
      <c r="AF1018">
        <v>-76.726733330000002</v>
      </c>
      <c r="AG1018">
        <v>3.5001466670000001</v>
      </c>
      <c r="AP1018" t="s">
        <v>441</v>
      </c>
      <c r="AQ1018" t="s">
        <v>443</v>
      </c>
    </row>
    <row r="1019" spans="1:43" x14ac:dyDescent="0.2">
      <c r="A1019">
        <v>2023</v>
      </c>
      <c r="B1019" t="s">
        <v>21</v>
      </c>
      <c r="C1019" t="s">
        <v>66</v>
      </c>
      <c r="D1019" t="s">
        <v>250</v>
      </c>
      <c r="E1019" t="s">
        <v>122</v>
      </c>
      <c r="F1019" s="4">
        <v>45210</v>
      </c>
      <c r="G1019" s="5">
        <v>0.85504629629629625</v>
      </c>
      <c r="H1019">
        <v>-76.726288330000003</v>
      </c>
      <c r="I1019">
        <v>3.4996933330000002</v>
      </c>
      <c r="J1019">
        <v>8</v>
      </c>
      <c r="K1019" t="s">
        <v>119</v>
      </c>
      <c r="L1019" t="s">
        <v>546</v>
      </c>
      <c r="M1019">
        <v>1793</v>
      </c>
      <c r="N1019">
        <v>0</v>
      </c>
      <c r="O1019">
        <v>1</v>
      </c>
      <c r="P1019">
        <v>2</v>
      </c>
      <c r="Q1019" s="10">
        <v>1.5</v>
      </c>
      <c r="R1019" s="10" t="s">
        <v>543</v>
      </c>
      <c r="S1019" t="s">
        <v>518</v>
      </c>
      <c r="T1019" t="s">
        <v>447</v>
      </c>
      <c r="V1019" t="s">
        <v>9</v>
      </c>
      <c r="X1019">
        <v>1</v>
      </c>
      <c r="AF1019">
        <v>-76.725989999999996</v>
      </c>
      <c r="AG1019">
        <v>3.4992833330000002</v>
      </c>
      <c r="AP1019" t="s">
        <v>441</v>
      </c>
      <c r="AQ1019" t="s">
        <v>443</v>
      </c>
    </row>
    <row r="1020" spans="1:43" x14ac:dyDescent="0.2">
      <c r="A1020">
        <v>2023</v>
      </c>
      <c r="B1020" t="s">
        <v>10</v>
      </c>
      <c r="C1020" t="s">
        <v>12</v>
      </c>
      <c r="D1020" t="s">
        <v>472</v>
      </c>
      <c r="E1020" t="s">
        <v>111</v>
      </c>
      <c r="F1020" s="4">
        <v>45246</v>
      </c>
      <c r="G1020" s="5">
        <v>0.88831018518518523</v>
      </c>
      <c r="H1020">
        <v>-76.647900000000007</v>
      </c>
      <c r="I1020">
        <v>3.3519999999999999</v>
      </c>
      <c r="J1020">
        <v>8</v>
      </c>
      <c r="K1020" t="s">
        <v>112</v>
      </c>
      <c r="L1020" t="s">
        <v>550</v>
      </c>
      <c r="M1020">
        <v>2339</v>
      </c>
      <c r="N1020">
        <v>1</v>
      </c>
      <c r="O1020">
        <v>0</v>
      </c>
      <c r="P1020">
        <v>16.5</v>
      </c>
      <c r="Q1020" s="10" t="s">
        <v>543</v>
      </c>
      <c r="R1020" s="10">
        <v>11</v>
      </c>
      <c r="S1020" t="s">
        <v>518</v>
      </c>
      <c r="T1020" t="s">
        <v>145</v>
      </c>
      <c r="V1020" t="s">
        <v>2</v>
      </c>
      <c r="X1020">
        <v>1</v>
      </c>
      <c r="AF1020">
        <v>-76.649100000000004</v>
      </c>
      <c r="AG1020">
        <v>3.3521999999999998</v>
      </c>
      <c r="AP1020" t="s">
        <v>441</v>
      </c>
      <c r="AQ1020" t="s">
        <v>443</v>
      </c>
    </row>
    <row r="1021" spans="1:43" x14ac:dyDescent="0.2">
      <c r="A1021">
        <v>2023</v>
      </c>
      <c r="B1021" t="s">
        <v>49</v>
      </c>
      <c r="C1021" t="s">
        <v>52</v>
      </c>
      <c r="D1021" t="s">
        <v>393</v>
      </c>
      <c r="E1021" t="s">
        <v>127</v>
      </c>
      <c r="F1021" s="4">
        <v>45254</v>
      </c>
      <c r="G1021" s="5">
        <v>0</v>
      </c>
      <c r="H1021">
        <v>-76.888300000000001</v>
      </c>
      <c r="I1021">
        <v>3.5508000000000002</v>
      </c>
      <c r="J1021">
        <v>8</v>
      </c>
      <c r="K1021" t="s">
        <v>112</v>
      </c>
      <c r="L1021" t="s">
        <v>551</v>
      </c>
      <c r="M1021">
        <v>642</v>
      </c>
      <c r="N1021">
        <v>1</v>
      </c>
      <c r="O1021">
        <v>0</v>
      </c>
      <c r="P1021">
        <v>30</v>
      </c>
      <c r="Q1021" s="10" t="s">
        <v>543</v>
      </c>
      <c r="R1021" s="10">
        <v>22.5</v>
      </c>
      <c r="S1021" t="s">
        <v>549</v>
      </c>
      <c r="T1021" t="s">
        <v>258</v>
      </c>
      <c r="V1021" t="s">
        <v>45</v>
      </c>
      <c r="X1021">
        <v>4</v>
      </c>
      <c r="AF1021">
        <v>-76.887900000000002</v>
      </c>
      <c r="AG1021">
        <v>3.5508999999999999</v>
      </c>
      <c r="AP1021" t="s">
        <v>450</v>
      </c>
      <c r="AQ1021" t="s">
        <v>443</v>
      </c>
    </row>
    <row r="1022" spans="1:43" x14ac:dyDescent="0.2">
      <c r="A1022">
        <v>2023</v>
      </c>
      <c r="B1022" t="s">
        <v>49</v>
      </c>
      <c r="C1022" t="s">
        <v>80</v>
      </c>
      <c r="D1022" t="s">
        <v>552</v>
      </c>
      <c r="E1022" t="s">
        <v>157</v>
      </c>
      <c r="F1022" s="4">
        <v>45253</v>
      </c>
      <c r="G1022" s="5">
        <v>0</v>
      </c>
      <c r="H1022">
        <v>-76.880708330000004</v>
      </c>
      <c r="I1022">
        <v>3.5954266669999999</v>
      </c>
      <c r="J1022">
        <v>8</v>
      </c>
      <c r="N1022">
        <v>0</v>
      </c>
      <c r="O1022">
        <v>0</v>
      </c>
      <c r="P1022">
        <v>30</v>
      </c>
      <c r="Q1022" s="10" t="s">
        <v>543</v>
      </c>
      <c r="R1022" s="10">
        <v>12.5</v>
      </c>
      <c r="V1022" t="s">
        <v>47</v>
      </c>
      <c r="X1022">
        <v>0</v>
      </c>
      <c r="AF1022">
        <v>-76.880499999999998</v>
      </c>
      <c r="AG1022">
        <v>3.5960000000000001</v>
      </c>
    </row>
    <row r="1023" spans="1:43" x14ac:dyDescent="0.2">
      <c r="A1023">
        <v>2023</v>
      </c>
      <c r="B1023" t="s">
        <v>10</v>
      </c>
      <c r="C1023" t="s">
        <v>14</v>
      </c>
      <c r="D1023" t="s">
        <v>180</v>
      </c>
      <c r="E1023" t="s">
        <v>122</v>
      </c>
      <c r="F1023" s="4">
        <v>45244</v>
      </c>
      <c r="G1023" s="5">
        <v>0</v>
      </c>
      <c r="H1023">
        <v>-76.647099999999995</v>
      </c>
      <c r="I1023">
        <v>3.3496999999999999</v>
      </c>
      <c r="J1023">
        <v>8</v>
      </c>
      <c r="K1023" t="s">
        <v>112</v>
      </c>
      <c r="L1023" t="s">
        <v>120</v>
      </c>
      <c r="N1023">
        <v>0</v>
      </c>
      <c r="O1023">
        <v>1</v>
      </c>
      <c r="P1023">
        <v>12.5</v>
      </c>
      <c r="Q1023" s="10">
        <v>1</v>
      </c>
      <c r="R1023" s="10">
        <v>7.5</v>
      </c>
      <c r="S1023" t="s">
        <v>518</v>
      </c>
      <c r="T1023" t="s">
        <v>447</v>
      </c>
      <c r="V1023" t="s">
        <v>2</v>
      </c>
      <c r="X1023">
        <v>1</v>
      </c>
      <c r="AF1023">
        <v>-76.647199999999998</v>
      </c>
      <c r="AG1023">
        <v>3.3498999999999999</v>
      </c>
      <c r="AP1023" t="s">
        <v>441</v>
      </c>
      <c r="AQ1023" t="s">
        <v>443</v>
      </c>
    </row>
    <row r="1024" spans="1:43" x14ac:dyDescent="0.2">
      <c r="A1024">
        <v>2023</v>
      </c>
      <c r="B1024" t="s">
        <v>49</v>
      </c>
      <c r="C1024" t="s">
        <v>51</v>
      </c>
      <c r="D1024" t="s">
        <v>223</v>
      </c>
      <c r="E1024" t="s">
        <v>122</v>
      </c>
      <c r="F1024" s="4">
        <v>45251</v>
      </c>
      <c r="G1024" s="5">
        <v>0</v>
      </c>
      <c r="H1024">
        <v>-76.882099999999994</v>
      </c>
      <c r="I1024">
        <v>3.5523423670000001</v>
      </c>
      <c r="J1024">
        <v>8</v>
      </c>
      <c r="K1024" t="s">
        <v>112</v>
      </c>
      <c r="L1024" t="s">
        <v>547</v>
      </c>
      <c r="M1024">
        <v>567</v>
      </c>
      <c r="N1024">
        <v>1</v>
      </c>
      <c r="O1024">
        <v>0</v>
      </c>
      <c r="P1024">
        <v>36</v>
      </c>
      <c r="Q1024" s="10" t="s">
        <v>543</v>
      </c>
      <c r="R1024" s="10">
        <v>2</v>
      </c>
      <c r="S1024" t="s">
        <v>518</v>
      </c>
      <c r="T1024" t="s">
        <v>145</v>
      </c>
      <c r="V1024" t="s">
        <v>45</v>
      </c>
      <c r="X1024">
        <v>1</v>
      </c>
      <c r="AA1024" t="s">
        <v>365</v>
      </c>
      <c r="AF1024">
        <v>-76.881799999999998</v>
      </c>
      <c r="AG1024">
        <v>3.5524</v>
      </c>
      <c r="AP1024" t="s">
        <v>450</v>
      </c>
      <c r="AQ1024" t="s">
        <v>443</v>
      </c>
    </row>
    <row r="1025" spans="1:43" x14ac:dyDescent="0.2">
      <c r="A1025">
        <v>2023</v>
      </c>
      <c r="B1025" t="s">
        <v>49</v>
      </c>
      <c r="C1025" t="s">
        <v>51</v>
      </c>
      <c r="D1025" t="s">
        <v>223</v>
      </c>
      <c r="E1025" t="s">
        <v>122</v>
      </c>
      <c r="F1025" s="4">
        <v>45251</v>
      </c>
      <c r="G1025" s="5">
        <v>0</v>
      </c>
      <c r="H1025">
        <v>-76.882499999999993</v>
      </c>
      <c r="I1025">
        <v>3.5522</v>
      </c>
      <c r="J1025">
        <v>8</v>
      </c>
      <c r="K1025" t="s">
        <v>112</v>
      </c>
      <c r="L1025" t="s">
        <v>507</v>
      </c>
      <c r="M1025">
        <v>567</v>
      </c>
      <c r="N1025">
        <v>1</v>
      </c>
      <c r="O1025">
        <v>0</v>
      </c>
      <c r="P1025">
        <v>36</v>
      </c>
      <c r="Q1025" s="10" t="s">
        <v>543</v>
      </c>
      <c r="R1025" s="10">
        <v>2</v>
      </c>
      <c r="S1025" t="s">
        <v>518</v>
      </c>
      <c r="T1025" t="s">
        <v>145</v>
      </c>
      <c r="V1025" t="s">
        <v>78</v>
      </c>
      <c r="X1025">
        <v>1</v>
      </c>
      <c r="AA1025" t="s">
        <v>365</v>
      </c>
      <c r="AF1025">
        <v>-76.881799999999998</v>
      </c>
      <c r="AG1025">
        <v>3.5524</v>
      </c>
      <c r="AP1025" t="s">
        <v>450</v>
      </c>
      <c r="AQ1025" t="s">
        <v>244</v>
      </c>
    </row>
    <row r="1026" spans="1:43" x14ac:dyDescent="0.2">
      <c r="A1026">
        <v>2023</v>
      </c>
      <c r="B1026" t="s">
        <v>49</v>
      </c>
      <c r="C1026" t="s">
        <v>51</v>
      </c>
      <c r="D1026" t="s">
        <v>223</v>
      </c>
      <c r="E1026" t="s">
        <v>122</v>
      </c>
      <c r="F1026" s="4">
        <v>45251</v>
      </c>
      <c r="G1026" s="5">
        <v>0</v>
      </c>
      <c r="H1026">
        <v>-76.882324190000006</v>
      </c>
      <c r="I1026">
        <v>3.5523423670000001</v>
      </c>
      <c r="J1026">
        <v>8</v>
      </c>
      <c r="K1026" t="s">
        <v>112</v>
      </c>
      <c r="L1026" t="s">
        <v>507</v>
      </c>
      <c r="M1026">
        <v>567</v>
      </c>
      <c r="N1026">
        <v>1</v>
      </c>
      <c r="O1026">
        <v>0</v>
      </c>
      <c r="P1026">
        <v>36</v>
      </c>
      <c r="Q1026" s="10" t="s">
        <v>543</v>
      </c>
      <c r="R1026" s="10">
        <v>2</v>
      </c>
      <c r="S1026" t="s">
        <v>518</v>
      </c>
      <c r="T1026" t="s">
        <v>145</v>
      </c>
      <c r="V1026" t="s">
        <v>78</v>
      </c>
      <c r="X1026">
        <v>2</v>
      </c>
      <c r="AF1026">
        <v>-76.881799999999998</v>
      </c>
      <c r="AG1026">
        <v>3.5524</v>
      </c>
      <c r="AP1026" t="s">
        <v>450</v>
      </c>
      <c r="AQ1026" t="s">
        <v>244</v>
      </c>
    </row>
    <row r="1027" spans="1:43" x14ac:dyDescent="0.2">
      <c r="A1027">
        <v>2023</v>
      </c>
      <c r="B1027" t="s">
        <v>49</v>
      </c>
      <c r="C1027" t="s">
        <v>52</v>
      </c>
      <c r="D1027" t="s">
        <v>391</v>
      </c>
      <c r="E1027" t="s">
        <v>122</v>
      </c>
      <c r="F1027" s="4">
        <v>45254</v>
      </c>
      <c r="G1027" s="5">
        <v>0</v>
      </c>
      <c r="H1027">
        <v>-76.889799999999994</v>
      </c>
      <c r="I1027">
        <v>3.5508898100000001</v>
      </c>
      <c r="J1027">
        <v>8</v>
      </c>
      <c r="K1027" t="s">
        <v>112</v>
      </c>
      <c r="L1027" t="s">
        <v>551</v>
      </c>
      <c r="M1027">
        <v>649</v>
      </c>
      <c r="N1027">
        <v>1</v>
      </c>
      <c r="O1027">
        <v>0</v>
      </c>
      <c r="P1027">
        <v>26</v>
      </c>
      <c r="Q1027" s="10" t="s">
        <v>543</v>
      </c>
      <c r="R1027" s="10">
        <v>10</v>
      </c>
      <c r="S1027" t="s">
        <v>549</v>
      </c>
      <c r="T1027" t="s">
        <v>258</v>
      </c>
      <c r="V1027" t="s">
        <v>77</v>
      </c>
      <c r="X1027">
        <v>2</v>
      </c>
      <c r="AF1027">
        <v>-76.889200000000002</v>
      </c>
      <c r="AG1027">
        <v>3.5507</v>
      </c>
      <c r="AP1027" t="s">
        <v>450</v>
      </c>
      <c r="AQ1027" t="s">
        <v>443</v>
      </c>
    </row>
    <row r="1028" spans="1:43" x14ac:dyDescent="0.2">
      <c r="A1028">
        <v>2023</v>
      </c>
      <c r="B1028" t="s">
        <v>49</v>
      </c>
      <c r="C1028" t="s">
        <v>52</v>
      </c>
      <c r="D1028" t="s">
        <v>391</v>
      </c>
      <c r="E1028" t="s">
        <v>122</v>
      </c>
      <c r="F1028" s="4">
        <v>45254</v>
      </c>
      <c r="G1028" s="5">
        <v>0</v>
      </c>
      <c r="H1028">
        <v>-76.889700000000005</v>
      </c>
      <c r="I1028">
        <v>3.5508898100000001</v>
      </c>
      <c r="J1028">
        <v>8</v>
      </c>
      <c r="K1028" t="s">
        <v>112</v>
      </c>
      <c r="L1028" t="s">
        <v>544</v>
      </c>
      <c r="M1028">
        <v>649</v>
      </c>
      <c r="N1028">
        <v>1</v>
      </c>
      <c r="O1028">
        <v>0</v>
      </c>
      <c r="P1028">
        <v>26</v>
      </c>
      <c r="Q1028" s="10" t="s">
        <v>543</v>
      </c>
      <c r="R1028" s="10">
        <v>10</v>
      </c>
      <c r="S1028" t="s">
        <v>549</v>
      </c>
      <c r="T1028" t="s">
        <v>258</v>
      </c>
      <c r="V1028" t="s">
        <v>45</v>
      </c>
      <c r="X1028">
        <v>6</v>
      </c>
      <c r="AF1028">
        <v>-76.889200000000002</v>
      </c>
      <c r="AG1028">
        <v>3.5507</v>
      </c>
      <c r="AP1028" t="s">
        <v>450</v>
      </c>
      <c r="AQ1028" t="s">
        <v>443</v>
      </c>
    </row>
    <row r="1029" spans="1:43" x14ac:dyDescent="0.2">
      <c r="A1029">
        <v>2023</v>
      </c>
      <c r="B1029" t="s">
        <v>49</v>
      </c>
      <c r="C1029" t="s">
        <v>52</v>
      </c>
      <c r="D1029" t="s">
        <v>391</v>
      </c>
      <c r="E1029" t="s">
        <v>122</v>
      </c>
      <c r="F1029" s="4">
        <v>45254</v>
      </c>
      <c r="G1029" s="5">
        <v>0</v>
      </c>
      <c r="H1029">
        <v>-76.889899999999997</v>
      </c>
      <c r="I1029">
        <v>3.5508898100000001</v>
      </c>
      <c r="J1029">
        <v>8</v>
      </c>
      <c r="K1029" t="s">
        <v>112</v>
      </c>
      <c r="L1029" t="s">
        <v>551</v>
      </c>
      <c r="M1029">
        <v>649</v>
      </c>
      <c r="N1029">
        <v>1</v>
      </c>
      <c r="O1029">
        <v>0</v>
      </c>
      <c r="P1029">
        <v>26</v>
      </c>
      <c r="Q1029" s="10" t="s">
        <v>543</v>
      </c>
      <c r="R1029" s="10">
        <v>10</v>
      </c>
      <c r="S1029" t="s">
        <v>549</v>
      </c>
      <c r="T1029" t="s">
        <v>258</v>
      </c>
      <c r="V1029" t="s">
        <v>45</v>
      </c>
      <c r="X1029">
        <v>1</v>
      </c>
      <c r="AF1029">
        <v>-76.889200000000002</v>
      </c>
      <c r="AG1029">
        <v>3.5507</v>
      </c>
      <c r="AP1029" t="s">
        <v>450</v>
      </c>
      <c r="AQ1029" t="s">
        <v>443</v>
      </c>
    </row>
    <row r="1030" spans="1:43" x14ac:dyDescent="0.2">
      <c r="A1030">
        <v>2023</v>
      </c>
      <c r="B1030" t="s">
        <v>49</v>
      </c>
      <c r="C1030" t="s">
        <v>52</v>
      </c>
      <c r="D1030" t="s">
        <v>391</v>
      </c>
      <c r="E1030" t="s">
        <v>122</v>
      </c>
      <c r="F1030" s="4">
        <v>45254</v>
      </c>
      <c r="G1030" s="5">
        <v>0</v>
      </c>
      <c r="H1030">
        <v>-76.889399999999995</v>
      </c>
      <c r="I1030">
        <v>3.5508898100000001</v>
      </c>
      <c r="J1030">
        <v>8</v>
      </c>
      <c r="K1030" t="s">
        <v>119</v>
      </c>
      <c r="L1030" t="s">
        <v>544</v>
      </c>
      <c r="M1030">
        <v>649</v>
      </c>
      <c r="N1030">
        <v>1</v>
      </c>
      <c r="O1030">
        <v>0</v>
      </c>
      <c r="P1030">
        <v>26</v>
      </c>
      <c r="Q1030" s="10" t="s">
        <v>543</v>
      </c>
      <c r="R1030" s="10">
        <v>10</v>
      </c>
      <c r="S1030" t="s">
        <v>549</v>
      </c>
      <c r="T1030" t="s">
        <v>258</v>
      </c>
      <c r="V1030" t="s">
        <v>45</v>
      </c>
      <c r="X1030">
        <v>1</v>
      </c>
      <c r="AF1030">
        <v>-76.889200000000002</v>
      </c>
      <c r="AG1030">
        <v>3.5507</v>
      </c>
      <c r="AP1030" t="s">
        <v>450</v>
      </c>
      <c r="AQ1030" t="s">
        <v>443</v>
      </c>
    </row>
    <row r="1031" spans="1:43" x14ac:dyDescent="0.2">
      <c r="A1031">
        <v>2023</v>
      </c>
      <c r="B1031" t="s">
        <v>49</v>
      </c>
      <c r="C1031" t="s">
        <v>52</v>
      </c>
      <c r="D1031" t="s">
        <v>391</v>
      </c>
      <c r="E1031" t="s">
        <v>122</v>
      </c>
      <c r="F1031" s="4">
        <v>45254</v>
      </c>
      <c r="G1031" s="5">
        <v>0</v>
      </c>
      <c r="H1031">
        <v>-76.889600000000002</v>
      </c>
      <c r="I1031">
        <v>3.5508898100000001</v>
      </c>
      <c r="J1031">
        <v>8</v>
      </c>
      <c r="K1031" t="s">
        <v>119</v>
      </c>
      <c r="L1031" t="s">
        <v>547</v>
      </c>
      <c r="M1031">
        <v>649</v>
      </c>
      <c r="N1031">
        <v>1</v>
      </c>
      <c r="O1031">
        <v>0</v>
      </c>
      <c r="P1031">
        <v>26</v>
      </c>
      <c r="Q1031" s="10" t="s">
        <v>543</v>
      </c>
      <c r="R1031" s="10">
        <v>10</v>
      </c>
      <c r="S1031" t="s">
        <v>549</v>
      </c>
      <c r="T1031" t="s">
        <v>258</v>
      </c>
      <c r="V1031" t="s">
        <v>45</v>
      </c>
      <c r="X1031">
        <v>3</v>
      </c>
      <c r="AF1031">
        <v>-76.889200000000002</v>
      </c>
      <c r="AG1031">
        <v>3.5507</v>
      </c>
      <c r="AP1031" t="s">
        <v>450</v>
      </c>
      <c r="AQ1031" t="s">
        <v>443</v>
      </c>
    </row>
    <row r="1032" spans="1:43" x14ac:dyDescent="0.2">
      <c r="A1032">
        <v>2023</v>
      </c>
      <c r="B1032" t="s">
        <v>49</v>
      </c>
      <c r="C1032" t="s">
        <v>52</v>
      </c>
      <c r="D1032" t="s">
        <v>391</v>
      </c>
      <c r="E1032" t="s">
        <v>122</v>
      </c>
      <c r="F1032" s="4">
        <v>45254</v>
      </c>
      <c r="G1032" s="5">
        <v>0</v>
      </c>
      <c r="H1032">
        <v>-76.889700000000005</v>
      </c>
      <c r="I1032">
        <v>3.5508898100000001</v>
      </c>
      <c r="J1032">
        <v>8</v>
      </c>
      <c r="K1032" t="s">
        <v>112</v>
      </c>
      <c r="L1032" t="s">
        <v>544</v>
      </c>
      <c r="M1032">
        <v>649</v>
      </c>
      <c r="N1032">
        <v>1</v>
      </c>
      <c r="O1032">
        <v>0</v>
      </c>
      <c r="P1032">
        <v>26</v>
      </c>
      <c r="Q1032" s="10" t="s">
        <v>543</v>
      </c>
      <c r="R1032" s="10">
        <v>10</v>
      </c>
      <c r="S1032" t="s">
        <v>549</v>
      </c>
      <c r="T1032" t="s">
        <v>258</v>
      </c>
      <c r="V1032" t="s">
        <v>45</v>
      </c>
      <c r="X1032">
        <v>4</v>
      </c>
      <c r="AF1032">
        <v>-76.889200000000002</v>
      </c>
      <c r="AG1032">
        <v>3.5507</v>
      </c>
      <c r="AP1032" t="s">
        <v>450</v>
      </c>
      <c r="AQ1032" t="s">
        <v>443</v>
      </c>
    </row>
    <row r="1033" spans="1:43" x14ac:dyDescent="0.2">
      <c r="A1033">
        <v>2023</v>
      </c>
      <c r="B1033" t="s">
        <v>10</v>
      </c>
      <c r="C1033" t="s">
        <v>13</v>
      </c>
      <c r="D1033" t="s">
        <v>464</v>
      </c>
      <c r="E1033" t="s">
        <v>127</v>
      </c>
      <c r="F1033" s="4">
        <v>45245</v>
      </c>
      <c r="G1033" s="5">
        <v>0</v>
      </c>
      <c r="H1033">
        <v>-76.642499999999998</v>
      </c>
      <c r="I1033">
        <v>3.3492000000000002</v>
      </c>
      <c r="J1033">
        <v>8</v>
      </c>
      <c r="K1033" t="s">
        <v>119</v>
      </c>
      <c r="L1033" t="s">
        <v>120</v>
      </c>
      <c r="N1033">
        <v>1</v>
      </c>
      <c r="O1033">
        <v>0</v>
      </c>
      <c r="P1033">
        <v>19</v>
      </c>
      <c r="Q1033" s="10" t="s">
        <v>543</v>
      </c>
      <c r="R1033" s="10">
        <v>23.5</v>
      </c>
      <c r="T1033" t="s">
        <v>145</v>
      </c>
      <c r="V1033" t="s">
        <v>9</v>
      </c>
      <c r="X1033">
        <v>4</v>
      </c>
      <c r="AA1033" t="s">
        <v>505</v>
      </c>
      <c r="AF1033">
        <v>-76.642349999999993</v>
      </c>
      <c r="AG1033">
        <v>3.3494999999999999</v>
      </c>
      <c r="AQ1033" t="s">
        <v>244</v>
      </c>
    </row>
    <row r="1034" spans="1:43" x14ac:dyDescent="0.2">
      <c r="A1034">
        <v>2023</v>
      </c>
      <c r="B1034" t="s">
        <v>10</v>
      </c>
      <c r="C1034" t="s">
        <v>13</v>
      </c>
      <c r="D1034" t="s">
        <v>464</v>
      </c>
      <c r="E1034" t="s">
        <v>127</v>
      </c>
      <c r="F1034" s="4">
        <v>45245</v>
      </c>
      <c r="G1034" s="5">
        <v>0</v>
      </c>
      <c r="H1034">
        <v>-76.642595760000006</v>
      </c>
      <c r="I1034">
        <v>3.3490348440000002</v>
      </c>
      <c r="J1034">
        <v>8</v>
      </c>
      <c r="K1034" t="s">
        <v>112</v>
      </c>
      <c r="L1034" t="s">
        <v>120</v>
      </c>
      <c r="N1034">
        <v>1</v>
      </c>
      <c r="O1034">
        <v>0</v>
      </c>
      <c r="P1034">
        <v>19</v>
      </c>
      <c r="Q1034" s="10" t="s">
        <v>543</v>
      </c>
      <c r="R1034" s="10">
        <v>23.5</v>
      </c>
      <c r="S1034" t="s">
        <v>518</v>
      </c>
      <c r="T1034" t="s">
        <v>145</v>
      </c>
      <c r="V1034" t="s">
        <v>9</v>
      </c>
      <c r="X1034">
        <v>1</v>
      </c>
      <c r="AF1034">
        <v>-76.642349999999993</v>
      </c>
      <c r="AG1034">
        <v>3.3494999999999999</v>
      </c>
      <c r="AP1034" t="s">
        <v>441</v>
      </c>
      <c r="AQ1034" t="s">
        <v>443</v>
      </c>
    </row>
    <row r="1035" spans="1:43" x14ac:dyDescent="0.2">
      <c r="A1035">
        <v>2023</v>
      </c>
      <c r="B1035" t="s">
        <v>49</v>
      </c>
      <c r="C1035" t="s">
        <v>50</v>
      </c>
      <c r="D1035" t="s">
        <v>242</v>
      </c>
      <c r="E1035" t="s">
        <v>111</v>
      </c>
      <c r="F1035" s="4">
        <v>45252</v>
      </c>
      <c r="G1035" s="5">
        <v>0</v>
      </c>
      <c r="H1035">
        <v>-76.880200000000002</v>
      </c>
      <c r="I1035">
        <v>3.5768</v>
      </c>
      <c r="J1035">
        <v>8</v>
      </c>
      <c r="K1035" t="s">
        <v>119</v>
      </c>
      <c r="L1035" t="s">
        <v>507</v>
      </c>
      <c r="M1035">
        <v>712</v>
      </c>
      <c r="N1035">
        <v>1</v>
      </c>
      <c r="O1035">
        <v>0</v>
      </c>
      <c r="P1035">
        <v>25</v>
      </c>
      <c r="Q1035" s="10" t="s">
        <v>543</v>
      </c>
      <c r="R1035" s="10">
        <v>3.5</v>
      </c>
      <c r="S1035" t="s">
        <v>318</v>
      </c>
      <c r="T1035" t="s">
        <v>258</v>
      </c>
      <c r="V1035" t="s">
        <v>45</v>
      </c>
      <c r="X1035">
        <v>1</v>
      </c>
      <c r="AF1035">
        <v>-76.879900000000006</v>
      </c>
      <c r="AG1035">
        <v>3.5767000000000002</v>
      </c>
      <c r="AP1035" t="s">
        <v>450</v>
      </c>
      <c r="AQ1035" t="s">
        <v>443</v>
      </c>
    </row>
    <row r="1036" spans="1:43" x14ac:dyDescent="0.2">
      <c r="A1036">
        <v>2023</v>
      </c>
      <c r="B1036" t="s">
        <v>49</v>
      </c>
      <c r="C1036" t="s">
        <v>50</v>
      </c>
      <c r="D1036" t="s">
        <v>242</v>
      </c>
      <c r="E1036" t="s">
        <v>111</v>
      </c>
      <c r="F1036" s="4">
        <v>45252</v>
      </c>
      <c r="G1036" s="5">
        <v>0</v>
      </c>
      <c r="H1036">
        <v>-76.880417850000001</v>
      </c>
      <c r="I1036">
        <v>3.576938942</v>
      </c>
      <c r="J1036">
        <v>8</v>
      </c>
      <c r="K1036" t="s">
        <v>112</v>
      </c>
      <c r="L1036" t="s">
        <v>507</v>
      </c>
      <c r="M1036">
        <v>702</v>
      </c>
      <c r="N1036">
        <v>1</v>
      </c>
      <c r="O1036">
        <v>0</v>
      </c>
      <c r="P1036">
        <v>21</v>
      </c>
      <c r="Q1036" s="10" t="s">
        <v>543</v>
      </c>
      <c r="R1036" s="10">
        <v>5</v>
      </c>
      <c r="S1036" t="s">
        <v>518</v>
      </c>
      <c r="T1036" t="s">
        <v>258</v>
      </c>
      <c r="V1036" t="s">
        <v>48</v>
      </c>
      <c r="X1036">
        <v>1</v>
      </c>
      <c r="AF1036">
        <v>-76.880228329999994</v>
      </c>
      <c r="AG1036">
        <v>3.5766466669999999</v>
      </c>
      <c r="AP1036" t="s">
        <v>441</v>
      </c>
      <c r="AQ1036" t="s">
        <v>244</v>
      </c>
    </row>
    <row r="1037" spans="1:43" x14ac:dyDescent="0.2">
      <c r="A1037">
        <v>2023</v>
      </c>
      <c r="B1037" t="s">
        <v>49</v>
      </c>
      <c r="C1037" t="s">
        <v>50</v>
      </c>
      <c r="D1037" t="s">
        <v>246</v>
      </c>
      <c r="E1037" t="s">
        <v>122</v>
      </c>
      <c r="F1037" s="4">
        <v>45252</v>
      </c>
      <c r="G1037" s="5">
        <v>0</v>
      </c>
      <c r="H1037">
        <v>-76.880713290000003</v>
      </c>
      <c r="I1037">
        <v>3.5779644660000001</v>
      </c>
      <c r="J1037">
        <v>8</v>
      </c>
      <c r="N1037">
        <v>0</v>
      </c>
      <c r="O1037">
        <v>0</v>
      </c>
      <c r="P1037">
        <v>17.5</v>
      </c>
      <c r="Q1037" s="10">
        <v>4</v>
      </c>
      <c r="R1037" s="10">
        <v>5</v>
      </c>
      <c r="V1037" t="s">
        <v>47</v>
      </c>
      <c r="X1037">
        <v>0</v>
      </c>
      <c r="AF1037">
        <v>-76.880525000000006</v>
      </c>
      <c r="AG1037">
        <v>3.577683333</v>
      </c>
    </row>
    <row r="1038" spans="1:43" x14ac:dyDescent="0.2">
      <c r="A1038">
        <v>2023</v>
      </c>
      <c r="B1038" t="s">
        <v>49</v>
      </c>
      <c r="C1038" t="s">
        <v>50</v>
      </c>
      <c r="D1038" t="s">
        <v>243</v>
      </c>
      <c r="E1038" t="s">
        <v>135</v>
      </c>
      <c r="F1038" s="4">
        <v>45252</v>
      </c>
      <c r="G1038" s="5">
        <v>0.44060185185185186</v>
      </c>
      <c r="H1038">
        <v>-76.880606670000006</v>
      </c>
      <c r="I1038">
        <v>3.5793733329999999</v>
      </c>
      <c r="J1038">
        <v>8</v>
      </c>
      <c r="K1038" t="s">
        <v>112</v>
      </c>
      <c r="L1038" t="s">
        <v>507</v>
      </c>
      <c r="M1038">
        <v>758</v>
      </c>
      <c r="N1038">
        <v>1</v>
      </c>
      <c r="O1038">
        <v>0</v>
      </c>
      <c r="P1038">
        <v>23</v>
      </c>
      <c r="Q1038" s="10" t="s">
        <v>543</v>
      </c>
      <c r="R1038" s="10">
        <v>27.5</v>
      </c>
      <c r="S1038" t="s">
        <v>318</v>
      </c>
      <c r="T1038" t="s">
        <v>258</v>
      </c>
      <c r="V1038" t="s">
        <v>71</v>
      </c>
      <c r="X1038">
        <v>1</v>
      </c>
      <c r="AF1038">
        <v>-76.880409999999998</v>
      </c>
      <c r="AG1038">
        <v>3.5789183329999998</v>
      </c>
      <c r="AP1038" t="s">
        <v>450</v>
      </c>
      <c r="AQ1038" t="s">
        <v>244</v>
      </c>
    </row>
    <row r="1039" spans="1:43" x14ac:dyDescent="0.2">
      <c r="A1039">
        <v>2023</v>
      </c>
      <c r="B1039" t="s">
        <v>49</v>
      </c>
      <c r="C1039" t="s">
        <v>50</v>
      </c>
      <c r="D1039" t="s">
        <v>243</v>
      </c>
      <c r="E1039" t="s">
        <v>135</v>
      </c>
      <c r="F1039" s="4">
        <v>45252</v>
      </c>
      <c r="G1039" s="5">
        <v>0.4428125</v>
      </c>
      <c r="H1039">
        <v>-76.88063167</v>
      </c>
      <c r="I1039">
        <v>3.579615</v>
      </c>
      <c r="J1039">
        <v>8</v>
      </c>
      <c r="K1039" t="s">
        <v>112</v>
      </c>
      <c r="L1039" t="s">
        <v>507</v>
      </c>
      <c r="M1039">
        <v>758</v>
      </c>
      <c r="N1039">
        <v>1</v>
      </c>
      <c r="O1039">
        <v>0</v>
      </c>
      <c r="P1039">
        <v>23</v>
      </c>
      <c r="Q1039" s="10" t="s">
        <v>543</v>
      </c>
      <c r="R1039" s="10">
        <v>27.5</v>
      </c>
      <c r="S1039" t="s">
        <v>318</v>
      </c>
      <c r="T1039" t="s">
        <v>258</v>
      </c>
      <c r="V1039" t="s">
        <v>71</v>
      </c>
      <c r="X1039">
        <v>1</v>
      </c>
      <c r="AF1039">
        <v>-76.880409999999998</v>
      </c>
      <c r="AG1039">
        <v>3.5789183329999998</v>
      </c>
      <c r="AP1039" t="s">
        <v>450</v>
      </c>
      <c r="AQ1039" t="s">
        <v>443</v>
      </c>
    </row>
    <row r="1040" spans="1:43" x14ac:dyDescent="0.2">
      <c r="A1040">
        <v>2023</v>
      </c>
      <c r="B1040" t="s">
        <v>49</v>
      </c>
      <c r="C1040" t="s">
        <v>50</v>
      </c>
      <c r="D1040" t="s">
        <v>243</v>
      </c>
      <c r="E1040" t="s">
        <v>135</v>
      </c>
      <c r="F1040" s="4">
        <v>45252</v>
      </c>
      <c r="G1040" s="5">
        <v>0.44167824074074075</v>
      </c>
      <c r="H1040">
        <v>-76.880624999999995</v>
      </c>
      <c r="I1040">
        <v>3.5794433329999999</v>
      </c>
      <c r="J1040">
        <v>8</v>
      </c>
      <c r="K1040" t="s">
        <v>112</v>
      </c>
      <c r="L1040" t="s">
        <v>546</v>
      </c>
      <c r="M1040">
        <v>758</v>
      </c>
      <c r="N1040">
        <v>1</v>
      </c>
      <c r="O1040">
        <v>0</v>
      </c>
      <c r="P1040">
        <v>23</v>
      </c>
      <c r="Q1040" s="10" t="s">
        <v>543</v>
      </c>
      <c r="R1040" s="10">
        <v>27.5</v>
      </c>
      <c r="S1040" t="s">
        <v>318</v>
      </c>
      <c r="T1040" t="s">
        <v>258</v>
      </c>
      <c r="V1040" t="s">
        <v>71</v>
      </c>
      <c r="X1040">
        <v>1</v>
      </c>
      <c r="AF1040">
        <v>-76.880409999999998</v>
      </c>
      <c r="AG1040">
        <v>3.5789183329999998</v>
      </c>
      <c r="AP1040" t="s">
        <v>450</v>
      </c>
      <c r="AQ1040" t="s">
        <v>443</v>
      </c>
    </row>
    <row r="1041" spans="1:43" x14ac:dyDescent="0.2">
      <c r="A1041">
        <v>2023</v>
      </c>
      <c r="B1041" t="s">
        <v>49</v>
      </c>
      <c r="C1041" t="s">
        <v>50</v>
      </c>
      <c r="D1041" t="s">
        <v>243</v>
      </c>
      <c r="E1041" t="s">
        <v>135</v>
      </c>
      <c r="F1041" s="4">
        <v>45252</v>
      </c>
      <c r="G1041" s="5">
        <v>0.43814814814814818</v>
      </c>
      <c r="H1041">
        <v>-76.880481669999995</v>
      </c>
      <c r="I1041">
        <v>3.5791116669999998</v>
      </c>
      <c r="J1041">
        <v>8</v>
      </c>
      <c r="K1041" t="s">
        <v>119</v>
      </c>
      <c r="L1041" t="s">
        <v>546</v>
      </c>
      <c r="M1041">
        <v>761</v>
      </c>
      <c r="N1041">
        <v>1</v>
      </c>
      <c r="O1041">
        <v>0</v>
      </c>
      <c r="P1041">
        <v>23</v>
      </c>
      <c r="Q1041" s="10" t="s">
        <v>543</v>
      </c>
      <c r="R1041" s="10">
        <v>27.5</v>
      </c>
      <c r="S1041" t="s">
        <v>318</v>
      </c>
      <c r="T1041" t="s">
        <v>258</v>
      </c>
      <c r="V1041" t="s">
        <v>71</v>
      </c>
      <c r="X1041">
        <v>1</v>
      </c>
      <c r="AF1041">
        <v>-76.880409999999998</v>
      </c>
      <c r="AG1041">
        <v>3.5789183329999998</v>
      </c>
      <c r="AP1041" t="s">
        <v>450</v>
      </c>
      <c r="AQ1041" t="s">
        <v>244</v>
      </c>
    </row>
    <row r="1042" spans="1:43" x14ac:dyDescent="0.2">
      <c r="A1042">
        <v>2023</v>
      </c>
      <c r="B1042" t="s">
        <v>49</v>
      </c>
      <c r="C1042" t="s">
        <v>53</v>
      </c>
      <c r="D1042" t="s">
        <v>198</v>
      </c>
      <c r="E1042" t="s">
        <v>111</v>
      </c>
      <c r="F1042" s="4">
        <v>45251</v>
      </c>
      <c r="G1042" s="5">
        <v>0</v>
      </c>
      <c r="H1042">
        <v>-76.878399999999999</v>
      </c>
      <c r="I1042">
        <v>3.5434000000000001</v>
      </c>
      <c r="J1042">
        <v>8</v>
      </c>
      <c r="K1042" t="s">
        <v>112</v>
      </c>
      <c r="L1042" t="s">
        <v>546</v>
      </c>
      <c r="M1042">
        <v>434</v>
      </c>
      <c r="N1042">
        <v>0</v>
      </c>
      <c r="O1042">
        <v>1</v>
      </c>
      <c r="P1042">
        <v>16</v>
      </c>
      <c r="Q1042" s="10">
        <v>3</v>
      </c>
      <c r="R1042" s="10">
        <v>6</v>
      </c>
      <c r="S1042" t="s">
        <v>518</v>
      </c>
      <c r="T1042" t="s">
        <v>447</v>
      </c>
      <c r="V1042" t="s">
        <v>30</v>
      </c>
      <c r="X1042">
        <v>1</v>
      </c>
      <c r="AF1042">
        <v>-76.878</v>
      </c>
      <c r="AG1042">
        <v>3.5440999999999998</v>
      </c>
      <c r="AP1042" t="s">
        <v>450</v>
      </c>
      <c r="AQ1042" t="s">
        <v>244</v>
      </c>
    </row>
    <row r="1043" spans="1:43" x14ac:dyDescent="0.2">
      <c r="A1043">
        <v>2023</v>
      </c>
      <c r="B1043" t="s">
        <v>49</v>
      </c>
      <c r="C1043" t="s">
        <v>53</v>
      </c>
      <c r="D1043" t="s">
        <v>198</v>
      </c>
      <c r="E1043" t="s">
        <v>111</v>
      </c>
      <c r="F1043" s="4">
        <v>45251</v>
      </c>
      <c r="G1043" s="5">
        <v>0</v>
      </c>
      <c r="H1043">
        <v>-76.878399999999999</v>
      </c>
      <c r="I1043">
        <v>3.5436000000000001</v>
      </c>
      <c r="J1043">
        <v>8</v>
      </c>
      <c r="K1043" t="s">
        <v>119</v>
      </c>
      <c r="L1043" t="s">
        <v>546</v>
      </c>
      <c r="M1043">
        <v>434</v>
      </c>
      <c r="N1043">
        <v>0</v>
      </c>
      <c r="O1043">
        <v>1</v>
      </c>
      <c r="P1043">
        <v>16</v>
      </c>
      <c r="Q1043" s="10">
        <v>3</v>
      </c>
      <c r="R1043" s="10">
        <v>6</v>
      </c>
      <c r="S1043" t="s">
        <v>518</v>
      </c>
      <c r="T1043" t="s">
        <v>447</v>
      </c>
      <c r="V1043" t="s">
        <v>32</v>
      </c>
      <c r="X1043">
        <v>1</v>
      </c>
      <c r="AF1043">
        <v>-76.878</v>
      </c>
      <c r="AG1043">
        <v>3.5440999999999998</v>
      </c>
      <c r="AP1043" t="s">
        <v>441</v>
      </c>
      <c r="AQ1043" t="s">
        <v>443</v>
      </c>
    </row>
    <row r="1044" spans="1:43" x14ac:dyDescent="0.2">
      <c r="A1044">
        <v>2023</v>
      </c>
      <c r="B1044" t="s">
        <v>49</v>
      </c>
      <c r="C1044" t="s">
        <v>53</v>
      </c>
      <c r="D1044" t="s">
        <v>198</v>
      </c>
      <c r="E1044" t="s">
        <v>111</v>
      </c>
      <c r="F1044" s="4">
        <v>45251</v>
      </c>
      <c r="G1044" s="5">
        <v>0</v>
      </c>
      <c r="H1044">
        <v>-76.878399999999999</v>
      </c>
      <c r="I1044">
        <v>3.5434999999999999</v>
      </c>
      <c r="J1044">
        <v>8</v>
      </c>
      <c r="K1044" t="s">
        <v>112</v>
      </c>
      <c r="L1044" t="s">
        <v>546</v>
      </c>
      <c r="M1044">
        <v>434</v>
      </c>
      <c r="N1044">
        <v>0</v>
      </c>
      <c r="O1044">
        <v>1</v>
      </c>
      <c r="P1044">
        <v>16</v>
      </c>
      <c r="Q1044" s="10">
        <v>3</v>
      </c>
      <c r="R1044" s="10">
        <v>6</v>
      </c>
      <c r="S1044" t="s">
        <v>489</v>
      </c>
      <c r="T1044" t="s">
        <v>447</v>
      </c>
      <c r="V1044" t="s">
        <v>45</v>
      </c>
      <c r="X1044">
        <v>1</v>
      </c>
      <c r="AF1044">
        <v>-76.878</v>
      </c>
      <c r="AG1044">
        <v>3.5440999999999998</v>
      </c>
      <c r="AP1044" t="s">
        <v>450</v>
      </c>
      <c r="AQ1044" t="s">
        <v>443</v>
      </c>
    </row>
    <row r="1045" spans="1:43" x14ac:dyDescent="0.2">
      <c r="A1045">
        <v>2023</v>
      </c>
      <c r="B1045" t="s">
        <v>49</v>
      </c>
      <c r="C1045" t="s">
        <v>53</v>
      </c>
      <c r="D1045" t="s">
        <v>198</v>
      </c>
      <c r="E1045" t="s">
        <v>111</v>
      </c>
      <c r="F1045" s="4">
        <v>45251</v>
      </c>
      <c r="G1045" s="5">
        <v>0</v>
      </c>
      <c r="H1045">
        <v>-76.878500000000003</v>
      </c>
      <c r="I1045">
        <v>3.5432000000000001</v>
      </c>
      <c r="J1045">
        <v>8</v>
      </c>
      <c r="K1045" t="s">
        <v>119</v>
      </c>
      <c r="L1045" t="s">
        <v>546</v>
      </c>
      <c r="M1045">
        <v>434</v>
      </c>
      <c r="N1045">
        <v>0</v>
      </c>
      <c r="O1045">
        <v>1</v>
      </c>
      <c r="P1045">
        <v>16</v>
      </c>
      <c r="Q1045" s="10">
        <v>3</v>
      </c>
      <c r="R1045" s="10">
        <v>6</v>
      </c>
      <c r="S1045" t="s">
        <v>518</v>
      </c>
      <c r="T1045" t="s">
        <v>447</v>
      </c>
      <c r="V1045" t="s">
        <v>32</v>
      </c>
      <c r="X1045">
        <v>1</v>
      </c>
      <c r="AF1045">
        <v>-76.878</v>
      </c>
      <c r="AG1045">
        <v>3.5440999999999998</v>
      </c>
      <c r="AP1045" t="s">
        <v>467</v>
      </c>
      <c r="AQ1045" t="s">
        <v>443</v>
      </c>
    </row>
    <row r="1046" spans="1:43" x14ac:dyDescent="0.2">
      <c r="A1046">
        <v>2023</v>
      </c>
      <c r="B1046" t="s">
        <v>49</v>
      </c>
      <c r="C1046" t="s">
        <v>53</v>
      </c>
      <c r="D1046" t="s">
        <v>198</v>
      </c>
      <c r="E1046" t="s">
        <v>111</v>
      </c>
      <c r="F1046" s="4">
        <v>45251</v>
      </c>
      <c r="G1046" s="5">
        <v>0</v>
      </c>
      <c r="H1046">
        <v>-76.878299999999996</v>
      </c>
      <c r="I1046">
        <v>3.5438000000000001</v>
      </c>
      <c r="J1046">
        <v>8</v>
      </c>
      <c r="K1046" t="s">
        <v>112</v>
      </c>
      <c r="L1046" t="s">
        <v>546</v>
      </c>
      <c r="M1046">
        <v>434</v>
      </c>
      <c r="N1046">
        <v>0</v>
      </c>
      <c r="O1046">
        <v>1</v>
      </c>
      <c r="P1046">
        <v>27.5</v>
      </c>
      <c r="Q1046" s="10">
        <v>4.5</v>
      </c>
      <c r="R1046" s="10">
        <v>12.5</v>
      </c>
      <c r="S1046" t="s">
        <v>518</v>
      </c>
      <c r="T1046" t="s">
        <v>447</v>
      </c>
      <c r="V1046" t="s">
        <v>32</v>
      </c>
      <c r="X1046">
        <v>1</v>
      </c>
      <c r="AF1046">
        <v>-76.878060000000005</v>
      </c>
      <c r="AG1046">
        <v>3.544</v>
      </c>
      <c r="AP1046" t="s">
        <v>467</v>
      </c>
      <c r="AQ1046" t="s">
        <v>443</v>
      </c>
    </row>
    <row r="1047" spans="1:43" x14ac:dyDescent="0.2">
      <c r="A1047">
        <v>2023</v>
      </c>
      <c r="B1047" t="s">
        <v>49</v>
      </c>
      <c r="C1047" t="s">
        <v>53</v>
      </c>
      <c r="D1047" t="s">
        <v>198</v>
      </c>
      <c r="E1047" t="s">
        <v>111</v>
      </c>
      <c r="F1047" s="4">
        <v>45251</v>
      </c>
      <c r="G1047" s="5">
        <v>0</v>
      </c>
      <c r="H1047">
        <v>-76.87818</v>
      </c>
      <c r="I1047">
        <v>3.544</v>
      </c>
      <c r="J1047">
        <v>8</v>
      </c>
      <c r="K1047" t="s">
        <v>119</v>
      </c>
      <c r="L1047" t="s">
        <v>546</v>
      </c>
      <c r="M1047">
        <v>434</v>
      </c>
      <c r="N1047">
        <v>0</v>
      </c>
      <c r="O1047">
        <v>1</v>
      </c>
      <c r="P1047">
        <v>27.5</v>
      </c>
      <c r="Q1047" s="10">
        <v>4.5</v>
      </c>
      <c r="R1047" s="10">
        <v>12.5</v>
      </c>
      <c r="S1047" t="s">
        <v>553</v>
      </c>
      <c r="T1047" t="s">
        <v>447</v>
      </c>
      <c r="V1047" t="s">
        <v>45</v>
      </c>
      <c r="X1047">
        <v>2</v>
      </c>
      <c r="AF1047">
        <v>-76.878060000000005</v>
      </c>
      <c r="AG1047">
        <v>3.544</v>
      </c>
      <c r="AP1047" t="s">
        <v>450</v>
      </c>
      <c r="AQ1047" t="s">
        <v>443</v>
      </c>
    </row>
    <row r="1048" spans="1:43" x14ac:dyDescent="0.2">
      <c r="A1048">
        <v>2023</v>
      </c>
      <c r="B1048" t="s">
        <v>49</v>
      </c>
      <c r="C1048" t="s">
        <v>53</v>
      </c>
      <c r="D1048" t="s">
        <v>198</v>
      </c>
      <c r="E1048" t="s">
        <v>111</v>
      </c>
      <c r="F1048" s="4">
        <v>45251</v>
      </c>
      <c r="G1048" s="5">
        <v>0</v>
      </c>
      <c r="H1048">
        <v>-76.878299999999996</v>
      </c>
      <c r="I1048">
        <v>3.5438999999999998</v>
      </c>
      <c r="J1048">
        <v>8</v>
      </c>
      <c r="K1048" t="s">
        <v>119</v>
      </c>
      <c r="L1048" t="s">
        <v>546</v>
      </c>
      <c r="M1048">
        <v>434</v>
      </c>
      <c r="N1048">
        <v>0</v>
      </c>
      <c r="O1048">
        <v>1</v>
      </c>
      <c r="P1048">
        <v>27.5</v>
      </c>
      <c r="Q1048" s="10">
        <v>4.5</v>
      </c>
      <c r="R1048" s="10">
        <v>12.5</v>
      </c>
      <c r="S1048" t="s">
        <v>518</v>
      </c>
      <c r="T1048" t="s">
        <v>447</v>
      </c>
      <c r="V1048" t="s">
        <v>32</v>
      </c>
      <c r="X1048">
        <v>2</v>
      </c>
      <c r="AF1048">
        <v>-76.878060000000005</v>
      </c>
      <c r="AG1048">
        <v>3.544</v>
      </c>
      <c r="AP1048" t="s">
        <v>467</v>
      </c>
      <c r="AQ1048" t="s">
        <v>443</v>
      </c>
    </row>
    <row r="1049" spans="1:43" x14ac:dyDescent="0.2">
      <c r="A1049">
        <v>2023</v>
      </c>
      <c r="B1049" t="s">
        <v>49</v>
      </c>
      <c r="C1049" t="s">
        <v>53</v>
      </c>
      <c r="D1049" t="s">
        <v>198</v>
      </c>
      <c r="E1049" t="s">
        <v>111</v>
      </c>
      <c r="F1049" s="4">
        <v>45251</v>
      </c>
      <c r="G1049" s="5">
        <v>0</v>
      </c>
      <c r="H1049">
        <v>-76.878299999999996</v>
      </c>
      <c r="I1049">
        <v>3.5436999999999999</v>
      </c>
      <c r="J1049">
        <v>8</v>
      </c>
      <c r="K1049" t="s">
        <v>112</v>
      </c>
      <c r="L1049" t="s">
        <v>546</v>
      </c>
      <c r="M1049">
        <v>434</v>
      </c>
      <c r="N1049">
        <v>0</v>
      </c>
      <c r="O1049">
        <v>1</v>
      </c>
      <c r="P1049">
        <v>27.5</v>
      </c>
      <c r="Q1049" s="10">
        <v>4.5</v>
      </c>
      <c r="R1049" s="10">
        <v>12.5</v>
      </c>
      <c r="S1049" t="s">
        <v>489</v>
      </c>
      <c r="T1049" t="s">
        <v>447</v>
      </c>
      <c r="V1049" t="s">
        <v>45</v>
      </c>
      <c r="X1049">
        <v>1</v>
      </c>
      <c r="AF1049">
        <v>-76.878060000000005</v>
      </c>
      <c r="AG1049">
        <v>3.544</v>
      </c>
      <c r="AP1049" t="s">
        <v>450</v>
      </c>
      <c r="AQ1049" t="s">
        <v>443</v>
      </c>
    </row>
    <row r="1050" spans="1:43" x14ac:dyDescent="0.2">
      <c r="A1050">
        <v>2023</v>
      </c>
      <c r="B1050" t="s">
        <v>49</v>
      </c>
      <c r="C1050" t="s">
        <v>53</v>
      </c>
      <c r="D1050" t="s">
        <v>198</v>
      </c>
      <c r="E1050" t="s">
        <v>111</v>
      </c>
      <c r="F1050" s="4">
        <v>45251</v>
      </c>
      <c r="G1050" s="5">
        <v>0</v>
      </c>
      <c r="H1050">
        <v>-76.878342500000002</v>
      </c>
      <c r="I1050">
        <v>3.5436563950000002</v>
      </c>
      <c r="J1050">
        <v>8</v>
      </c>
      <c r="K1050" t="s">
        <v>119</v>
      </c>
      <c r="L1050" t="s">
        <v>546</v>
      </c>
      <c r="M1050">
        <v>434</v>
      </c>
      <c r="N1050">
        <v>0</v>
      </c>
      <c r="O1050">
        <v>1</v>
      </c>
      <c r="P1050">
        <v>27.5</v>
      </c>
      <c r="Q1050" s="10">
        <v>4.5</v>
      </c>
      <c r="R1050" s="10">
        <v>12.5</v>
      </c>
      <c r="S1050" t="s">
        <v>518</v>
      </c>
      <c r="T1050" t="s">
        <v>447</v>
      </c>
      <c r="V1050" t="s">
        <v>45</v>
      </c>
      <c r="X1050">
        <v>1</v>
      </c>
      <c r="AF1050">
        <v>-76.878060000000005</v>
      </c>
      <c r="AG1050">
        <v>3.544</v>
      </c>
      <c r="AP1050" t="s">
        <v>441</v>
      </c>
      <c r="AQ1050" t="s">
        <v>443</v>
      </c>
    </row>
    <row r="1051" spans="1:43" x14ac:dyDescent="0.2">
      <c r="A1051">
        <v>2023</v>
      </c>
      <c r="B1051" t="s">
        <v>49</v>
      </c>
      <c r="C1051" t="s">
        <v>51</v>
      </c>
      <c r="D1051" t="s">
        <v>240</v>
      </c>
      <c r="E1051" t="s">
        <v>135</v>
      </c>
      <c r="F1051" s="4">
        <v>45251</v>
      </c>
      <c r="G1051" s="5">
        <v>0</v>
      </c>
      <c r="H1051">
        <v>-76.882499999999993</v>
      </c>
      <c r="I1051">
        <v>3.5528</v>
      </c>
      <c r="J1051">
        <v>8</v>
      </c>
      <c r="K1051" t="s">
        <v>112</v>
      </c>
      <c r="L1051" t="s">
        <v>546</v>
      </c>
      <c r="N1051">
        <v>0</v>
      </c>
      <c r="O1051">
        <v>1</v>
      </c>
      <c r="P1051">
        <v>25</v>
      </c>
      <c r="Q1051" s="10">
        <v>2.25</v>
      </c>
      <c r="R1051" s="10">
        <v>0</v>
      </c>
      <c r="S1051" t="s">
        <v>318</v>
      </c>
      <c r="T1051" t="s">
        <v>447</v>
      </c>
      <c r="V1051" t="s">
        <v>46</v>
      </c>
      <c r="X1051">
        <v>1</v>
      </c>
      <c r="AF1051">
        <v>-76.882599999999996</v>
      </c>
      <c r="AG1051">
        <v>3.5525000000000002</v>
      </c>
      <c r="AP1051" t="s">
        <v>450</v>
      </c>
      <c r="AQ1051" t="s">
        <v>244</v>
      </c>
    </row>
    <row r="1052" spans="1:43" x14ac:dyDescent="0.2">
      <c r="A1052">
        <v>2023</v>
      </c>
      <c r="B1052" t="s">
        <v>49</v>
      </c>
      <c r="C1052" t="s">
        <v>51</v>
      </c>
      <c r="D1052" t="s">
        <v>240</v>
      </c>
      <c r="E1052" t="s">
        <v>135</v>
      </c>
      <c r="F1052" s="4">
        <v>45251</v>
      </c>
      <c r="G1052" s="5">
        <v>0</v>
      </c>
      <c r="H1052">
        <v>-76.882544330000002</v>
      </c>
      <c r="I1052">
        <v>3.5526869849999998</v>
      </c>
      <c r="J1052">
        <v>8</v>
      </c>
      <c r="K1052" t="s">
        <v>112</v>
      </c>
      <c r="L1052" t="s">
        <v>546</v>
      </c>
      <c r="N1052">
        <v>0</v>
      </c>
      <c r="O1052">
        <v>1</v>
      </c>
      <c r="P1052">
        <v>25</v>
      </c>
      <c r="Q1052" s="10">
        <v>2.25</v>
      </c>
      <c r="R1052" s="10">
        <v>0</v>
      </c>
      <c r="S1052" t="s">
        <v>518</v>
      </c>
      <c r="T1052" t="s">
        <v>447</v>
      </c>
      <c r="V1052" t="s">
        <v>32</v>
      </c>
      <c r="X1052">
        <v>1</v>
      </c>
      <c r="AF1052">
        <v>-76.882599999999996</v>
      </c>
      <c r="AG1052">
        <v>3.5525000000000002</v>
      </c>
      <c r="AP1052" t="s">
        <v>467</v>
      </c>
      <c r="AQ1052" t="s">
        <v>443</v>
      </c>
    </row>
    <row r="1053" spans="1:43" x14ac:dyDescent="0.2">
      <c r="A1053">
        <v>2023</v>
      </c>
      <c r="B1053" t="s">
        <v>49</v>
      </c>
      <c r="C1053" t="s">
        <v>51</v>
      </c>
      <c r="D1053" t="s">
        <v>240</v>
      </c>
      <c r="E1053" t="s">
        <v>135</v>
      </c>
      <c r="F1053" s="4">
        <v>45254</v>
      </c>
      <c r="G1053" s="5">
        <v>0</v>
      </c>
      <c r="H1053">
        <v>-76.882599999999996</v>
      </c>
      <c r="I1053">
        <v>3.5527000000000002</v>
      </c>
      <c r="J1053">
        <v>8</v>
      </c>
      <c r="K1053" t="s">
        <v>119</v>
      </c>
      <c r="M1053">
        <v>598</v>
      </c>
      <c r="N1053">
        <v>0</v>
      </c>
      <c r="O1053">
        <v>1</v>
      </c>
      <c r="P1053">
        <v>17.5</v>
      </c>
      <c r="Q1053" s="10">
        <v>1.5</v>
      </c>
      <c r="R1053" s="10">
        <v>3.5</v>
      </c>
      <c r="S1053" t="s">
        <v>549</v>
      </c>
      <c r="T1053" t="s">
        <v>447</v>
      </c>
      <c r="V1053" t="s">
        <v>45</v>
      </c>
      <c r="X1053">
        <v>1</v>
      </c>
      <c r="AF1053">
        <v>-76.882499999999993</v>
      </c>
      <c r="AG1053">
        <v>3.5526</v>
      </c>
      <c r="AP1053" t="s">
        <v>450</v>
      </c>
      <c r="AQ1053" t="s">
        <v>443</v>
      </c>
    </row>
    <row r="1054" spans="1:43" x14ac:dyDescent="0.2">
      <c r="A1054">
        <v>2023</v>
      </c>
      <c r="B1054" t="s">
        <v>49</v>
      </c>
      <c r="C1054" t="s">
        <v>51</v>
      </c>
      <c r="D1054" t="s">
        <v>240</v>
      </c>
      <c r="E1054" t="s">
        <v>135</v>
      </c>
      <c r="F1054" s="4">
        <v>45254</v>
      </c>
      <c r="G1054" s="5">
        <v>0</v>
      </c>
      <c r="H1054">
        <v>-76.882599999999996</v>
      </c>
      <c r="I1054">
        <v>3.5527000000000002</v>
      </c>
      <c r="J1054">
        <v>8</v>
      </c>
      <c r="K1054" t="s">
        <v>112</v>
      </c>
      <c r="M1054">
        <v>598</v>
      </c>
      <c r="N1054">
        <v>0</v>
      </c>
      <c r="O1054">
        <v>1</v>
      </c>
      <c r="P1054">
        <v>17.5</v>
      </c>
      <c r="Q1054" s="10">
        <v>1.5</v>
      </c>
      <c r="R1054" s="10">
        <v>3.5</v>
      </c>
      <c r="S1054" t="s">
        <v>549</v>
      </c>
      <c r="T1054" t="s">
        <v>447</v>
      </c>
      <c r="V1054" t="s">
        <v>45</v>
      </c>
      <c r="X1054">
        <v>1</v>
      </c>
      <c r="AF1054">
        <v>-76.882499999999993</v>
      </c>
      <c r="AG1054">
        <v>3.5526</v>
      </c>
      <c r="AP1054" t="s">
        <v>450</v>
      </c>
      <c r="AQ1054" t="s">
        <v>443</v>
      </c>
    </row>
    <row r="1055" spans="1:43" x14ac:dyDescent="0.2">
      <c r="A1055">
        <v>2023</v>
      </c>
      <c r="B1055" t="s">
        <v>49</v>
      </c>
      <c r="C1055" t="s">
        <v>53</v>
      </c>
      <c r="D1055" t="s">
        <v>198</v>
      </c>
      <c r="E1055" t="s">
        <v>111</v>
      </c>
      <c r="F1055" s="4">
        <v>45254</v>
      </c>
      <c r="G1055" s="5">
        <v>0</v>
      </c>
      <c r="H1055">
        <v>-76.878500000000003</v>
      </c>
      <c r="I1055">
        <v>3.5438000000000001</v>
      </c>
      <c r="J1055">
        <v>8</v>
      </c>
      <c r="K1055" t="s">
        <v>119</v>
      </c>
      <c r="M1055">
        <v>590</v>
      </c>
      <c r="N1055">
        <v>0</v>
      </c>
      <c r="O1055">
        <v>1</v>
      </c>
      <c r="P1055">
        <v>27.5</v>
      </c>
      <c r="Q1055" s="10">
        <v>4.5</v>
      </c>
      <c r="R1055" s="10">
        <v>12.5</v>
      </c>
      <c r="S1055" t="s">
        <v>549</v>
      </c>
      <c r="T1055" t="s">
        <v>447</v>
      </c>
      <c r="V1055" t="s">
        <v>45</v>
      </c>
      <c r="X1055">
        <v>4</v>
      </c>
      <c r="AF1055">
        <v>-76.878060000000005</v>
      </c>
      <c r="AG1055">
        <v>3.544</v>
      </c>
      <c r="AP1055" t="s">
        <v>450</v>
      </c>
      <c r="AQ1055" t="s">
        <v>443</v>
      </c>
    </row>
    <row r="1056" spans="1:43" x14ac:dyDescent="0.2">
      <c r="A1056">
        <v>2023</v>
      </c>
      <c r="B1056" t="s">
        <v>49</v>
      </c>
      <c r="C1056" t="s">
        <v>53</v>
      </c>
      <c r="D1056" t="s">
        <v>198</v>
      </c>
      <c r="E1056" t="s">
        <v>111</v>
      </c>
      <c r="F1056" s="4">
        <v>45254</v>
      </c>
      <c r="G1056" s="5">
        <v>0</v>
      </c>
      <c r="H1056">
        <v>-76.878299999999996</v>
      </c>
      <c r="I1056">
        <v>3.5436999999999999</v>
      </c>
      <c r="J1056">
        <v>8</v>
      </c>
      <c r="K1056" t="s">
        <v>112</v>
      </c>
      <c r="M1056">
        <v>590</v>
      </c>
      <c r="N1056">
        <v>0</v>
      </c>
      <c r="O1056">
        <v>1</v>
      </c>
      <c r="P1056">
        <v>27.5</v>
      </c>
      <c r="Q1056" s="10">
        <v>4.5</v>
      </c>
      <c r="R1056" s="10">
        <v>12.5</v>
      </c>
      <c r="S1056" t="s">
        <v>549</v>
      </c>
      <c r="T1056" t="s">
        <v>447</v>
      </c>
      <c r="V1056" t="s">
        <v>45</v>
      </c>
      <c r="X1056">
        <v>1</v>
      </c>
      <c r="AF1056">
        <v>-76.878060000000005</v>
      </c>
      <c r="AG1056">
        <v>3.544</v>
      </c>
      <c r="AP1056" t="s">
        <v>450</v>
      </c>
      <c r="AQ1056" t="s">
        <v>443</v>
      </c>
    </row>
    <row r="1057" spans="1:43" x14ac:dyDescent="0.2">
      <c r="A1057">
        <v>2023</v>
      </c>
      <c r="B1057" t="s">
        <v>49</v>
      </c>
      <c r="C1057" t="s">
        <v>53</v>
      </c>
      <c r="D1057" t="s">
        <v>198</v>
      </c>
      <c r="E1057" t="s">
        <v>111</v>
      </c>
      <c r="F1057" s="4">
        <v>45254</v>
      </c>
      <c r="G1057" s="5">
        <v>0</v>
      </c>
      <c r="H1057">
        <v>-76.878299999999996</v>
      </c>
      <c r="I1057">
        <v>3.5436000000000001</v>
      </c>
      <c r="J1057">
        <v>8</v>
      </c>
      <c r="K1057" t="s">
        <v>112</v>
      </c>
      <c r="M1057">
        <v>590</v>
      </c>
      <c r="N1057">
        <v>0</v>
      </c>
      <c r="O1057">
        <v>1</v>
      </c>
      <c r="P1057">
        <v>27.5</v>
      </c>
      <c r="Q1057" s="10">
        <v>4.5</v>
      </c>
      <c r="R1057" s="10">
        <v>12.5</v>
      </c>
      <c r="S1057" t="s">
        <v>549</v>
      </c>
      <c r="T1057" t="s">
        <v>447</v>
      </c>
      <c r="V1057" t="s">
        <v>45</v>
      </c>
      <c r="X1057">
        <v>8</v>
      </c>
      <c r="AF1057">
        <v>-76.878060000000005</v>
      </c>
      <c r="AG1057">
        <v>3.544</v>
      </c>
      <c r="AP1057" t="s">
        <v>450</v>
      </c>
      <c r="AQ1057" t="s">
        <v>443</v>
      </c>
    </row>
    <row r="1058" spans="1:43" x14ac:dyDescent="0.2">
      <c r="A1058">
        <v>2023</v>
      </c>
      <c r="B1058" t="s">
        <v>49</v>
      </c>
      <c r="C1058" t="s">
        <v>80</v>
      </c>
      <c r="D1058" t="s">
        <v>552</v>
      </c>
      <c r="E1058" t="s">
        <v>157</v>
      </c>
      <c r="F1058" s="4">
        <v>45253</v>
      </c>
      <c r="G1058" s="5">
        <v>0</v>
      </c>
      <c r="H1058">
        <v>-76.880799999999994</v>
      </c>
      <c r="I1058">
        <v>3.5960000000000001</v>
      </c>
      <c r="J1058">
        <v>8</v>
      </c>
      <c r="K1058" t="s">
        <v>112</v>
      </c>
      <c r="M1058">
        <v>512</v>
      </c>
      <c r="N1058">
        <v>1</v>
      </c>
      <c r="O1058">
        <v>0</v>
      </c>
      <c r="P1058">
        <v>30</v>
      </c>
      <c r="Q1058" s="10" t="s">
        <v>543</v>
      </c>
      <c r="R1058" s="10">
        <v>12.5</v>
      </c>
      <c r="S1058" t="s">
        <v>549</v>
      </c>
      <c r="T1058" t="s">
        <v>258</v>
      </c>
      <c r="V1058" t="s">
        <v>77</v>
      </c>
      <c r="X1058">
        <v>1</v>
      </c>
      <c r="AA1058" t="s">
        <v>365</v>
      </c>
      <c r="AF1058">
        <v>-76.880700000000004</v>
      </c>
      <c r="AG1058">
        <v>3.5962000000000001</v>
      </c>
      <c r="AP1058" t="s">
        <v>450</v>
      </c>
      <c r="AQ1058" t="s">
        <v>443</v>
      </c>
    </row>
    <row r="1059" spans="1:43" x14ac:dyDescent="0.2">
      <c r="A1059">
        <v>2023</v>
      </c>
      <c r="B1059" t="s">
        <v>49</v>
      </c>
      <c r="C1059" t="s">
        <v>54</v>
      </c>
      <c r="D1059" t="s">
        <v>248</v>
      </c>
      <c r="E1059" t="s">
        <v>122</v>
      </c>
      <c r="F1059" s="4">
        <v>45253</v>
      </c>
      <c r="G1059" s="5">
        <v>0</v>
      </c>
      <c r="H1059">
        <v>-76.892063329999999</v>
      </c>
      <c r="I1059">
        <v>3.595215</v>
      </c>
      <c r="J1059">
        <v>8</v>
      </c>
      <c r="N1059">
        <v>0</v>
      </c>
      <c r="O1059">
        <v>0</v>
      </c>
      <c r="P1059">
        <v>22.5</v>
      </c>
      <c r="Q1059" s="10" t="s">
        <v>543</v>
      </c>
      <c r="R1059" s="10">
        <v>17.5</v>
      </c>
      <c r="V1059" t="s">
        <v>47</v>
      </c>
      <c r="X1059">
        <v>0</v>
      </c>
      <c r="AF1059">
        <v>-76.892600000000002</v>
      </c>
      <c r="AG1059">
        <v>3.5958999999999999</v>
      </c>
    </row>
    <row r="1060" spans="1:43" x14ac:dyDescent="0.2">
      <c r="A1060">
        <v>2023</v>
      </c>
      <c r="B1060" t="s">
        <v>10</v>
      </c>
      <c r="C1060" t="s">
        <v>14</v>
      </c>
      <c r="D1060" t="s">
        <v>226</v>
      </c>
      <c r="E1060" t="s">
        <v>111</v>
      </c>
      <c r="F1060" s="4">
        <v>45244</v>
      </c>
      <c r="G1060" s="5">
        <v>0</v>
      </c>
      <c r="H1060">
        <v>-76.647300000000001</v>
      </c>
      <c r="I1060">
        <v>3.3481999999999998</v>
      </c>
      <c r="J1060">
        <v>8</v>
      </c>
      <c r="N1060">
        <v>0</v>
      </c>
      <c r="O1060">
        <v>0</v>
      </c>
      <c r="P1060">
        <v>14</v>
      </c>
      <c r="Q1060" s="10">
        <v>1</v>
      </c>
      <c r="R1060" s="10">
        <v>6</v>
      </c>
      <c r="V1060" t="s">
        <v>47</v>
      </c>
      <c r="X1060">
        <v>0</v>
      </c>
      <c r="AF1060">
        <v>-76.647099999999995</v>
      </c>
      <c r="AG1060">
        <v>3.3489499999999999</v>
      </c>
    </row>
    <row r="1061" spans="1:43" x14ac:dyDescent="0.2">
      <c r="A1061">
        <v>2023</v>
      </c>
      <c r="B1061" t="s">
        <v>49</v>
      </c>
      <c r="C1061" t="s">
        <v>52</v>
      </c>
      <c r="D1061" t="s">
        <v>241</v>
      </c>
      <c r="E1061" t="s">
        <v>111</v>
      </c>
      <c r="F1061" s="4">
        <v>45251</v>
      </c>
      <c r="G1061" s="5">
        <v>0</v>
      </c>
      <c r="H1061">
        <v>-76.890325000000004</v>
      </c>
      <c r="I1061">
        <v>3.5508683329999999</v>
      </c>
      <c r="J1061">
        <v>8</v>
      </c>
      <c r="K1061" t="s">
        <v>119</v>
      </c>
      <c r="L1061" t="s">
        <v>546</v>
      </c>
      <c r="N1061">
        <v>0</v>
      </c>
      <c r="O1061">
        <v>1</v>
      </c>
      <c r="P1061">
        <v>15</v>
      </c>
      <c r="Q1061" s="10" t="s">
        <v>543</v>
      </c>
      <c r="R1061" s="10">
        <v>7.5</v>
      </c>
      <c r="S1061" t="s">
        <v>518</v>
      </c>
      <c r="T1061" t="s">
        <v>447</v>
      </c>
      <c r="V1061" t="s">
        <v>32</v>
      </c>
      <c r="X1061">
        <v>3</v>
      </c>
      <c r="AF1061">
        <v>-76.8904</v>
      </c>
      <c r="AG1061">
        <v>3.5510000000000002</v>
      </c>
      <c r="AP1061" t="s">
        <v>441</v>
      </c>
      <c r="AQ1061" t="s">
        <v>244</v>
      </c>
    </row>
    <row r="1062" spans="1:43" x14ac:dyDescent="0.2">
      <c r="A1062">
        <v>2023</v>
      </c>
      <c r="B1062" t="s">
        <v>49</v>
      </c>
      <c r="C1062" t="s">
        <v>52</v>
      </c>
      <c r="D1062" t="s">
        <v>241</v>
      </c>
      <c r="E1062" t="s">
        <v>111</v>
      </c>
      <c r="F1062" s="4">
        <v>45251</v>
      </c>
      <c r="G1062" s="5">
        <v>0</v>
      </c>
      <c r="H1062">
        <v>-76.890325000000004</v>
      </c>
      <c r="I1062">
        <v>3.5508683329999999</v>
      </c>
      <c r="J1062">
        <v>8</v>
      </c>
      <c r="K1062" t="s">
        <v>119</v>
      </c>
      <c r="L1062" t="s">
        <v>546</v>
      </c>
      <c r="N1062">
        <v>0</v>
      </c>
      <c r="O1062">
        <v>1</v>
      </c>
      <c r="P1062">
        <v>15</v>
      </c>
      <c r="Q1062" s="10" t="s">
        <v>543</v>
      </c>
      <c r="R1062" s="10">
        <v>7.5</v>
      </c>
      <c r="S1062" t="s">
        <v>489</v>
      </c>
      <c r="T1062" t="s">
        <v>447</v>
      </c>
      <c r="V1062" t="s">
        <v>34</v>
      </c>
      <c r="X1062">
        <v>1</v>
      </c>
      <c r="AF1062">
        <v>-76.8904</v>
      </c>
      <c r="AG1062">
        <v>3.5510000000000002</v>
      </c>
      <c r="AP1062" t="s">
        <v>441</v>
      </c>
      <c r="AQ1062" t="s">
        <v>443</v>
      </c>
    </row>
    <row r="1063" spans="1:43" x14ac:dyDescent="0.2">
      <c r="A1063">
        <v>2023</v>
      </c>
      <c r="B1063" t="s">
        <v>49</v>
      </c>
      <c r="C1063" t="s">
        <v>53</v>
      </c>
      <c r="D1063" t="s">
        <v>554</v>
      </c>
      <c r="E1063" t="s">
        <v>122</v>
      </c>
      <c r="F1063" s="4">
        <v>45254</v>
      </c>
      <c r="G1063" s="5">
        <v>0</v>
      </c>
      <c r="H1063">
        <v>-76.87715</v>
      </c>
      <c r="I1063">
        <v>3.5433366670000002</v>
      </c>
      <c r="J1063">
        <v>8</v>
      </c>
      <c r="N1063">
        <v>0</v>
      </c>
      <c r="O1063">
        <v>0</v>
      </c>
      <c r="P1063">
        <v>32.5</v>
      </c>
      <c r="Q1063" s="10" t="s">
        <v>543</v>
      </c>
      <c r="R1063" s="10">
        <v>22.5</v>
      </c>
      <c r="V1063" t="s">
        <v>47</v>
      </c>
      <c r="X1063">
        <v>0</v>
      </c>
      <c r="AA1063" t="s">
        <v>365</v>
      </c>
      <c r="AF1063">
        <v>-76.877899999999997</v>
      </c>
      <c r="AG1063">
        <v>3.544</v>
      </c>
    </row>
    <row r="1064" spans="1:43" x14ac:dyDescent="0.2">
      <c r="A1064">
        <v>2023</v>
      </c>
      <c r="B1064" t="s">
        <v>49</v>
      </c>
      <c r="C1064" t="s">
        <v>80</v>
      </c>
      <c r="D1064" t="s">
        <v>555</v>
      </c>
      <c r="E1064" t="s">
        <v>122</v>
      </c>
      <c r="F1064" s="4">
        <v>45253</v>
      </c>
      <c r="G1064" s="5">
        <v>0</v>
      </c>
      <c r="H1064">
        <v>-76.8827</v>
      </c>
      <c r="I1064">
        <v>3.5903</v>
      </c>
      <c r="J1064">
        <v>8</v>
      </c>
      <c r="K1064" t="s">
        <v>119</v>
      </c>
      <c r="M1064">
        <v>683</v>
      </c>
      <c r="N1064">
        <v>0</v>
      </c>
      <c r="O1064">
        <v>1</v>
      </c>
      <c r="P1064" t="e">
        <v>#DIV/0!</v>
      </c>
      <c r="Q1064" s="10" t="s">
        <v>543</v>
      </c>
      <c r="R1064" s="10" t="s">
        <v>543</v>
      </c>
      <c r="S1064" t="s">
        <v>518</v>
      </c>
      <c r="T1064" t="s">
        <v>447</v>
      </c>
      <c r="V1064" t="s">
        <v>34</v>
      </c>
      <c r="X1064">
        <v>1</v>
      </c>
      <c r="AP1064" t="s">
        <v>441</v>
      </c>
      <c r="AQ1064" t="s">
        <v>244</v>
      </c>
    </row>
    <row r="1065" spans="1:43" x14ac:dyDescent="0.2">
      <c r="A1065">
        <v>2023</v>
      </c>
      <c r="B1065" t="s">
        <v>49</v>
      </c>
      <c r="C1065" t="s">
        <v>80</v>
      </c>
      <c r="D1065" t="s">
        <v>555</v>
      </c>
      <c r="E1065" t="s">
        <v>122</v>
      </c>
      <c r="F1065" s="4">
        <v>45253</v>
      </c>
      <c r="G1065" s="5">
        <v>0</v>
      </c>
      <c r="H1065">
        <v>-76.8827</v>
      </c>
      <c r="I1065">
        <v>3.5903</v>
      </c>
      <c r="J1065">
        <v>8</v>
      </c>
      <c r="K1065" t="s">
        <v>112</v>
      </c>
      <c r="M1065">
        <v>683</v>
      </c>
      <c r="N1065">
        <v>0</v>
      </c>
      <c r="O1065">
        <v>1</v>
      </c>
      <c r="P1065">
        <v>27.5</v>
      </c>
      <c r="Q1065" s="10">
        <v>1.25</v>
      </c>
      <c r="R1065" s="10">
        <v>45</v>
      </c>
      <c r="S1065" t="s">
        <v>518</v>
      </c>
      <c r="T1065" t="s">
        <v>447</v>
      </c>
      <c r="V1065" t="s">
        <v>31</v>
      </c>
      <c r="X1065">
        <v>1</v>
      </c>
      <c r="AF1065">
        <v>-76.882599999999996</v>
      </c>
      <c r="AG1065">
        <v>3.5905999999999998</v>
      </c>
      <c r="AP1065" t="s">
        <v>441</v>
      </c>
      <c r="AQ1065" t="s">
        <v>244</v>
      </c>
    </row>
    <row r="1066" spans="1:43" x14ac:dyDescent="0.2">
      <c r="A1066">
        <v>2023</v>
      </c>
      <c r="B1066" t="s">
        <v>10</v>
      </c>
      <c r="C1066" t="s">
        <v>69</v>
      </c>
      <c r="D1066" t="s">
        <v>465</v>
      </c>
      <c r="E1066" t="s">
        <v>122</v>
      </c>
      <c r="F1066" s="4">
        <v>45245</v>
      </c>
      <c r="G1066" s="5">
        <v>0</v>
      </c>
      <c r="H1066">
        <v>-76.640676099999993</v>
      </c>
      <c r="I1066">
        <v>3.3500424560000002</v>
      </c>
      <c r="J1066">
        <v>8</v>
      </c>
      <c r="K1066" t="s">
        <v>112</v>
      </c>
      <c r="L1066" t="s">
        <v>546</v>
      </c>
      <c r="N1066">
        <v>1</v>
      </c>
      <c r="O1066">
        <v>0</v>
      </c>
      <c r="P1066">
        <v>15</v>
      </c>
      <c r="Q1066" s="10" t="s">
        <v>543</v>
      </c>
      <c r="R1066" s="10">
        <v>3.5</v>
      </c>
      <c r="S1066" t="s">
        <v>518</v>
      </c>
      <c r="T1066" t="s">
        <v>258</v>
      </c>
      <c r="V1066" t="s">
        <v>9</v>
      </c>
      <c r="X1066">
        <v>1</v>
      </c>
      <c r="AF1066">
        <v>-76.640500000000003</v>
      </c>
      <c r="AG1066">
        <v>3.3503500000000002</v>
      </c>
      <c r="AP1066" t="s">
        <v>441</v>
      </c>
      <c r="AQ1066" t="s">
        <v>443</v>
      </c>
    </row>
    <row r="1067" spans="1:43" x14ac:dyDescent="0.2">
      <c r="A1067">
        <v>2023</v>
      </c>
      <c r="B1067" t="s">
        <v>10</v>
      </c>
      <c r="C1067" t="s">
        <v>69</v>
      </c>
      <c r="D1067" t="s">
        <v>465</v>
      </c>
      <c r="E1067" t="s">
        <v>122</v>
      </c>
      <c r="F1067" s="4">
        <v>45245</v>
      </c>
      <c r="G1067" s="5">
        <v>0</v>
      </c>
      <c r="H1067">
        <v>-76.640900000000002</v>
      </c>
      <c r="I1067">
        <v>3.35</v>
      </c>
      <c r="J1067">
        <v>8</v>
      </c>
      <c r="K1067" t="s">
        <v>119</v>
      </c>
      <c r="L1067" t="s">
        <v>120</v>
      </c>
      <c r="N1067">
        <v>1</v>
      </c>
      <c r="O1067">
        <v>0</v>
      </c>
      <c r="P1067">
        <v>15</v>
      </c>
      <c r="Q1067" s="10" t="s">
        <v>543</v>
      </c>
      <c r="R1067" s="10">
        <v>3.5</v>
      </c>
      <c r="S1067" t="s">
        <v>518</v>
      </c>
      <c r="T1067" t="s">
        <v>258</v>
      </c>
      <c r="V1067" t="s">
        <v>9</v>
      </c>
      <c r="X1067">
        <v>1</v>
      </c>
      <c r="AF1067">
        <v>-76.640500000000003</v>
      </c>
      <c r="AG1067">
        <v>3.3503500000000002</v>
      </c>
      <c r="AP1067" t="s">
        <v>441</v>
      </c>
      <c r="AQ1067" t="s">
        <v>443</v>
      </c>
    </row>
    <row r="1068" spans="1:43" x14ac:dyDescent="0.2">
      <c r="A1068">
        <v>2023</v>
      </c>
      <c r="B1068" t="s">
        <v>10</v>
      </c>
      <c r="C1068" t="s">
        <v>69</v>
      </c>
      <c r="D1068" t="s">
        <v>465</v>
      </c>
      <c r="E1068" t="s">
        <v>122</v>
      </c>
      <c r="F1068" s="4">
        <v>45245</v>
      </c>
      <c r="G1068" s="5">
        <v>0</v>
      </c>
      <c r="H1068">
        <v>-76.640600000000006</v>
      </c>
      <c r="I1068">
        <v>3.3502000000000001</v>
      </c>
      <c r="J1068">
        <v>8</v>
      </c>
      <c r="K1068" t="s">
        <v>119</v>
      </c>
      <c r="L1068" t="s">
        <v>120</v>
      </c>
      <c r="N1068">
        <v>1</v>
      </c>
      <c r="O1068">
        <v>0</v>
      </c>
      <c r="P1068">
        <v>15</v>
      </c>
      <c r="Q1068" s="10" t="s">
        <v>543</v>
      </c>
      <c r="R1068" s="10">
        <v>3.5</v>
      </c>
      <c r="T1068" t="s">
        <v>258</v>
      </c>
      <c r="V1068" t="s">
        <v>9</v>
      </c>
      <c r="X1068">
        <v>2</v>
      </c>
      <c r="AF1068">
        <v>-76.640500000000003</v>
      </c>
      <c r="AG1068">
        <v>3.3503500000000002</v>
      </c>
      <c r="AQ1068" t="s">
        <v>244</v>
      </c>
    </row>
    <row r="1069" spans="1:43" x14ac:dyDescent="0.2">
      <c r="A1069">
        <v>2023</v>
      </c>
      <c r="B1069" t="s">
        <v>10</v>
      </c>
      <c r="C1069" t="s">
        <v>69</v>
      </c>
      <c r="D1069" t="s">
        <v>465</v>
      </c>
      <c r="E1069" t="s">
        <v>122</v>
      </c>
      <c r="F1069" s="4">
        <v>45245</v>
      </c>
      <c r="G1069" s="5">
        <v>0</v>
      </c>
      <c r="H1069">
        <v>-76.640799999999999</v>
      </c>
      <c r="I1069">
        <v>3.35</v>
      </c>
      <c r="J1069">
        <v>8</v>
      </c>
      <c r="K1069" t="s">
        <v>119</v>
      </c>
      <c r="L1069" t="s">
        <v>120</v>
      </c>
      <c r="N1069">
        <v>1</v>
      </c>
      <c r="O1069">
        <v>0</v>
      </c>
      <c r="P1069">
        <v>15</v>
      </c>
      <c r="Q1069" s="10" t="s">
        <v>543</v>
      </c>
      <c r="R1069" s="10">
        <v>3.5</v>
      </c>
      <c r="S1069" t="s">
        <v>518</v>
      </c>
      <c r="T1069" t="s">
        <v>258</v>
      </c>
      <c r="V1069" t="s">
        <v>9</v>
      </c>
      <c r="X1069">
        <v>1</v>
      </c>
      <c r="AF1069">
        <v>-76.640500000000003</v>
      </c>
      <c r="AG1069">
        <v>3.3503500000000002</v>
      </c>
      <c r="AP1069" t="s">
        <v>441</v>
      </c>
      <c r="AQ1069" t="s">
        <v>443</v>
      </c>
    </row>
    <row r="1070" spans="1:43" x14ac:dyDescent="0.2">
      <c r="A1070">
        <v>2023</v>
      </c>
      <c r="B1070" t="s">
        <v>49</v>
      </c>
      <c r="C1070" t="s">
        <v>51</v>
      </c>
      <c r="D1070" t="s">
        <v>221</v>
      </c>
      <c r="E1070" t="s">
        <v>111</v>
      </c>
      <c r="F1070" s="4">
        <v>45254</v>
      </c>
      <c r="G1070" s="5">
        <v>0</v>
      </c>
      <c r="H1070">
        <v>-76.881100000000004</v>
      </c>
      <c r="I1070">
        <v>3.5527000000000002</v>
      </c>
      <c r="J1070">
        <v>8</v>
      </c>
      <c r="K1070" t="s">
        <v>119</v>
      </c>
      <c r="L1070" t="s">
        <v>507</v>
      </c>
      <c r="M1070">
        <v>598</v>
      </c>
      <c r="N1070">
        <v>1</v>
      </c>
      <c r="O1070">
        <v>0</v>
      </c>
      <c r="P1070">
        <v>20</v>
      </c>
      <c r="Q1070" s="10" t="s">
        <v>543</v>
      </c>
      <c r="R1070" s="10">
        <v>15</v>
      </c>
      <c r="S1070" t="s">
        <v>518</v>
      </c>
      <c r="T1070" t="s">
        <v>258</v>
      </c>
      <c r="V1070" t="s">
        <v>78</v>
      </c>
      <c r="X1070">
        <v>1</v>
      </c>
      <c r="AF1070">
        <v>-76.880600000000001</v>
      </c>
      <c r="AG1070">
        <v>3.5528</v>
      </c>
      <c r="AP1070" t="s">
        <v>450</v>
      </c>
      <c r="AQ1070" t="s">
        <v>244</v>
      </c>
    </row>
    <row r="1071" spans="1:43" x14ac:dyDescent="0.2">
      <c r="A1071">
        <v>2023</v>
      </c>
      <c r="B1071" t="s">
        <v>49</v>
      </c>
      <c r="C1071" t="s">
        <v>51</v>
      </c>
      <c r="D1071" t="s">
        <v>221</v>
      </c>
      <c r="E1071" t="s">
        <v>111</v>
      </c>
      <c r="F1071" s="4">
        <v>45254</v>
      </c>
      <c r="G1071" s="5">
        <v>0</v>
      </c>
      <c r="H1071">
        <v>-76.881399999999999</v>
      </c>
      <c r="I1071">
        <v>3.5527000000000002</v>
      </c>
      <c r="J1071">
        <v>8</v>
      </c>
      <c r="K1071" t="s">
        <v>112</v>
      </c>
      <c r="L1071" t="s">
        <v>507</v>
      </c>
      <c r="M1071">
        <v>598</v>
      </c>
      <c r="N1071">
        <v>1</v>
      </c>
      <c r="O1071">
        <v>0</v>
      </c>
      <c r="P1071">
        <v>20</v>
      </c>
      <c r="Q1071" s="10" t="s">
        <v>543</v>
      </c>
      <c r="R1071" s="10">
        <v>15</v>
      </c>
      <c r="S1071" t="s">
        <v>549</v>
      </c>
      <c r="T1071" t="s">
        <v>258</v>
      </c>
      <c r="V1071" t="s">
        <v>45</v>
      </c>
      <c r="X1071">
        <v>1</v>
      </c>
      <c r="AA1071" t="s">
        <v>365</v>
      </c>
      <c r="AF1071">
        <v>-76.880600000000001</v>
      </c>
      <c r="AG1071">
        <v>3.5528</v>
      </c>
      <c r="AP1071" t="s">
        <v>450</v>
      </c>
      <c r="AQ1071" t="s">
        <v>244</v>
      </c>
    </row>
    <row r="1072" spans="1:43" x14ac:dyDescent="0.2">
      <c r="A1072">
        <v>2023</v>
      </c>
      <c r="B1072" t="s">
        <v>49</v>
      </c>
      <c r="C1072" t="s">
        <v>80</v>
      </c>
      <c r="D1072" t="s">
        <v>548</v>
      </c>
      <c r="E1072" t="s">
        <v>135</v>
      </c>
      <c r="F1072" s="4">
        <v>45253</v>
      </c>
      <c r="G1072" s="5">
        <v>0.88335648148148149</v>
      </c>
      <c r="H1072">
        <v>-76.880700000000004</v>
      </c>
      <c r="I1072">
        <v>3.5962999999999998</v>
      </c>
      <c r="J1072">
        <v>8</v>
      </c>
      <c r="K1072" t="s">
        <v>119</v>
      </c>
      <c r="M1072">
        <v>559</v>
      </c>
      <c r="N1072">
        <v>0</v>
      </c>
      <c r="O1072">
        <v>1</v>
      </c>
      <c r="P1072">
        <v>21</v>
      </c>
      <c r="Q1072" s="10">
        <v>1</v>
      </c>
      <c r="R1072" s="10">
        <v>30</v>
      </c>
      <c r="S1072" t="s">
        <v>518</v>
      </c>
      <c r="T1072" t="s">
        <v>447</v>
      </c>
      <c r="V1072" t="s">
        <v>31</v>
      </c>
      <c r="X1072">
        <v>1</v>
      </c>
      <c r="AF1072">
        <v>-76.880499999999998</v>
      </c>
      <c r="AG1072">
        <v>3.5960999999999999</v>
      </c>
      <c r="AP1072" t="s">
        <v>441</v>
      </c>
      <c r="AQ1072" t="s">
        <v>443</v>
      </c>
    </row>
    <row r="1073" spans="1:43" x14ac:dyDescent="0.2">
      <c r="A1073">
        <v>2023</v>
      </c>
      <c r="B1073" t="s">
        <v>49</v>
      </c>
      <c r="C1073" t="s">
        <v>80</v>
      </c>
      <c r="D1073" t="s">
        <v>548</v>
      </c>
      <c r="E1073" t="s">
        <v>135</v>
      </c>
      <c r="F1073" s="4">
        <v>45253</v>
      </c>
      <c r="G1073" s="5">
        <v>0.88335648148148149</v>
      </c>
      <c r="H1073">
        <v>-76.880899999999997</v>
      </c>
      <c r="I1073">
        <v>3.5962999999999998</v>
      </c>
      <c r="J1073">
        <v>8</v>
      </c>
      <c r="K1073" t="s">
        <v>112</v>
      </c>
      <c r="M1073">
        <v>559</v>
      </c>
      <c r="N1073">
        <v>0</v>
      </c>
      <c r="O1073">
        <v>1</v>
      </c>
      <c r="P1073">
        <v>21</v>
      </c>
      <c r="Q1073" s="10">
        <v>1</v>
      </c>
      <c r="R1073" s="10">
        <v>30</v>
      </c>
      <c r="S1073" t="s">
        <v>518</v>
      </c>
      <c r="T1073" t="s">
        <v>447</v>
      </c>
      <c r="V1073" t="s">
        <v>31</v>
      </c>
      <c r="X1073">
        <v>1</v>
      </c>
      <c r="AF1073">
        <v>-76.880499999999998</v>
      </c>
      <c r="AG1073">
        <v>3.5960999999999999</v>
      </c>
      <c r="AP1073" t="s">
        <v>441</v>
      </c>
      <c r="AQ1073" t="s">
        <v>244</v>
      </c>
    </row>
    <row r="1074" spans="1:43" x14ac:dyDescent="0.2">
      <c r="A1074">
        <v>2023</v>
      </c>
      <c r="B1074" t="s">
        <v>49</v>
      </c>
      <c r="C1074" t="s">
        <v>80</v>
      </c>
      <c r="D1074" t="s">
        <v>555</v>
      </c>
      <c r="E1074" t="s">
        <v>122</v>
      </c>
      <c r="F1074" s="4">
        <v>45253</v>
      </c>
      <c r="G1074" s="5">
        <v>0</v>
      </c>
      <c r="H1074">
        <v>-76.883099999999999</v>
      </c>
      <c r="I1074">
        <v>3.5897999999999999</v>
      </c>
      <c r="J1074">
        <v>8</v>
      </c>
      <c r="K1074" t="s">
        <v>119</v>
      </c>
      <c r="M1074">
        <v>492</v>
      </c>
      <c r="N1074">
        <v>0</v>
      </c>
      <c r="O1074">
        <v>1</v>
      </c>
      <c r="P1074">
        <v>25</v>
      </c>
      <c r="Q1074" s="10">
        <v>1.75</v>
      </c>
      <c r="R1074" s="10">
        <v>37.5</v>
      </c>
      <c r="S1074" t="s">
        <v>518</v>
      </c>
      <c r="T1074" t="s">
        <v>447</v>
      </c>
      <c r="V1074" t="s">
        <v>71</v>
      </c>
      <c r="X1074">
        <v>1</v>
      </c>
      <c r="AF1074">
        <v>-76.882800000000003</v>
      </c>
      <c r="AG1074">
        <v>3.5903092249999999</v>
      </c>
      <c r="AP1074" t="s">
        <v>450</v>
      </c>
      <c r="AQ1074" t="s">
        <v>443</v>
      </c>
    </row>
    <row r="1075" spans="1:43" x14ac:dyDescent="0.2">
      <c r="A1075">
        <v>2023</v>
      </c>
      <c r="B1075" t="s">
        <v>49</v>
      </c>
      <c r="C1075" t="s">
        <v>50</v>
      </c>
      <c r="D1075" t="s">
        <v>243</v>
      </c>
      <c r="E1075" t="s">
        <v>135</v>
      </c>
      <c r="F1075" s="4">
        <v>45252</v>
      </c>
      <c r="G1075" s="5">
        <v>0</v>
      </c>
      <c r="H1075">
        <v>-76.880499999999998</v>
      </c>
      <c r="I1075">
        <v>3.5794000000000001</v>
      </c>
      <c r="J1075">
        <v>8</v>
      </c>
      <c r="K1075" t="s">
        <v>112</v>
      </c>
      <c r="M1075">
        <v>741</v>
      </c>
      <c r="N1075">
        <v>1</v>
      </c>
      <c r="O1075">
        <v>0</v>
      </c>
      <c r="P1075">
        <v>25</v>
      </c>
      <c r="Q1075" s="10" t="s">
        <v>543</v>
      </c>
      <c r="R1075" s="10">
        <v>35</v>
      </c>
      <c r="S1075" t="s">
        <v>318</v>
      </c>
      <c r="T1075" t="s">
        <v>258</v>
      </c>
      <c r="V1075" t="s">
        <v>71</v>
      </c>
      <c r="X1075">
        <v>1</v>
      </c>
      <c r="AF1075">
        <v>-76.880600000000001</v>
      </c>
      <c r="AG1075">
        <v>3.5798000000000001</v>
      </c>
      <c r="AP1075" t="s">
        <v>450</v>
      </c>
      <c r="AQ1075" t="s">
        <v>244</v>
      </c>
    </row>
    <row r="1076" spans="1:43" x14ac:dyDescent="0.2">
      <c r="A1076">
        <v>2023</v>
      </c>
      <c r="B1076" t="s">
        <v>49</v>
      </c>
      <c r="C1076" t="s">
        <v>50</v>
      </c>
      <c r="D1076" t="s">
        <v>243</v>
      </c>
      <c r="E1076" t="s">
        <v>135</v>
      </c>
      <c r="F1076" s="4">
        <v>45252</v>
      </c>
      <c r="G1076" s="5">
        <v>0</v>
      </c>
      <c r="H1076">
        <v>-76.880350469999996</v>
      </c>
      <c r="I1076">
        <v>3.5792999999999999</v>
      </c>
      <c r="J1076">
        <v>8</v>
      </c>
      <c r="K1076" t="s">
        <v>119</v>
      </c>
      <c r="M1076">
        <v>741</v>
      </c>
      <c r="N1076">
        <v>1</v>
      </c>
      <c r="O1076">
        <v>0</v>
      </c>
      <c r="P1076">
        <v>25</v>
      </c>
      <c r="Q1076" s="10" t="s">
        <v>543</v>
      </c>
      <c r="R1076" s="10">
        <v>35</v>
      </c>
      <c r="S1076" t="s">
        <v>318</v>
      </c>
      <c r="T1076" t="s">
        <v>258</v>
      </c>
      <c r="V1076" t="s">
        <v>71</v>
      </c>
      <c r="X1076">
        <v>1</v>
      </c>
      <c r="AF1076">
        <v>-76.880600000000001</v>
      </c>
      <c r="AG1076">
        <v>3.5798000000000001</v>
      </c>
      <c r="AP1076" t="s">
        <v>450</v>
      </c>
      <c r="AQ1076" t="s">
        <v>244</v>
      </c>
    </row>
    <row r="1077" spans="1:43" x14ac:dyDescent="0.2">
      <c r="A1077">
        <v>2023</v>
      </c>
      <c r="B1077" t="s">
        <v>49</v>
      </c>
      <c r="C1077" t="s">
        <v>50</v>
      </c>
      <c r="D1077" t="s">
        <v>243</v>
      </c>
      <c r="E1077" t="s">
        <v>135</v>
      </c>
      <c r="F1077" s="4">
        <v>45252</v>
      </c>
      <c r="G1077" s="5">
        <v>0</v>
      </c>
      <c r="H1077">
        <v>-76.880600000000001</v>
      </c>
      <c r="I1077">
        <v>3.5796000000000001</v>
      </c>
      <c r="J1077">
        <v>8</v>
      </c>
      <c r="K1077" t="s">
        <v>119</v>
      </c>
      <c r="M1077">
        <v>741</v>
      </c>
      <c r="N1077">
        <v>1</v>
      </c>
      <c r="O1077">
        <v>0</v>
      </c>
      <c r="P1077">
        <v>25</v>
      </c>
      <c r="Q1077" s="10" t="s">
        <v>543</v>
      </c>
      <c r="R1077" s="10">
        <v>35</v>
      </c>
      <c r="S1077" t="s">
        <v>318</v>
      </c>
      <c r="T1077" t="s">
        <v>258</v>
      </c>
      <c r="V1077" t="s">
        <v>71</v>
      </c>
      <c r="X1077">
        <v>1</v>
      </c>
      <c r="AF1077">
        <v>-76.880600000000001</v>
      </c>
      <c r="AG1077">
        <v>3.5798000000000001</v>
      </c>
      <c r="AP1077" t="s">
        <v>450</v>
      </c>
      <c r="AQ1077" t="s">
        <v>244</v>
      </c>
    </row>
    <row r="1078" spans="1:43" x14ac:dyDescent="0.2">
      <c r="A1078">
        <v>2023</v>
      </c>
      <c r="B1078" t="s">
        <v>49</v>
      </c>
      <c r="C1078" t="s">
        <v>50</v>
      </c>
      <c r="D1078" t="s">
        <v>243</v>
      </c>
      <c r="E1078" t="s">
        <v>135</v>
      </c>
      <c r="F1078" s="4">
        <v>45252</v>
      </c>
      <c r="G1078" s="5">
        <v>0</v>
      </c>
      <c r="H1078">
        <v>-76.880499999999998</v>
      </c>
      <c r="I1078">
        <v>3.5790999999999999</v>
      </c>
      <c r="J1078">
        <v>8</v>
      </c>
      <c r="K1078" t="s">
        <v>119</v>
      </c>
      <c r="M1078">
        <v>741</v>
      </c>
      <c r="N1078">
        <v>1</v>
      </c>
      <c r="O1078">
        <v>0</v>
      </c>
      <c r="P1078">
        <v>25</v>
      </c>
      <c r="Q1078" s="10" t="s">
        <v>543</v>
      </c>
      <c r="R1078" s="10">
        <v>35</v>
      </c>
      <c r="S1078" t="s">
        <v>318</v>
      </c>
      <c r="T1078" t="s">
        <v>258</v>
      </c>
      <c r="V1078" t="s">
        <v>71</v>
      </c>
      <c r="X1078">
        <v>1</v>
      </c>
      <c r="AF1078">
        <v>-76.880600000000001</v>
      </c>
      <c r="AG1078">
        <v>3.5798000000000001</v>
      </c>
      <c r="AP1078" t="s">
        <v>450</v>
      </c>
      <c r="AQ1078" t="s">
        <v>443</v>
      </c>
    </row>
    <row r="1079" spans="1:43" x14ac:dyDescent="0.2">
      <c r="A1079">
        <v>2023</v>
      </c>
      <c r="B1079" t="s">
        <v>49</v>
      </c>
      <c r="C1079" t="s">
        <v>50</v>
      </c>
      <c r="D1079" t="s">
        <v>243</v>
      </c>
      <c r="E1079" t="s">
        <v>135</v>
      </c>
      <c r="F1079" s="4">
        <v>45252</v>
      </c>
      <c r="G1079" s="5">
        <v>0</v>
      </c>
      <c r="H1079">
        <v>-76.880350469999996</v>
      </c>
      <c r="I1079">
        <v>3.5793394840000001</v>
      </c>
      <c r="J1079">
        <v>8</v>
      </c>
      <c r="K1079" t="s">
        <v>112</v>
      </c>
      <c r="M1079">
        <v>741</v>
      </c>
      <c r="N1079">
        <v>1</v>
      </c>
      <c r="O1079">
        <v>0</v>
      </c>
      <c r="P1079">
        <v>25</v>
      </c>
      <c r="Q1079" s="10" t="s">
        <v>543</v>
      </c>
      <c r="R1079" s="10">
        <v>35</v>
      </c>
      <c r="S1079" t="s">
        <v>318</v>
      </c>
      <c r="T1079" t="s">
        <v>258</v>
      </c>
      <c r="V1079" t="s">
        <v>71</v>
      </c>
      <c r="X1079">
        <v>1</v>
      </c>
      <c r="AF1079">
        <v>-76.880600000000001</v>
      </c>
      <c r="AG1079">
        <v>3.5798000000000001</v>
      </c>
      <c r="AP1079" t="s">
        <v>450</v>
      </c>
      <c r="AQ1079" t="s">
        <v>244</v>
      </c>
    </row>
    <row r="1080" spans="1:43" x14ac:dyDescent="0.2">
      <c r="A1080">
        <v>2023</v>
      </c>
      <c r="B1080" t="s">
        <v>10</v>
      </c>
      <c r="C1080" t="s">
        <v>11</v>
      </c>
      <c r="D1080" t="s">
        <v>186</v>
      </c>
      <c r="E1080" t="s">
        <v>122</v>
      </c>
      <c r="F1080" s="4">
        <v>45246</v>
      </c>
      <c r="G1080" s="5">
        <v>0</v>
      </c>
      <c r="H1080">
        <v>-76.656000000000006</v>
      </c>
      <c r="I1080">
        <v>3.3546999999999998</v>
      </c>
      <c r="J1080">
        <v>8</v>
      </c>
      <c r="K1080" t="s">
        <v>119</v>
      </c>
      <c r="L1080" t="s">
        <v>546</v>
      </c>
      <c r="M1080">
        <v>2570</v>
      </c>
      <c r="N1080">
        <v>1</v>
      </c>
      <c r="O1080">
        <v>0</v>
      </c>
      <c r="P1080" t="e">
        <v>#DIV/0!</v>
      </c>
      <c r="Q1080" s="10" t="s">
        <v>543</v>
      </c>
      <c r="R1080" s="10" t="s">
        <v>543</v>
      </c>
      <c r="S1080" t="s">
        <v>518</v>
      </c>
      <c r="T1080" t="s">
        <v>145</v>
      </c>
      <c r="V1080" t="s">
        <v>7</v>
      </c>
      <c r="X1080">
        <v>1</v>
      </c>
      <c r="AP1080" t="s">
        <v>556</v>
      </c>
      <c r="AQ1080" t="s">
        <v>443</v>
      </c>
    </row>
    <row r="1081" spans="1:43" x14ac:dyDescent="0.2">
      <c r="A1081">
        <v>2023</v>
      </c>
      <c r="B1081" t="s">
        <v>10</v>
      </c>
      <c r="C1081" t="s">
        <v>11</v>
      </c>
      <c r="D1081" t="s">
        <v>186</v>
      </c>
      <c r="E1081" t="s">
        <v>122</v>
      </c>
      <c r="F1081" s="4">
        <v>45246</v>
      </c>
      <c r="G1081" s="5">
        <v>0</v>
      </c>
      <c r="H1081">
        <v>-76.656218330000002</v>
      </c>
      <c r="I1081">
        <v>3.3547473220000001</v>
      </c>
      <c r="J1081">
        <v>8</v>
      </c>
      <c r="K1081" t="s">
        <v>112</v>
      </c>
      <c r="L1081" t="s">
        <v>120</v>
      </c>
      <c r="M1081">
        <v>2570</v>
      </c>
      <c r="N1081">
        <v>1</v>
      </c>
      <c r="O1081">
        <v>0</v>
      </c>
      <c r="P1081">
        <v>15</v>
      </c>
      <c r="Q1081" s="10" t="s">
        <v>543</v>
      </c>
      <c r="R1081" s="10">
        <v>25</v>
      </c>
      <c r="T1081" t="s">
        <v>145</v>
      </c>
      <c r="V1081" t="s">
        <v>7</v>
      </c>
      <c r="X1081">
        <v>2</v>
      </c>
      <c r="AF1081">
        <v>-76.656499999999994</v>
      </c>
      <c r="AG1081">
        <v>3.3551000000000002</v>
      </c>
      <c r="AQ1081" t="s">
        <v>244</v>
      </c>
    </row>
    <row r="1082" spans="1:43" x14ac:dyDescent="0.2">
      <c r="A1082">
        <v>2023</v>
      </c>
      <c r="B1082" t="s">
        <v>49</v>
      </c>
      <c r="C1082" t="s">
        <v>81</v>
      </c>
      <c r="D1082" t="s">
        <v>557</v>
      </c>
      <c r="E1082" t="s">
        <v>127</v>
      </c>
      <c r="F1082" s="4">
        <v>45253</v>
      </c>
      <c r="G1082" s="5">
        <v>0</v>
      </c>
      <c r="H1082">
        <v>-76.877799999999993</v>
      </c>
      <c r="I1082">
        <v>3.585</v>
      </c>
      <c r="J1082">
        <v>8</v>
      </c>
      <c r="K1082" t="s">
        <v>119</v>
      </c>
      <c r="M1082">
        <v>559</v>
      </c>
      <c r="N1082">
        <v>0</v>
      </c>
      <c r="O1082">
        <v>1</v>
      </c>
      <c r="P1082">
        <v>30</v>
      </c>
      <c r="Q1082" s="10">
        <v>1.25</v>
      </c>
      <c r="R1082" s="10">
        <v>10</v>
      </c>
      <c r="S1082" t="s">
        <v>518</v>
      </c>
      <c r="T1082" t="s">
        <v>447</v>
      </c>
      <c r="V1082" t="s">
        <v>34</v>
      </c>
      <c r="X1082">
        <v>2</v>
      </c>
      <c r="AF1082">
        <v>-76.877799999999993</v>
      </c>
      <c r="AG1082">
        <v>3.5846</v>
      </c>
      <c r="AP1082" t="s">
        <v>450</v>
      </c>
      <c r="AQ1082" t="s">
        <v>244</v>
      </c>
    </row>
    <row r="1083" spans="1:43" x14ac:dyDescent="0.2">
      <c r="A1083">
        <v>2023</v>
      </c>
      <c r="B1083" t="s">
        <v>49</v>
      </c>
      <c r="C1083" t="s">
        <v>81</v>
      </c>
      <c r="D1083" t="s">
        <v>557</v>
      </c>
      <c r="E1083" t="s">
        <v>127</v>
      </c>
      <c r="F1083" s="4">
        <v>45253</v>
      </c>
      <c r="G1083" s="5">
        <v>0</v>
      </c>
      <c r="H1083">
        <v>-76.877799999999993</v>
      </c>
      <c r="I1083">
        <v>3.5851999999999999</v>
      </c>
      <c r="J1083">
        <v>8</v>
      </c>
      <c r="K1083" t="s">
        <v>112</v>
      </c>
      <c r="M1083">
        <v>559</v>
      </c>
      <c r="N1083">
        <v>0</v>
      </c>
      <c r="O1083">
        <v>1</v>
      </c>
      <c r="P1083">
        <v>30</v>
      </c>
      <c r="Q1083" s="10">
        <v>1.25</v>
      </c>
      <c r="R1083" s="10">
        <v>10</v>
      </c>
      <c r="S1083" t="s">
        <v>518</v>
      </c>
      <c r="T1083" t="s">
        <v>447</v>
      </c>
      <c r="V1083" t="s">
        <v>34</v>
      </c>
      <c r="X1083">
        <v>1</v>
      </c>
      <c r="AF1083">
        <v>-76.877799999999993</v>
      </c>
      <c r="AG1083">
        <v>3.5846</v>
      </c>
      <c r="AP1083" t="s">
        <v>441</v>
      </c>
      <c r="AQ1083" t="s">
        <v>244</v>
      </c>
    </row>
    <row r="1084" spans="1:43" x14ac:dyDescent="0.2">
      <c r="A1084">
        <v>2023</v>
      </c>
      <c r="B1084" t="s">
        <v>49</v>
      </c>
      <c r="C1084" t="s">
        <v>81</v>
      </c>
      <c r="D1084" t="s">
        <v>557</v>
      </c>
      <c r="E1084" t="s">
        <v>127</v>
      </c>
      <c r="F1084" s="4">
        <v>45253</v>
      </c>
      <c r="G1084" s="5">
        <v>0</v>
      </c>
      <c r="H1084">
        <v>-76.878</v>
      </c>
      <c r="I1084">
        <v>3.5853000000000002</v>
      </c>
      <c r="J1084">
        <v>8</v>
      </c>
      <c r="K1084" t="s">
        <v>119</v>
      </c>
      <c r="M1084">
        <v>559</v>
      </c>
      <c r="N1084">
        <v>0</v>
      </c>
      <c r="O1084">
        <v>1</v>
      </c>
      <c r="P1084">
        <v>30</v>
      </c>
      <c r="Q1084" s="10">
        <v>1.25</v>
      </c>
      <c r="R1084" s="10">
        <v>10</v>
      </c>
      <c r="S1084" t="s">
        <v>518</v>
      </c>
      <c r="T1084" t="s">
        <v>447</v>
      </c>
      <c r="V1084" t="s">
        <v>34</v>
      </c>
      <c r="X1084">
        <v>1</v>
      </c>
      <c r="AF1084">
        <v>-76.877799999999993</v>
      </c>
      <c r="AG1084">
        <v>3.5846</v>
      </c>
      <c r="AP1084" t="s">
        <v>441</v>
      </c>
      <c r="AQ1084" t="s">
        <v>244</v>
      </c>
    </row>
    <row r="1085" spans="1:43" x14ac:dyDescent="0.2">
      <c r="A1085">
        <v>2023</v>
      </c>
      <c r="B1085" t="s">
        <v>49</v>
      </c>
      <c r="C1085" t="s">
        <v>81</v>
      </c>
      <c r="D1085" t="s">
        <v>557</v>
      </c>
      <c r="E1085" t="s">
        <v>127</v>
      </c>
      <c r="F1085" s="4">
        <v>45253</v>
      </c>
      <c r="G1085" s="5">
        <v>0</v>
      </c>
      <c r="H1085">
        <v>-76.877799999999993</v>
      </c>
      <c r="I1085">
        <v>3.5851000000000002</v>
      </c>
      <c r="J1085">
        <v>8</v>
      </c>
      <c r="K1085" t="s">
        <v>119</v>
      </c>
      <c r="M1085">
        <v>559</v>
      </c>
      <c r="N1085">
        <v>0</v>
      </c>
      <c r="O1085">
        <v>1</v>
      </c>
      <c r="P1085">
        <v>30</v>
      </c>
      <c r="Q1085" s="10">
        <v>1.25</v>
      </c>
      <c r="R1085" s="10">
        <v>10</v>
      </c>
      <c r="S1085" t="s">
        <v>518</v>
      </c>
      <c r="T1085" t="s">
        <v>447</v>
      </c>
      <c r="V1085" t="s">
        <v>31</v>
      </c>
      <c r="X1085">
        <v>1</v>
      </c>
      <c r="AF1085">
        <v>-76.877799999999993</v>
      </c>
      <c r="AG1085">
        <v>3.5846</v>
      </c>
      <c r="AP1085" t="s">
        <v>441</v>
      </c>
      <c r="AQ1085" t="s">
        <v>244</v>
      </c>
    </row>
    <row r="1086" spans="1:43" x14ac:dyDescent="0.2">
      <c r="A1086">
        <v>2023</v>
      </c>
      <c r="B1086" t="s">
        <v>49</v>
      </c>
      <c r="C1086" t="s">
        <v>51</v>
      </c>
      <c r="D1086" t="s">
        <v>377</v>
      </c>
      <c r="E1086" t="s">
        <v>127</v>
      </c>
      <c r="F1086" s="4">
        <v>45251</v>
      </c>
      <c r="G1086" s="5">
        <v>0</v>
      </c>
      <c r="H1086">
        <v>-76.882999999999996</v>
      </c>
      <c r="I1086">
        <v>3.5525000000000002</v>
      </c>
      <c r="J1086">
        <v>8</v>
      </c>
      <c r="K1086" t="s">
        <v>112</v>
      </c>
      <c r="L1086" t="s">
        <v>507</v>
      </c>
      <c r="M1086">
        <v>575</v>
      </c>
      <c r="N1086">
        <v>1</v>
      </c>
      <c r="O1086">
        <v>0</v>
      </c>
      <c r="P1086">
        <v>25</v>
      </c>
      <c r="Q1086" s="10" t="s">
        <v>543</v>
      </c>
      <c r="R1086" s="10">
        <v>5</v>
      </c>
      <c r="S1086" t="s">
        <v>318</v>
      </c>
      <c r="T1086" t="s">
        <v>145</v>
      </c>
      <c r="V1086" t="s">
        <v>45</v>
      </c>
      <c r="X1086">
        <v>1</v>
      </c>
      <c r="AA1086" t="s">
        <v>365</v>
      </c>
      <c r="AF1086">
        <v>-76.882870283451638</v>
      </c>
      <c r="AG1086">
        <v>3.5524348450142371</v>
      </c>
      <c r="AP1086" t="s">
        <v>450</v>
      </c>
      <c r="AQ1086" t="s">
        <v>443</v>
      </c>
    </row>
    <row r="1087" spans="1:43" x14ac:dyDescent="0.2">
      <c r="A1087">
        <v>2023</v>
      </c>
      <c r="B1087" t="s">
        <v>49</v>
      </c>
      <c r="C1087" t="s">
        <v>51</v>
      </c>
      <c r="D1087" t="s">
        <v>377</v>
      </c>
      <c r="E1087" t="s">
        <v>127</v>
      </c>
      <c r="F1087" s="4">
        <v>45251</v>
      </c>
      <c r="G1087" s="5">
        <v>0</v>
      </c>
      <c r="H1087">
        <v>-76.883099999999999</v>
      </c>
      <c r="I1087">
        <v>3.5525000000000002</v>
      </c>
      <c r="J1087">
        <v>8</v>
      </c>
      <c r="K1087" t="s">
        <v>119</v>
      </c>
      <c r="L1087" t="s">
        <v>507</v>
      </c>
      <c r="M1087">
        <v>575</v>
      </c>
      <c r="N1087">
        <v>1</v>
      </c>
      <c r="O1087">
        <v>0</v>
      </c>
      <c r="P1087">
        <v>25</v>
      </c>
      <c r="Q1087" s="10" t="s">
        <v>543</v>
      </c>
      <c r="R1087" s="10">
        <v>5</v>
      </c>
      <c r="S1087" t="s">
        <v>518</v>
      </c>
      <c r="T1087" t="s">
        <v>145</v>
      </c>
      <c r="V1087" t="s">
        <v>30</v>
      </c>
      <c r="X1087">
        <v>2</v>
      </c>
      <c r="AA1087" t="s">
        <v>365</v>
      </c>
      <c r="AF1087">
        <v>-76.882870283451638</v>
      </c>
      <c r="AG1087">
        <v>3.5524348450142371</v>
      </c>
      <c r="AP1087" t="s">
        <v>450</v>
      </c>
      <c r="AQ1087" t="s">
        <v>443</v>
      </c>
    </row>
    <row r="1088" spans="1:43" x14ac:dyDescent="0.2">
      <c r="A1088">
        <v>2023</v>
      </c>
      <c r="B1088" t="s">
        <v>49</v>
      </c>
      <c r="C1088" t="s">
        <v>50</v>
      </c>
      <c r="D1088" t="s">
        <v>242</v>
      </c>
      <c r="E1088" t="s">
        <v>111</v>
      </c>
      <c r="F1088" s="4">
        <v>45252</v>
      </c>
      <c r="G1088" s="5">
        <v>0</v>
      </c>
      <c r="H1088">
        <v>-76.880417850000001</v>
      </c>
      <c r="I1088">
        <v>3.576938942</v>
      </c>
      <c r="J1088">
        <v>8</v>
      </c>
      <c r="N1088">
        <v>0</v>
      </c>
      <c r="O1088">
        <v>0</v>
      </c>
      <c r="P1088">
        <v>21</v>
      </c>
      <c r="Q1088" s="10" t="s">
        <v>543</v>
      </c>
      <c r="R1088" s="10">
        <v>5</v>
      </c>
      <c r="V1088" t="s">
        <v>47</v>
      </c>
      <c r="X1088">
        <v>0</v>
      </c>
      <c r="AF1088">
        <v>-76.880228329999994</v>
      </c>
      <c r="AG1088">
        <v>3.5766466669999999</v>
      </c>
    </row>
    <row r="1089" spans="1:43" x14ac:dyDescent="0.2">
      <c r="A1089">
        <v>2023</v>
      </c>
      <c r="B1089" t="s">
        <v>49</v>
      </c>
      <c r="C1089" t="s">
        <v>53</v>
      </c>
      <c r="D1089" t="s">
        <v>554</v>
      </c>
      <c r="E1089" t="s">
        <v>122</v>
      </c>
      <c r="F1089" s="4">
        <v>45251</v>
      </c>
      <c r="G1089" s="5">
        <v>0</v>
      </c>
      <c r="H1089">
        <v>-76.878</v>
      </c>
      <c r="I1089">
        <v>3.5436999999999999</v>
      </c>
      <c r="J1089">
        <v>8</v>
      </c>
      <c r="K1089" t="s">
        <v>119</v>
      </c>
      <c r="L1089" t="s">
        <v>546</v>
      </c>
      <c r="M1089">
        <v>583</v>
      </c>
      <c r="N1089">
        <v>1</v>
      </c>
      <c r="O1089">
        <v>0</v>
      </c>
      <c r="P1089">
        <v>20</v>
      </c>
      <c r="Q1089" s="10" t="s">
        <v>543</v>
      </c>
      <c r="R1089" s="10">
        <v>19</v>
      </c>
      <c r="S1089" t="s">
        <v>518</v>
      </c>
      <c r="T1089" t="s">
        <v>258</v>
      </c>
      <c r="V1089" t="s">
        <v>32</v>
      </c>
      <c r="X1089">
        <v>1</v>
      </c>
      <c r="AA1089" t="s">
        <v>365</v>
      </c>
      <c r="AF1089">
        <v>-76.877399999999994</v>
      </c>
      <c r="AG1089">
        <v>3.5430999999999999</v>
      </c>
      <c r="AP1089" t="s">
        <v>467</v>
      </c>
      <c r="AQ1089" t="s">
        <v>443</v>
      </c>
    </row>
    <row r="1090" spans="1:43" x14ac:dyDescent="0.2">
      <c r="A1090">
        <v>2023</v>
      </c>
      <c r="B1090" t="s">
        <v>49</v>
      </c>
      <c r="C1090" t="s">
        <v>53</v>
      </c>
      <c r="D1090" t="s">
        <v>554</v>
      </c>
      <c r="E1090" t="s">
        <v>122</v>
      </c>
      <c r="F1090" s="4">
        <v>45251</v>
      </c>
      <c r="G1090" s="5">
        <v>0</v>
      </c>
      <c r="H1090">
        <v>-76.87778788</v>
      </c>
      <c r="I1090">
        <v>3.5435525459999999</v>
      </c>
      <c r="J1090">
        <v>8</v>
      </c>
      <c r="K1090" t="s">
        <v>112</v>
      </c>
      <c r="L1090" t="s">
        <v>546</v>
      </c>
      <c r="M1090">
        <v>583</v>
      </c>
      <c r="N1090">
        <v>1</v>
      </c>
      <c r="O1090">
        <v>0</v>
      </c>
      <c r="P1090">
        <v>20</v>
      </c>
      <c r="Q1090" s="10" t="s">
        <v>543</v>
      </c>
      <c r="R1090" s="10">
        <v>19</v>
      </c>
      <c r="S1090" t="s">
        <v>518</v>
      </c>
      <c r="T1090" t="s">
        <v>447</v>
      </c>
      <c r="V1090" t="s">
        <v>30</v>
      </c>
      <c r="X1090">
        <v>1</v>
      </c>
      <c r="AA1090" t="s">
        <v>365</v>
      </c>
      <c r="AF1090">
        <v>-76.877399999999994</v>
      </c>
      <c r="AG1090">
        <v>3.5430999999999999</v>
      </c>
      <c r="AP1090" t="s">
        <v>450</v>
      </c>
      <c r="AQ1090" t="s">
        <v>244</v>
      </c>
    </row>
    <row r="1091" spans="1:43" x14ac:dyDescent="0.2">
      <c r="A1091">
        <v>2023</v>
      </c>
      <c r="B1091" t="s">
        <v>49</v>
      </c>
      <c r="C1091" t="s">
        <v>53</v>
      </c>
      <c r="D1091" t="s">
        <v>554</v>
      </c>
      <c r="E1091" t="s">
        <v>122</v>
      </c>
      <c r="F1091" s="4">
        <v>45251</v>
      </c>
      <c r="G1091" s="5">
        <v>0</v>
      </c>
      <c r="H1091">
        <v>-76.877700000000004</v>
      </c>
      <c r="I1091">
        <v>3.5434000000000001</v>
      </c>
      <c r="J1091">
        <v>8</v>
      </c>
      <c r="K1091" t="s">
        <v>119</v>
      </c>
      <c r="L1091" t="s">
        <v>546</v>
      </c>
      <c r="M1091">
        <v>583</v>
      </c>
      <c r="N1091">
        <v>1</v>
      </c>
      <c r="O1091">
        <v>0</v>
      </c>
      <c r="P1091">
        <v>20</v>
      </c>
      <c r="Q1091" s="10" t="s">
        <v>543</v>
      </c>
      <c r="R1091" s="10">
        <v>19</v>
      </c>
      <c r="S1091" t="s">
        <v>518</v>
      </c>
      <c r="T1091" t="s">
        <v>447</v>
      </c>
      <c r="V1091" t="s">
        <v>32</v>
      </c>
      <c r="X1091">
        <v>2</v>
      </c>
      <c r="AF1091">
        <v>-76.877399999999994</v>
      </c>
      <c r="AG1091">
        <v>3.5430999999999999</v>
      </c>
      <c r="AP1091" t="s">
        <v>441</v>
      </c>
      <c r="AQ1091" t="s">
        <v>244</v>
      </c>
    </row>
    <row r="1092" spans="1:43" x14ac:dyDescent="0.2">
      <c r="A1092">
        <v>2023</v>
      </c>
      <c r="B1092" t="s">
        <v>49</v>
      </c>
      <c r="C1092" t="s">
        <v>52</v>
      </c>
      <c r="D1092" t="s">
        <v>241</v>
      </c>
      <c r="E1092" t="s">
        <v>111</v>
      </c>
      <c r="F1092" s="4">
        <v>45254</v>
      </c>
      <c r="G1092" s="5">
        <v>0</v>
      </c>
      <c r="H1092">
        <v>-76.890600000000006</v>
      </c>
      <c r="I1092">
        <v>3.5508999999999999</v>
      </c>
      <c r="J1092">
        <v>8</v>
      </c>
      <c r="K1092" t="s">
        <v>112</v>
      </c>
      <c r="M1092">
        <v>648</v>
      </c>
      <c r="N1092">
        <v>0</v>
      </c>
      <c r="O1092">
        <v>1</v>
      </c>
      <c r="P1092">
        <v>15</v>
      </c>
      <c r="Q1092" s="10">
        <v>7</v>
      </c>
      <c r="R1092" s="10">
        <v>7.5</v>
      </c>
      <c r="S1092" t="s">
        <v>549</v>
      </c>
      <c r="T1092" t="s">
        <v>447</v>
      </c>
      <c r="V1092" t="s">
        <v>45</v>
      </c>
      <c r="X1092">
        <v>5</v>
      </c>
      <c r="AF1092">
        <v>-76.8904</v>
      </c>
      <c r="AG1092">
        <v>3.5508999999999999</v>
      </c>
      <c r="AP1092" t="s">
        <v>450</v>
      </c>
      <c r="AQ1092" t="s">
        <v>443</v>
      </c>
    </row>
    <row r="1093" spans="1:43" x14ac:dyDescent="0.2">
      <c r="A1093">
        <v>2023</v>
      </c>
      <c r="B1093" t="s">
        <v>49</v>
      </c>
      <c r="C1093" t="s">
        <v>51</v>
      </c>
      <c r="D1093" t="s">
        <v>223</v>
      </c>
      <c r="E1093" t="s">
        <v>122</v>
      </c>
      <c r="F1093" s="4">
        <v>45254</v>
      </c>
      <c r="G1093" s="5">
        <v>0</v>
      </c>
      <c r="H1093">
        <v>-76.882616670000004</v>
      </c>
      <c r="I1093">
        <v>3.5526783329999998</v>
      </c>
      <c r="J1093">
        <v>8</v>
      </c>
      <c r="N1093">
        <v>0</v>
      </c>
      <c r="O1093">
        <v>0</v>
      </c>
      <c r="P1093">
        <v>30</v>
      </c>
      <c r="Q1093" s="10" t="s">
        <v>543</v>
      </c>
      <c r="R1093" s="10">
        <v>5</v>
      </c>
      <c r="V1093" t="s">
        <v>47</v>
      </c>
      <c r="X1093">
        <v>0</v>
      </c>
      <c r="AA1093" t="s">
        <v>365</v>
      </c>
      <c r="AF1093">
        <v>-76.881699999999995</v>
      </c>
      <c r="AG1093">
        <v>3.5524</v>
      </c>
    </row>
    <row r="1094" spans="1:43" x14ac:dyDescent="0.2">
      <c r="A1094">
        <v>2023</v>
      </c>
      <c r="B1094" t="s">
        <v>10</v>
      </c>
      <c r="C1094" t="s">
        <v>14</v>
      </c>
      <c r="D1094" t="s">
        <v>225</v>
      </c>
      <c r="E1094" t="s">
        <v>135</v>
      </c>
      <c r="F1094" s="4">
        <v>45245</v>
      </c>
      <c r="G1094" s="5">
        <v>0</v>
      </c>
      <c r="H1094">
        <v>-76.644931700000001</v>
      </c>
      <c r="I1094">
        <v>3.3497404639999999</v>
      </c>
      <c r="J1094">
        <v>8</v>
      </c>
      <c r="K1094" t="s">
        <v>112</v>
      </c>
      <c r="L1094" t="s">
        <v>546</v>
      </c>
      <c r="M1094">
        <v>2478</v>
      </c>
      <c r="N1094">
        <v>1</v>
      </c>
      <c r="O1094">
        <v>0</v>
      </c>
      <c r="P1094">
        <v>10</v>
      </c>
      <c r="Q1094" s="10" t="s">
        <v>543</v>
      </c>
      <c r="R1094" s="10">
        <v>25</v>
      </c>
      <c r="S1094" t="s">
        <v>518</v>
      </c>
      <c r="T1094" t="s">
        <v>145</v>
      </c>
      <c r="V1094" t="s">
        <v>40</v>
      </c>
      <c r="X1094">
        <v>1</v>
      </c>
      <c r="AA1094" t="s">
        <v>505</v>
      </c>
      <c r="AF1094">
        <v>-76.6447</v>
      </c>
      <c r="AG1094">
        <v>3.3497404639999999</v>
      </c>
      <c r="AP1094" t="s">
        <v>450</v>
      </c>
      <c r="AQ1094" t="s">
        <v>443</v>
      </c>
    </row>
    <row r="1095" spans="1:43" x14ac:dyDescent="0.2">
      <c r="A1095">
        <v>2023</v>
      </c>
      <c r="B1095" t="s">
        <v>49</v>
      </c>
      <c r="C1095" t="s">
        <v>52</v>
      </c>
      <c r="D1095" t="s">
        <v>391</v>
      </c>
      <c r="E1095" t="s">
        <v>122</v>
      </c>
      <c r="F1095" s="4">
        <v>45251</v>
      </c>
      <c r="G1095" s="5">
        <v>0</v>
      </c>
      <c r="H1095">
        <v>-76.889899999999997</v>
      </c>
      <c r="I1095">
        <v>3.5508898100000001</v>
      </c>
      <c r="J1095">
        <v>8</v>
      </c>
      <c r="K1095" t="s">
        <v>119</v>
      </c>
      <c r="L1095" t="s">
        <v>546</v>
      </c>
      <c r="N1095">
        <v>1</v>
      </c>
      <c r="O1095">
        <v>0</v>
      </c>
      <c r="P1095">
        <v>27.5</v>
      </c>
      <c r="Q1095" s="10" t="s">
        <v>543</v>
      </c>
      <c r="R1095" s="10">
        <v>12.5</v>
      </c>
      <c r="S1095" t="s">
        <v>518</v>
      </c>
      <c r="T1095" t="s">
        <v>258</v>
      </c>
      <c r="V1095" t="s">
        <v>78</v>
      </c>
      <c r="X1095">
        <v>1</v>
      </c>
      <c r="AF1095">
        <v>-76.889200000000002</v>
      </c>
      <c r="AG1095">
        <v>3.5507</v>
      </c>
      <c r="AP1095" t="s">
        <v>450</v>
      </c>
      <c r="AQ1095" t="s">
        <v>244</v>
      </c>
    </row>
    <row r="1096" spans="1:43" x14ac:dyDescent="0.2">
      <c r="A1096">
        <v>2023</v>
      </c>
      <c r="B1096" t="s">
        <v>49</v>
      </c>
      <c r="C1096" t="s">
        <v>52</v>
      </c>
      <c r="D1096" t="s">
        <v>391</v>
      </c>
      <c r="E1096" t="s">
        <v>122</v>
      </c>
      <c r="F1096" s="4">
        <v>45251</v>
      </c>
      <c r="G1096" s="5">
        <v>0</v>
      </c>
      <c r="H1096">
        <v>-76.88966053</v>
      </c>
      <c r="I1096">
        <v>3.5508898100000001</v>
      </c>
      <c r="J1096">
        <v>8</v>
      </c>
      <c r="K1096" t="s">
        <v>119</v>
      </c>
      <c r="L1096" t="s">
        <v>546</v>
      </c>
      <c r="N1096">
        <v>1</v>
      </c>
      <c r="O1096">
        <v>0</v>
      </c>
      <c r="P1096">
        <v>27.5</v>
      </c>
      <c r="Q1096" s="10" t="s">
        <v>543</v>
      </c>
      <c r="R1096" s="10">
        <v>12.5</v>
      </c>
      <c r="S1096" t="s">
        <v>553</v>
      </c>
      <c r="T1096" t="s">
        <v>258</v>
      </c>
      <c r="V1096" t="s">
        <v>55</v>
      </c>
      <c r="X1096">
        <v>1</v>
      </c>
      <c r="AF1096">
        <v>-76.889200000000002</v>
      </c>
      <c r="AG1096">
        <v>3.5507</v>
      </c>
      <c r="AP1096" t="s">
        <v>450</v>
      </c>
      <c r="AQ1096" t="s">
        <v>244</v>
      </c>
    </row>
    <row r="1097" spans="1:43" x14ac:dyDescent="0.2">
      <c r="A1097">
        <v>2023</v>
      </c>
      <c r="B1097" t="s">
        <v>10</v>
      </c>
      <c r="C1097" t="s">
        <v>13</v>
      </c>
      <c r="D1097" t="s">
        <v>177</v>
      </c>
      <c r="E1097" t="s">
        <v>111</v>
      </c>
      <c r="F1097" s="4">
        <v>45245</v>
      </c>
      <c r="G1097" s="5">
        <v>0.90979166666666667</v>
      </c>
      <c r="H1097">
        <v>-76.643799999999999</v>
      </c>
      <c r="I1097">
        <v>3.3499500000000002</v>
      </c>
      <c r="J1097">
        <v>8</v>
      </c>
      <c r="K1097" t="s">
        <v>119</v>
      </c>
      <c r="L1097" t="s">
        <v>120</v>
      </c>
      <c r="M1097">
        <v>2346</v>
      </c>
      <c r="N1097">
        <v>1</v>
      </c>
      <c r="O1097">
        <v>0</v>
      </c>
      <c r="P1097">
        <v>19</v>
      </c>
      <c r="Q1097" s="10" t="s">
        <v>543</v>
      </c>
      <c r="R1097" s="10">
        <v>11</v>
      </c>
      <c r="S1097" t="s">
        <v>518</v>
      </c>
      <c r="T1097" t="s">
        <v>145</v>
      </c>
      <c r="V1097" t="s">
        <v>9</v>
      </c>
      <c r="X1097">
        <v>1</v>
      </c>
      <c r="AF1097">
        <v>-76.643600000000006</v>
      </c>
      <c r="AG1097">
        <v>3.3496000000000001</v>
      </c>
      <c r="AP1097" t="s">
        <v>441</v>
      </c>
      <c r="AQ1097" t="s">
        <v>443</v>
      </c>
    </row>
    <row r="1098" spans="1:43" x14ac:dyDescent="0.2">
      <c r="A1098">
        <v>2023</v>
      </c>
      <c r="B1098" t="s">
        <v>10</v>
      </c>
      <c r="C1098" t="s">
        <v>13</v>
      </c>
      <c r="D1098" t="s">
        <v>177</v>
      </c>
      <c r="E1098" t="s">
        <v>111</v>
      </c>
      <c r="F1098" s="4">
        <v>45245</v>
      </c>
      <c r="G1098" s="5">
        <v>0.90979166666666667</v>
      </c>
      <c r="H1098">
        <v>-76.644400000000005</v>
      </c>
      <c r="I1098">
        <v>3.3498000000000001</v>
      </c>
      <c r="J1098">
        <v>8</v>
      </c>
      <c r="K1098" t="s">
        <v>119</v>
      </c>
      <c r="L1098" t="s">
        <v>546</v>
      </c>
      <c r="M1098">
        <v>2346</v>
      </c>
      <c r="N1098">
        <v>1</v>
      </c>
      <c r="O1098">
        <v>0</v>
      </c>
      <c r="P1098">
        <v>19</v>
      </c>
      <c r="Q1098" s="10" t="s">
        <v>543</v>
      </c>
      <c r="R1098" s="10">
        <v>11</v>
      </c>
      <c r="S1098" t="s">
        <v>518</v>
      </c>
      <c r="T1098" t="s">
        <v>145</v>
      </c>
      <c r="V1098" t="s">
        <v>9</v>
      </c>
      <c r="X1098">
        <v>1</v>
      </c>
      <c r="AF1098">
        <v>-76.643600000000006</v>
      </c>
      <c r="AG1098">
        <v>3.3496000000000001</v>
      </c>
      <c r="AP1098" t="s">
        <v>467</v>
      </c>
      <c r="AQ1098" t="s">
        <v>443</v>
      </c>
    </row>
    <row r="1099" spans="1:43" x14ac:dyDescent="0.2">
      <c r="A1099">
        <v>2023</v>
      </c>
      <c r="B1099" t="s">
        <v>10</v>
      </c>
      <c r="C1099" t="s">
        <v>13</v>
      </c>
      <c r="D1099" t="s">
        <v>177</v>
      </c>
      <c r="E1099" t="s">
        <v>111</v>
      </c>
      <c r="F1099" s="4">
        <v>45245</v>
      </c>
      <c r="G1099" s="5">
        <v>0.90979166666666667</v>
      </c>
      <c r="H1099">
        <v>-76.643949599999999</v>
      </c>
      <c r="I1099">
        <v>3.349535135</v>
      </c>
      <c r="J1099">
        <v>8</v>
      </c>
      <c r="K1099" t="s">
        <v>112</v>
      </c>
      <c r="L1099" t="s">
        <v>546</v>
      </c>
      <c r="M1099">
        <v>2346</v>
      </c>
      <c r="N1099">
        <v>1</v>
      </c>
      <c r="O1099">
        <v>0</v>
      </c>
      <c r="P1099">
        <v>19</v>
      </c>
      <c r="Q1099" s="10" t="s">
        <v>543</v>
      </c>
      <c r="R1099" s="10">
        <v>11</v>
      </c>
      <c r="S1099" t="s">
        <v>518</v>
      </c>
      <c r="T1099" t="s">
        <v>145</v>
      </c>
      <c r="V1099" t="s">
        <v>36</v>
      </c>
      <c r="X1099">
        <v>1</v>
      </c>
      <c r="AF1099">
        <v>-76.643600000000006</v>
      </c>
      <c r="AG1099">
        <v>3.3496000000000001</v>
      </c>
      <c r="AP1099" t="s">
        <v>441</v>
      </c>
      <c r="AQ1099" t="s">
        <v>443</v>
      </c>
    </row>
    <row r="1100" spans="1:43" x14ac:dyDescent="0.2">
      <c r="A1100">
        <v>2023</v>
      </c>
      <c r="B1100" t="s">
        <v>10</v>
      </c>
      <c r="C1100" t="s">
        <v>13</v>
      </c>
      <c r="D1100" t="s">
        <v>177</v>
      </c>
      <c r="E1100" t="s">
        <v>111</v>
      </c>
      <c r="F1100" s="4">
        <v>45245</v>
      </c>
      <c r="G1100" s="5">
        <v>0.90979166666666667</v>
      </c>
      <c r="H1100">
        <v>-76.644099999999995</v>
      </c>
      <c r="I1100">
        <v>3.3496999999999999</v>
      </c>
      <c r="J1100">
        <v>8</v>
      </c>
      <c r="K1100" t="s">
        <v>119</v>
      </c>
      <c r="L1100" t="s">
        <v>120</v>
      </c>
      <c r="M1100">
        <v>2346</v>
      </c>
      <c r="N1100">
        <v>1</v>
      </c>
      <c r="O1100">
        <v>0</v>
      </c>
      <c r="P1100">
        <v>19</v>
      </c>
      <c r="Q1100" s="10" t="s">
        <v>543</v>
      </c>
      <c r="R1100" s="10">
        <v>11</v>
      </c>
      <c r="S1100" t="s">
        <v>518</v>
      </c>
      <c r="T1100" t="s">
        <v>145</v>
      </c>
      <c r="V1100" t="s">
        <v>9</v>
      </c>
      <c r="X1100">
        <v>2</v>
      </c>
      <c r="AA1100" t="s">
        <v>505</v>
      </c>
      <c r="AF1100">
        <v>-76.643600000000006</v>
      </c>
      <c r="AG1100">
        <v>3.3496000000000001</v>
      </c>
      <c r="AP1100" t="s">
        <v>441</v>
      </c>
      <c r="AQ1100" t="s">
        <v>443</v>
      </c>
    </row>
    <row r="1101" spans="1:43" x14ac:dyDescent="0.2">
      <c r="A1101">
        <v>2023</v>
      </c>
      <c r="B1101" t="s">
        <v>10</v>
      </c>
      <c r="C1101" t="s">
        <v>13</v>
      </c>
      <c r="D1101" t="s">
        <v>177</v>
      </c>
      <c r="E1101" t="s">
        <v>111</v>
      </c>
      <c r="F1101" s="4">
        <v>45245</v>
      </c>
      <c r="G1101" s="5">
        <v>0.90979166666666667</v>
      </c>
      <c r="H1101">
        <v>-76.643799999999999</v>
      </c>
      <c r="I1101">
        <v>3.3498999999999999</v>
      </c>
      <c r="J1101">
        <v>8</v>
      </c>
      <c r="K1101" t="s">
        <v>119</v>
      </c>
      <c r="L1101" t="s">
        <v>120</v>
      </c>
      <c r="M1101">
        <v>2346</v>
      </c>
      <c r="N1101">
        <v>1</v>
      </c>
      <c r="O1101">
        <v>0</v>
      </c>
      <c r="P1101">
        <v>19</v>
      </c>
      <c r="Q1101" s="10" t="s">
        <v>543</v>
      </c>
      <c r="R1101" s="10">
        <v>11</v>
      </c>
      <c r="S1101" t="s">
        <v>518</v>
      </c>
      <c r="T1101" t="s">
        <v>145</v>
      </c>
      <c r="V1101" t="s">
        <v>9</v>
      </c>
      <c r="X1101">
        <v>1</v>
      </c>
      <c r="AF1101">
        <v>-76.643600000000006</v>
      </c>
      <c r="AG1101">
        <v>3.3496000000000001</v>
      </c>
      <c r="AP1101" t="s">
        <v>441</v>
      </c>
      <c r="AQ1101" t="s">
        <v>443</v>
      </c>
    </row>
    <row r="1102" spans="1:43" x14ac:dyDescent="0.2">
      <c r="A1102">
        <v>2023</v>
      </c>
      <c r="B1102" t="s">
        <v>10</v>
      </c>
      <c r="C1102" t="s">
        <v>13</v>
      </c>
      <c r="D1102" t="s">
        <v>177</v>
      </c>
      <c r="E1102" t="s">
        <v>111</v>
      </c>
      <c r="F1102" s="4">
        <v>45245</v>
      </c>
      <c r="G1102" s="5">
        <v>0.90979166666666667</v>
      </c>
      <c r="H1102">
        <v>-76.643500000000003</v>
      </c>
      <c r="I1102">
        <v>3.3498000000000001</v>
      </c>
      <c r="J1102">
        <v>8</v>
      </c>
      <c r="K1102" t="s">
        <v>112</v>
      </c>
      <c r="L1102" t="s">
        <v>546</v>
      </c>
      <c r="M1102">
        <v>2346</v>
      </c>
      <c r="N1102">
        <v>1</v>
      </c>
      <c r="O1102">
        <v>0</v>
      </c>
      <c r="P1102">
        <v>19</v>
      </c>
      <c r="Q1102" s="10" t="s">
        <v>543</v>
      </c>
      <c r="R1102" s="10">
        <v>11</v>
      </c>
      <c r="S1102" t="s">
        <v>518</v>
      </c>
      <c r="T1102" t="s">
        <v>145</v>
      </c>
      <c r="V1102" t="s">
        <v>9</v>
      </c>
      <c r="X1102">
        <v>1</v>
      </c>
      <c r="AA1102" t="s">
        <v>505</v>
      </c>
      <c r="AF1102">
        <v>-76.643600000000006</v>
      </c>
      <c r="AG1102">
        <v>3.3496000000000001</v>
      </c>
      <c r="AP1102" t="s">
        <v>441</v>
      </c>
      <c r="AQ1102" t="s">
        <v>443</v>
      </c>
    </row>
    <row r="1103" spans="1:43" x14ac:dyDescent="0.2">
      <c r="A1103">
        <v>2023</v>
      </c>
      <c r="B1103" t="s">
        <v>10</v>
      </c>
      <c r="C1103" t="s">
        <v>13</v>
      </c>
      <c r="D1103" t="s">
        <v>177</v>
      </c>
      <c r="E1103" t="s">
        <v>111</v>
      </c>
      <c r="F1103" s="4">
        <v>45245</v>
      </c>
      <c r="G1103" s="5">
        <v>0.90979166666666667</v>
      </c>
      <c r="H1103">
        <v>-76.644300000000001</v>
      </c>
      <c r="I1103">
        <v>3.3496999999999999</v>
      </c>
      <c r="J1103">
        <v>8</v>
      </c>
      <c r="K1103" t="s">
        <v>112</v>
      </c>
      <c r="L1103" t="s">
        <v>546</v>
      </c>
      <c r="M1103">
        <v>2346</v>
      </c>
      <c r="N1103">
        <v>1</v>
      </c>
      <c r="O1103">
        <v>0</v>
      </c>
      <c r="P1103">
        <v>19</v>
      </c>
      <c r="Q1103" s="10" t="s">
        <v>543</v>
      </c>
      <c r="R1103" s="10">
        <v>11</v>
      </c>
      <c r="S1103" t="s">
        <v>518</v>
      </c>
      <c r="T1103" t="s">
        <v>145</v>
      </c>
      <c r="V1103" t="s">
        <v>36</v>
      </c>
      <c r="X1103">
        <v>1</v>
      </c>
      <c r="AF1103">
        <v>-76.643600000000006</v>
      </c>
      <c r="AG1103">
        <v>3.3496000000000001</v>
      </c>
      <c r="AP1103" t="s">
        <v>441</v>
      </c>
      <c r="AQ1103" t="s">
        <v>443</v>
      </c>
    </row>
    <row r="1104" spans="1:43" x14ac:dyDescent="0.2">
      <c r="A1104">
        <v>2023</v>
      </c>
      <c r="B1104" t="s">
        <v>49</v>
      </c>
      <c r="C1104" t="s">
        <v>54</v>
      </c>
      <c r="D1104" t="s">
        <v>248</v>
      </c>
      <c r="E1104" t="s">
        <v>122</v>
      </c>
      <c r="F1104" s="4">
        <v>45253</v>
      </c>
      <c r="G1104" s="5">
        <v>0.38891203703703703</v>
      </c>
      <c r="H1104">
        <v>-76.891800000000003</v>
      </c>
      <c r="I1104">
        <v>3.5952000000000002</v>
      </c>
      <c r="J1104">
        <v>8</v>
      </c>
      <c r="N1104">
        <v>0</v>
      </c>
      <c r="O1104">
        <v>0</v>
      </c>
      <c r="P1104">
        <v>28</v>
      </c>
      <c r="Q1104" s="10" t="s">
        <v>543</v>
      </c>
      <c r="R1104" s="10">
        <v>17.5</v>
      </c>
      <c r="V1104" t="s">
        <v>47</v>
      </c>
      <c r="X1104">
        <v>0</v>
      </c>
      <c r="AF1104">
        <v>-76.892499999999998</v>
      </c>
      <c r="AG1104">
        <v>3.5958000000000001</v>
      </c>
    </row>
    <row r="1105" spans="1:43" x14ac:dyDescent="0.2">
      <c r="A1105">
        <v>2023</v>
      </c>
      <c r="B1105" t="s">
        <v>49</v>
      </c>
      <c r="C1105" t="s">
        <v>80</v>
      </c>
      <c r="D1105" t="s">
        <v>558</v>
      </c>
      <c r="E1105" t="s">
        <v>111</v>
      </c>
      <c r="F1105" s="4">
        <v>45253</v>
      </c>
      <c r="G1105" s="5">
        <v>0</v>
      </c>
      <c r="H1105">
        <v>-76.883001669999999</v>
      </c>
      <c r="I1105">
        <v>3.5908666669999998</v>
      </c>
      <c r="J1105">
        <v>8</v>
      </c>
      <c r="N1105">
        <v>0</v>
      </c>
      <c r="O1105">
        <v>0</v>
      </c>
      <c r="P1105">
        <v>22.5</v>
      </c>
      <c r="Q1105" s="10">
        <v>0.75</v>
      </c>
      <c r="R1105" s="10">
        <v>45</v>
      </c>
      <c r="V1105" t="s">
        <v>47</v>
      </c>
      <c r="X1105">
        <v>0</v>
      </c>
      <c r="AF1105">
        <v>-76.882499999999993</v>
      </c>
      <c r="AG1105">
        <v>3.5912000000000002</v>
      </c>
    </row>
    <row r="1106" spans="1:43" x14ac:dyDescent="0.2">
      <c r="A1106">
        <v>2023</v>
      </c>
      <c r="B1106" t="s">
        <v>49</v>
      </c>
      <c r="C1106" t="s">
        <v>50</v>
      </c>
      <c r="D1106" t="s">
        <v>245</v>
      </c>
      <c r="E1106" t="s">
        <v>127</v>
      </c>
      <c r="F1106" s="4">
        <v>45252</v>
      </c>
      <c r="G1106" s="5">
        <v>0</v>
      </c>
      <c r="H1106">
        <v>-76.880713290000003</v>
      </c>
      <c r="I1106">
        <v>3.5779644660000001</v>
      </c>
      <c r="J1106">
        <v>8</v>
      </c>
      <c r="K1106" t="s">
        <v>112</v>
      </c>
      <c r="M1106">
        <v>733</v>
      </c>
      <c r="N1106">
        <v>1</v>
      </c>
      <c r="O1106">
        <v>0</v>
      </c>
      <c r="P1106">
        <v>27.5</v>
      </c>
      <c r="Q1106" s="10" t="s">
        <v>543</v>
      </c>
      <c r="R1106" s="10">
        <v>47.5</v>
      </c>
      <c r="S1106" t="s">
        <v>318</v>
      </c>
      <c r="T1106" t="s">
        <v>258</v>
      </c>
      <c r="V1106" t="s">
        <v>78</v>
      </c>
      <c r="X1106">
        <v>1</v>
      </c>
      <c r="AF1106">
        <v>-76.880534999999995</v>
      </c>
      <c r="AG1106">
        <v>3.5784050000000001</v>
      </c>
      <c r="AP1106" t="s">
        <v>450</v>
      </c>
      <c r="AQ1106" t="s">
        <v>244</v>
      </c>
    </row>
    <row r="1107" spans="1:43" x14ac:dyDescent="0.2">
      <c r="A1107">
        <v>2023</v>
      </c>
      <c r="B1107" t="s">
        <v>49</v>
      </c>
      <c r="C1107" t="s">
        <v>50</v>
      </c>
      <c r="D1107" t="s">
        <v>245</v>
      </c>
      <c r="E1107" t="s">
        <v>127</v>
      </c>
      <c r="F1107" s="4">
        <v>45252</v>
      </c>
      <c r="G1107" s="5">
        <v>0</v>
      </c>
      <c r="H1107">
        <v>-76.880713290000003</v>
      </c>
      <c r="I1107">
        <v>3.5779644660000001</v>
      </c>
      <c r="J1107">
        <v>8</v>
      </c>
      <c r="K1107" t="s">
        <v>112</v>
      </c>
      <c r="M1107">
        <v>730</v>
      </c>
      <c r="N1107">
        <v>1</v>
      </c>
      <c r="O1107">
        <v>0</v>
      </c>
      <c r="P1107">
        <v>27.5</v>
      </c>
      <c r="Q1107" s="10" t="s">
        <v>543</v>
      </c>
      <c r="R1107" s="10">
        <v>47.5</v>
      </c>
      <c r="S1107" t="s">
        <v>518</v>
      </c>
      <c r="T1107" t="s">
        <v>258</v>
      </c>
      <c r="V1107" t="s">
        <v>79</v>
      </c>
      <c r="X1107">
        <v>1</v>
      </c>
      <c r="AF1107">
        <v>-76.880534999999995</v>
      </c>
      <c r="AG1107">
        <v>3.5784050000000001</v>
      </c>
      <c r="AP1107" t="s">
        <v>441</v>
      </c>
      <c r="AQ1107" t="s">
        <v>443</v>
      </c>
    </row>
    <row r="1108" spans="1:43" x14ac:dyDescent="0.2">
      <c r="A1108">
        <v>2023</v>
      </c>
      <c r="B1108" t="s">
        <v>49</v>
      </c>
      <c r="C1108" t="s">
        <v>50</v>
      </c>
      <c r="D1108" t="s">
        <v>245</v>
      </c>
      <c r="E1108" t="s">
        <v>127</v>
      </c>
      <c r="F1108" s="4">
        <v>45252</v>
      </c>
      <c r="G1108" s="5">
        <v>0</v>
      </c>
      <c r="H1108">
        <v>-76.880713290000003</v>
      </c>
      <c r="I1108">
        <v>3.5779644660000001</v>
      </c>
      <c r="J1108">
        <v>8</v>
      </c>
      <c r="K1108" t="s">
        <v>119</v>
      </c>
      <c r="M1108">
        <v>733</v>
      </c>
      <c r="N1108">
        <v>1</v>
      </c>
      <c r="O1108">
        <v>0</v>
      </c>
      <c r="P1108">
        <v>27.5</v>
      </c>
      <c r="Q1108" s="10" t="s">
        <v>543</v>
      </c>
      <c r="R1108" s="10">
        <v>47.5</v>
      </c>
      <c r="S1108" t="s">
        <v>318</v>
      </c>
      <c r="T1108" t="s">
        <v>258</v>
      </c>
      <c r="V1108" t="s">
        <v>77</v>
      </c>
      <c r="X1108">
        <v>2</v>
      </c>
      <c r="AF1108">
        <v>-76.880534999999995</v>
      </c>
      <c r="AG1108">
        <v>3.5784050000000001</v>
      </c>
      <c r="AP1108" t="s">
        <v>450</v>
      </c>
      <c r="AQ1108" t="s">
        <v>244</v>
      </c>
    </row>
    <row r="1109" spans="1:43" x14ac:dyDescent="0.2">
      <c r="A1109">
        <v>2023</v>
      </c>
      <c r="B1109" t="s">
        <v>10</v>
      </c>
      <c r="C1109" t="s">
        <v>12</v>
      </c>
      <c r="D1109" t="s">
        <v>189</v>
      </c>
      <c r="E1109" t="s">
        <v>157</v>
      </c>
      <c r="F1109" s="4">
        <v>45246</v>
      </c>
      <c r="G1109" s="5">
        <v>0.81497685185185187</v>
      </c>
      <c r="H1109">
        <v>-76.653145050000006</v>
      </c>
      <c r="I1109">
        <v>3.3532003420000001</v>
      </c>
      <c r="J1109">
        <v>8</v>
      </c>
      <c r="K1109" t="s">
        <v>112</v>
      </c>
      <c r="L1109" t="s">
        <v>546</v>
      </c>
      <c r="M1109">
        <v>2606</v>
      </c>
      <c r="N1109">
        <v>1</v>
      </c>
      <c r="O1109">
        <v>0</v>
      </c>
      <c r="P1109">
        <v>22.5</v>
      </c>
      <c r="Q1109" s="10" t="s">
        <v>543</v>
      </c>
      <c r="R1109" s="10">
        <v>27.5</v>
      </c>
      <c r="S1109" t="s">
        <v>518</v>
      </c>
      <c r="T1109" t="s">
        <v>145</v>
      </c>
      <c r="V1109" t="s">
        <v>7</v>
      </c>
      <c r="X1109">
        <v>1</v>
      </c>
      <c r="AF1109">
        <v>-76.653599999999997</v>
      </c>
      <c r="AG1109">
        <v>3.3532000000000002</v>
      </c>
      <c r="AP1109" t="s">
        <v>441</v>
      </c>
      <c r="AQ1109" t="s">
        <v>443</v>
      </c>
    </row>
    <row r="1110" spans="1:43" x14ac:dyDescent="0.2">
      <c r="A1110">
        <v>2023</v>
      </c>
      <c r="B1110" t="s">
        <v>10</v>
      </c>
      <c r="C1110" t="s">
        <v>12</v>
      </c>
      <c r="D1110" t="s">
        <v>189</v>
      </c>
      <c r="E1110" t="s">
        <v>157</v>
      </c>
      <c r="F1110" s="4">
        <v>45246</v>
      </c>
      <c r="G1110" s="5">
        <v>0.81497685185185187</v>
      </c>
      <c r="H1110">
        <v>-76.653400000000005</v>
      </c>
      <c r="I1110">
        <v>3.3534000000000002</v>
      </c>
      <c r="J1110">
        <v>8</v>
      </c>
      <c r="K1110" t="s">
        <v>119</v>
      </c>
      <c r="L1110" t="s">
        <v>120</v>
      </c>
      <c r="M1110">
        <v>2606</v>
      </c>
      <c r="N1110">
        <v>1</v>
      </c>
      <c r="O1110">
        <v>0</v>
      </c>
      <c r="P1110">
        <v>22.5</v>
      </c>
      <c r="Q1110" s="10" t="s">
        <v>543</v>
      </c>
      <c r="R1110" s="10">
        <v>27.5</v>
      </c>
      <c r="S1110" t="s">
        <v>518</v>
      </c>
      <c r="T1110" t="s">
        <v>145</v>
      </c>
      <c r="V1110" t="s">
        <v>7</v>
      </c>
      <c r="X1110">
        <v>3</v>
      </c>
      <c r="AF1110">
        <v>-76.653599999999997</v>
      </c>
      <c r="AG1110">
        <v>3.3532000000000002</v>
      </c>
      <c r="AP1110" t="s">
        <v>441</v>
      </c>
      <c r="AQ1110" t="s">
        <v>443</v>
      </c>
    </row>
    <row r="1111" spans="1:43" x14ac:dyDescent="0.2">
      <c r="A1111">
        <v>2023</v>
      </c>
      <c r="B1111" t="s">
        <v>49</v>
      </c>
      <c r="C1111" t="s">
        <v>50</v>
      </c>
      <c r="D1111" t="s">
        <v>246</v>
      </c>
      <c r="E1111" t="s">
        <v>122</v>
      </c>
      <c r="F1111" s="4">
        <v>45252</v>
      </c>
      <c r="G1111" s="5">
        <v>0</v>
      </c>
      <c r="H1111">
        <v>-76.880713290000003</v>
      </c>
      <c r="I1111">
        <v>3.5779644660000001</v>
      </c>
      <c r="J1111">
        <v>8</v>
      </c>
      <c r="K1111" t="s">
        <v>119</v>
      </c>
      <c r="M1111">
        <v>727</v>
      </c>
      <c r="N1111">
        <v>1</v>
      </c>
      <c r="O1111">
        <v>0</v>
      </c>
      <c r="P1111">
        <v>23.5</v>
      </c>
      <c r="Q1111" s="10" t="s">
        <v>543</v>
      </c>
      <c r="R1111" s="10">
        <v>5</v>
      </c>
      <c r="S1111" t="s">
        <v>518</v>
      </c>
      <c r="T1111" t="s">
        <v>258</v>
      </c>
      <c r="V1111" t="s">
        <v>31</v>
      </c>
      <c r="X1111">
        <v>1</v>
      </c>
      <c r="AF1111">
        <v>-76.880600000000001</v>
      </c>
      <c r="AG1111">
        <v>3.5783</v>
      </c>
      <c r="AP1111" t="s">
        <v>441</v>
      </c>
      <c r="AQ1111" t="s">
        <v>443</v>
      </c>
    </row>
    <row r="1112" spans="1:43" x14ac:dyDescent="0.2">
      <c r="A1112">
        <v>2023</v>
      </c>
      <c r="B1112" t="s">
        <v>10</v>
      </c>
      <c r="C1112" t="s">
        <v>69</v>
      </c>
      <c r="D1112" t="s">
        <v>461</v>
      </c>
      <c r="E1112" t="s">
        <v>111</v>
      </c>
      <c r="F1112" s="4">
        <v>45245</v>
      </c>
      <c r="G1112" s="5">
        <v>0.86803240740740739</v>
      </c>
      <c r="H1112">
        <v>-76.641800000000003</v>
      </c>
      <c r="I1112">
        <v>3.3496999999999999</v>
      </c>
      <c r="J1112">
        <v>8</v>
      </c>
      <c r="K1112" t="s">
        <v>119</v>
      </c>
      <c r="L1112" t="s">
        <v>120</v>
      </c>
      <c r="M1112">
        <v>2346</v>
      </c>
      <c r="N1112">
        <v>1</v>
      </c>
      <c r="O1112">
        <v>0</v>
      </c>
      <c r="P1112">
        <v>17.5</v>
      </c>
      <c r="Q1112" s="10" t="s">
        <v>543</v>
      </c>
      <c r="R1112" s="10">
        <v>23.5</v>
      </c>
      <c r="S1112" t="s">
        <v>518</v>
      </c>
      <c r="T1112" t="s">
        <v>145</v>
      </c>
      <c r="V1112" t="s">
        <v>7</v>
      </c>
      <c r="X1112">
        <v>1</v>
      </c>
      <c r="AF1112">
        <v>-76.641300000000001</v>
      </c>
      <c r="AG1112">
        <v>3.34985</v>
      </c>
      <c r="AP1112" t="s">
        <v>441</v>
      </c>
      <c r="AQ1112" t="s">
        <v>443</v>
      </c>
    </row>
    <row r="1113" spans="1:43" x14ac:dyDescent="0.2">
      <c r="A1113">
        <v>2023</v>
      </c>
      <c r="B1113" t="s">
        <v>10</v>
      </c>
      <c r="C1113" t="s">
        <v>69</v>
      </c>
      <c r="D1113" t="s">
        <v>461</v>
      </c>
      <c r="E1113" t="s">
        <v>111</v>
      </c>
      <c r="F1113" s="4">
        <v>45245</v>
      </c>
      <c r="G1113" s="5">
        <v>0.86803240740740739</v>
      </c>
      <c r="H1113">
        <v>-76.641499999999994</v>
      </c>
      <c r="I1113">
        <v>3.3498000000000001</v>
      </c>
      <c r="J1113">
        <v>8</v>
      </c>
      <c r="K1113" t="s">
        <v>119</v>
      </c>
      <c r="L1113" t="s">
        <v>120</v>
      </c>
      <c r="M1113">
        <v>2346</v>
      </c>
      <c r="N1113">
        <v>1</v>
      </c>
      <c r="O1113">
        <v>0</v>
      </c>
      <c r="P1113">
        <v>17.5</v>
      </c>
      <c r="Q1113" s="10" t="s">
        <v>543</v>
      </c>
      <c r="R1113" s="10">
        <v>23.5</v>
      </c>
      <c r="S1113" t="s">
        <v>518</v>
      </c>
      <c r="T1113" t="s">
        <v>145</v>
      </c>
      <c r="V1113" t="s">
        <v>9</v>
      </c>
      <c r="X1113">
        <v>1</v>
      </c>
      <c r="AA1113" t="s">
        <v>505</v>
      </c>
      <c r="AF1113">
        <v>-76.641300000000001</v>
      </c>
      <c r="AG1113">
        <v>3.34985</v>
      </c>
      <c r="AP1113" t="s">
        <v>441</v>
      </c>
      <c r="AQ1113" t="s">
        <v>443</v>
      </c>
    </row>
    <row r="1114" spans="1:43" x14ac:dyDescent="0.2">
      <c r="A1114">
        <v>2023</v>
      </c>
      <c r="B1114" t="s">
        <v>10</v>
      </c>
      <c r="C1114" t="s">
        <v>69</v>
      </c>
      <c r="D1114" t="s">
        <v>461</v>
      </c>
      <c r="E1114" t="s">
        <v>111</v>
      </c>
      <c r="F1114" s="4">
        <v>45245</v>
      </c>
      <c r="G1114" s="5">
        <v>0.86803240740740739</v>
      </c>
      <c r="H1114">
        <v>-76.641599999999997</v>
      </c>
      <c r="I1114">
        <v>3.3498000000000001</v>
      </c>
      <c r="J1114">
        <v>8</v>
      </c>
      <c r="K1114" t="s">
        <v>119</v>
      </c>
      <c r="L1114" t="s">
        <v>546</v>
      </c>
      <c r="M1114">
        <v>2346</v>
      </c>
      <c r="N1114">
        <v>1</v>
      </c>
      <c r="O1114">
        <v>0</v>
      </c>
      <c r="P1114">
        <v>17.5</v>
      </c>
      <c r="Q1114" s="10" t="s">
        <v>543</v>
      </c>
      <c r="R1114" s="10">
        <v>23.5</v>
      </c>
      <c r="S1114" t="s">
        <v>518</v>
      </c>
      <c r="T1114" t="s">
        <v>145</v>
      </c>
      <c r="V1114" t="s">
        <v>7</v>
      </c>
      <c r="X1114">
        <v>1</v>
      </c>
      <c r="AF1114">
        <v>-76.641300000000001</v>
      </c>
      <c r="AG1114">
        <v>3.34985</v>
      </c>
      <c r="AP1114" t="s">
        <v>441</v>
      </c>
      <c r="AQ1114" t="s">
        <v>443</v>
      </c>
    </row>
    <row r="1115" spans="1:43" x14ac:dyDescent="0.2">
      <c r="A1115">
        <v>2023</v>
      </c>
      <c r="B1115" t="s">
        <v>10</v>
      </c>
      <c r="C1115" t="s">
        <v>69</v>
      </c>
      <c r="D1115" t="s">
        <v>461</v>
      </c>
      <c r="E1115" t="s">
        <v>111</v>
      </c>
      <c r="F1115" s="4">
        <v>45245</v>
      </c>
      <c r="G1115" s="5">
        <v>0.86803240740740739</v>
      </c>
      <c r="H1115">
        <v>-76.641594449999999</v>
      </c>
      <c r="I1115">
        <v>3.3496971289999999</v>
      </c>
      <c r="J1115">
        <v>8</v>
      </c>
      <c r="K1115" t="s">
        <v>112</v>
      </c>
      <c r="L1115" t="s">
        <v>546</v>
      </c>
      <c r="M1115">
        <v>2346</v>
      </c>
      <c r="N1115">
        <v>1</v>
      </c>
      <c r="O1115">
        <v>0</v>
      </c>
      <c r="P1115">
        <v>17.5</v>
      </c>
      <c r="Q1115" s="10" t="s">
        <v>543</v>
      </c>
      <c r="R1115" s="10">
        <v>23.5</v>
      </c>
      <c r="T1115" t="s">
        <v>145</v>
      </c>
      <c r="V1115" t="s">
        <v>7</v>
      </c>
      <c r="X1115">
        <v>2</v>
      </c>
      <c r="AA1115" t="s">
        <v>505</v>
      </c>
      <c r="AF1115">
        <v>-76.641300000000001</v>
      </c>
      <c r="AG1115">
        <v>3.34985</v>
      </c>
      <c r="AQ1115" t="s">
        <v>244</v>
      </c>
    </row>
    <row r="1116" spans="1:43" x14ac:dyDescent="0.2">
      <c r="A1116">
        <v>2023</v>
      </c>
      <c r="B1116" t="s">
        <v>10</v>
      </c>
      <c r="C1116" t="s">
        <v>69</v>
      </c>
      <c r="D1116" t="s">
        <v>461</v>
      </c>
      <c r="E1116" t="s">
        <v>111</v>
      </c>
      <c r="F1116" s="4">
        <v>45245</v>
      </c>
      <c r="G1116" s="5">
        <v>0.86803240740740739</v>
      </c>
      <c r="H1116">
        <v>-76.6417</v>
      </c>
      <c r="I1116">
        <v>3.3498000000000001</v>
      </c>
      <c r="J1116">
        <v>8</v>
      </c>
      <c r="K1116" t="s">
        <v>112</v>
      </c>
      <c r="L1116" t="s">
        <v>546</v>
      </c>
      <c r="M1116">
        <v>2346</v>
      </c>
      <c r="N1116">
        <v>1</v>
      </c>
      <c r="O1116">
        <v>0</v>
      </c>
      <c r="P1116">
        <v>17.5</v>
      </c>
      <c r="Q1116" s="10" t="s">
        <v>543</v>
      </c>
      <c r="R1116" s="10">
        <v>23.5</v>
      </c>
      <c r="S1116" t="s">
        <v>518</v>
      </c>
      <c r="T1116" t="s">
        <v>145</v>
      </c>
      <c r="V1116" t="s">
        <v>9</v>
      </c>
      <c r="X1116">
        <v>1</v>
      </c>
      <c r="AF1116">
        <v>-76.641300000000001</v>
      </c>
      <c r="AG1116">
        <v>3.34985</v>
      </c>
      <c r="AP1116" t="s">
        <v>441</v>
      </c>
      <c r="AQ1116" t="s">
        <v>443</v>
      </c>
    </row>
    <row r="1117" spans="1:43" x14ac:dyDescent="0.2">
      <c r="A1117">
        <v>2023</v>
      </c>
      <c r="B1117" t="s">
        <v>10</v>
      </c>
      <c r="C1117" t="s">
        <v>69</v>
      </c>
      <c r="D1117" t="s">
        <v>461</v>
      </c>
      <c r="E1117" t="s">
        <v>111</v>
      </c>
      <c r="F1117" s="4">
        <v>45245</v>
      </c>
      <c r="G1117" s="5">
        <v>0.86803240740740739</v>
      </c>
      <c r="H1117">
        <v>-76.641999999999996</v>
      </c>
      <c r="I1117">
        <v>3.3496000000000001</v>
      </c>
      <c r="J1117">
        <v>8</v>
      </c>
      <c r="K1117" t="s">
        <v>119</v>
      </c>
      <c r="L1117" t="s">
        <v>546</v>
      </c>
      <c r="M1117">
        <v>2346</v>
      </c>
      <c r="N1117">
        <v>1</v>
      </c>
      <c r="O1117">
        <v>0</v>
      </c>
      <c r="P1117">
        <v>17.5</v>
      </c>
      <c r="Q1117" s="10" t="s">
        <v>543</v>
      </c>
      <c r="R1117" s="10">
        <v>23.5</v>
      </c>
      <c r="S1117" t="s">
        <v>518</v>
      </c>
      <c r="T1117" t="s">
        <v>145</v>
      </c>
      <c r="V1117" t="s">
        <v>7</v>
      </c>
      <c r="X1117">
        <v>2</v>
      </c>
      <c r="AF1117">
        <v>-76.641300000000001</v>
      </c>
      <c r="AG1117">
        <v>3.34985</v>
      </c>
      <c r="AP1117" t="s">
        <v>441</v>
      </c>
      <c r="AQ1117" t="s">
        <v>244</v>
      </c>
    </row>
    <row r="1118" spans="1:43" x14ac:dyDescent="0.2">
      <c r="A1118">
        <v>2023</v>
      </c>
      <c r="B1118" t="s">
        <v>10</v>
      </c>
      <c r="C1118" t="s">
        <v>69</v>
      </c>
      <c r="D1118" t="s">
        <v>461</v>
      </c>
      <c r="E1118" t="s">
        <v>111</v>
      </c>
      <c r="F1118" s="4">
        <v>45245</v>
      </c>
      <c r="G1118" s="5">
        <v>0.86803240740740739</v>
      </c>
      <c r="H1118">
        <v>-76.641400000000004</v>
      </c>
      <c r="I1118">
        <v>3.3498999999999999</v>
      </c>
      <c r="J1118">
        <v>8</v>
      </c>
      <c r="K1118" t="s">
        <v>119</v>
      </c>
      <c r="L1118" t="s">
        <v>120</v>
      </c>
      <c r="M1118">
        <v>2346</v>
      </c>
      <c r="N1118">
        <v>1</v>
      </c>
      <c r="O1118">
        <v>0</v>
      </c>
      <c r="P1118">
        <v>17.5</v>
      </c>
      <c r="Q1118" s="10" t="s">
        <v>543</v>
      </c>
      <c r="R1118" s="10">
        <v>23.5</v>
      </c>
      <c r="S1118" t="s">
        <v>518</v>
      </c>
      <c r="T1118" t="s">
        <v>145</v>
      </c>
      <c r="V1118" t="s">
        <v>9</v>
      </c>
      <c r="X1118">
        <v>1</v>
      </c>
      <c r="AF1118">
        <v>-76.641300000000001</v>
      </c>
      <c r="AG1118">
        <v>3.34985</v>
      </c>
      <c r="AP1118" t="s">
        <v>441</v>
      </c>
      <c r="AQ1118" t="s">
        <v>443</v>
      </c>
    </row>
    <row r="1119" spans="1:43" x14ac:dyDescent="0.2">
      <c r="A1119">
        <v>2023</v>
      </c>
      <c r="B1119" t="s">
        <v>21</v>
      </c>
      <c r="C1119" t="s">
        <v>24</v>
      </c>
      <c r="D1119" t="s">
        <v>170</v>
      </c>
      <c r="E1119" t="s">
        <v>122</v>
      </c>
      <c r="F1119" s="4">
        <v>45211</v>
      </c>
      <c r="G1119" s="5">
        <v>0.81469907407407405</v>
      </c>
      <c r="H1119">
        <v>-76.713885000000005</v>
      </c>
      <c r="I1119">
        <v>3.4876116669999999</v>
      </c>
      <c r="J1119">
        <v>8</v>
      </c>
      <c r="K1119" t="s">
        <v>112</v>
      </c>
      <c r="L1119" t="s">
        <v>546</v>
      </c>
      <c r="N1119">
        <v>0</v>
      </c>
      <c r="O1119">
        <v>1</v>
      </c>
      <c r="P1119">
        <v>13.5</v>
      </c>
      <c r="Q1119" s="10" t="s">
        <v>543</v>
      </c>
      <c r="R1119" s="10">
        <v>12</v>
      </c>
      <c r="S1119" t="s">
        <v>532</v>
      </c>
      <c r="T1119" t="s">
        <v>447</v>
      </c>
      <c r="V1119" t="s">
        <v>3</v>
      </c>
      <c r="X1119">
        <v>5</v>
      </c>
      <c r="AF1119">
        <v>-76.713926670000006</v>
      </c>
      <c r="AG1119">
        <v>3.4875733329999998</v>
      </c>
      <c r="AP1119" t="s">
        <v>448</v>
      </c>
      <c r="AQ1119" t="s">
        <v>244</v>
      </c>
    </row>
    <row r="1120" spans="1:43" x14ac:dyDescent="0.2">
      <c r="A1120">
        <v>2023</v>
      </c>
      <c r="B1120" t="s">
        <v>21</v>
      </c>
      <c r="C1120" t="s">
        <v>24</v>
      </c>
      <c r="D1120" t="s">
        <v>170</v>
      </c>
      <c r="E1120" t="s">
        <v>122</v>
      </c>
      <c r="F1120" s="4">
        <v>45211</v>
      </c>
      <c r="G1120" s="5">
        <v>0.81469907407407405</v>
      </c>
      <c r="H1120">
        <v>-76.713885000000005</v>
      </c>
      <c r="I1120">
        <v>3.4876116669999999</v>
      </c>
      <c r="J1120">
        <v>8</v>
      </c>
      <c r="K1120" t="s">
        <v>119</v>
      </c>
      <c r="L1120" t="s">
        <v>546</v>
      </c>
      <c r="M1120">
        <v>1816</v>
      </c>
      <c r="N1120">
        <v>0</v>
      </c>
      <c r="O1120">
        <v>1</v>
      </c>
      <c r="P1120">
        <v>13.5</v>
      </c>
      <c r="Q1120" s="10" t="s">
        <v>543</v>
      </c>
      <c r="R1120" s="10">
        <v>12</v>
      </c>
      <c r="S1120" t="s">
        <v>442</v>
      </c>
      <c r="T1120" t="s">
        <v>447</v>
      </c>
      <c r="V1120" t="s">
        <v>8</v>
      </c>
      <c r="X1120">
        <v>1</v>
      </c>
      <c r="AF1120">
        <v>-76.713926670000006</v>
      </c>
      <c r="AG1120">
        <v>3.4875733329999998</v>
      </c>
      <c r="AP1120" t="s">
        <v>441</v>
      </c>
      <c r="AQ1120" t="s">
        <v>244</v>
      </c>
    </row>
    <row r="1121" spans="1:43" x14ac:dyDescent="0.2">
      <c r="A1121">
        <v>2023</v>
      </c>
      <c r="B1121" t="s">
        <v>21</v>
      </c>
      <c r="C1121" t="s">
        <v>24</v>
      </c>
      <c r="D1121" t="s">
        <v>170</v>
      </c>
      <c r="E1121" t="s">
        <v>122</v>
      </c>
      <c r="F1121" s="4">
        <v>45211</v>
      </c>
      <c r="G1121" s="5">
        <v>0.81469907407407405</v>
      </c>
      <c r="H1121">
        <v>-76.713885000000005</v>
      </c>
      <c r="I1121">
        <v>3.4876116669999999</v>
      </c>
      <c r="J1121">
        <v>8</v>
      </c>
      <c r="K1121" t="s">
        <v>119</v>
      </c>
      <c r="L1121" t="s">
        <v>546</v>
      </c>
      <c r="M1121">
        <v>1816</v>
      </c>
      <c r="N1121">
        <v>0</v>
      </c>
      <c r="O1121">
        <v>1</v>
      </c>
      <c r="P1121">
        <v>13.5</v>
      </c>
      <c r="Q1121" s="10" t="s">
        <v>543</v>
      </c>
      <c r="R1121" s="10">
        <v>12</v>
      </c>
      <c r="S1121" t="s">
        <v>361</v>
      </c>
      <c r="T1121" t="s">
        <v>447</v>
      </c>
      <c r="V1121" t="s">
        <v>73</v>
      </c>
      <c r="X1121">
        <v>1</v>
      </c>
      <c r="AF1121">
        <v>-76.713926670000006</v>
      </c>
      <c r="AG1121">
        <v>3.4875733329999998</v>
      </c>
      <c r="AP1121" t="s">
        <v>441</v>
      </c>
      <c r="AQ1121" t="s">
        <v>244</v>
      </c>
    </row>
    <row r="1122" spans="1:43" x14ac:dyDescent="0.2">
      <c r="A1122">
        <v>2023</v>
      </c>
      <c r="B1122" t="s">
        <v>21</v>
      </c>
      <c r="C1122" t="s">
        <v>24</v>
      </c>
      <c r="D1122" t="s">
        <v>170</v>
      </c>
      <c r="E1122" t="s">
        <v>122</v>
      </c>
      <c r="F1122" s="4">
        <v>45211</v>
      </c>
      <c r="G1122" s="5">
        <v>0.82671296296296293</v>
      </c>
      <c r="H1122">
        <v>-76.713988330000006</v>
      </c>
      <c r="I1122">
        <v>3.4875949999999998</v>
      </c>
      <c r="J1122">
        <v>8</v>
      </c>
      <c r="K1122" t="s">
        <v>112</v>
      </c>
      <c r="L1122" t="s">
        <v>546</v>
      </c>
      <c r="M1122">
        <v>1816</v>
      </c>
      <c r="N1122">
        <v>1</v>
      </c>
      <c r="O1122">
        <v>0</v>
      </c>
      <c r="P1122">
        <v>13.5</v>
      </c>
      <c r="Q1122" s="10" t="s">
        <v>543</v>
      </c>
      <c r="R1122" s="10">
        <v>12</v>
      </c>
      <c r="S1122" t="s">
        <v>442</v>
      </c>
      <c r="T1122" t="s">
        <v>447</v>
      </c>
      <c r="V1122" t="s">
        <v>4</v>
      </c>
      <c r="X1122">
        <v>1</v>
      </c>
      <c r="AF1122">
        <v>-76.713926670000006</v>
      </c>
      <c r="AG1122">
        <v>3.4875733329999998</v>
      </c>
      <c r="AP1122" t="s">
        <v>450</v>
      </c>
      <c r="AQ1122" t="s">
        <v>443</v>
      </c>
    </row>
    <row r="1123" spans="1:43" x14ac:dyDescent="0.2">
      <c r="A1123">
        <v>2023</v>
      </c>
      <c r="B1123" t="s">
        <v>21</v>
      </c>
      <c r="C1123" t="s">
        <v>24</v>
      </c>
      <c r="D1123" t="s">
        <v>170</v>
      </c>
      <c r="E1123" t="s">
        <v>122</v>
      </c>
      <c r="F1123" s="4">
        <v>45211</v>
      </c>
      <c r="G1123" s="5">
        <v>0.82435185185185189</v>
      </c>
      <c r="H1123">
        <v>-76.713926670000006</v>
      </c>
      <c r="I1123">
        <v>3.4875733329999998</v>
      </c>
      <c r="J1123">
        <v>8</v>
      </c>
      <c r="K1123" t="s">
        <v>119</v>
      </c>
      <c r="L1123" t="s">
        <v>120</v>
      </c>
      <c r="N1123">
        <v>1</v>
      </c>
      <c r="O1123">
        <v>0</v>
      </c>
      <c r="P1123">
        <v>13.5</v>
      </c>
      <c r="Q1123" s="10" t="s">
        <v>543</v>
      </c>
      <c r="R1123" s="10">
        <v>12</v>
      </c>
      <c r="S1123" t="s">
        <v>442</v>
      </c>
      <c r="T1123" t="s">
        <v>447</v>
      </c>
      <c r="V1123" t="s">
        <v>8</v>
      </c>
      <c r="X1123">
        <v>1</v>
      </c>
      <c r="AF1123">
        <v>-76.713926670000006</v>
      </c>
      <c r="AG1123">
        <v>3.4875733329999998</v>
      </c>
      <c r="AP1123" t="s">
        <v>441</v>
      </c>
      <c r="AQ1123" t="s">
        <v>443</v>
      </c>
    </row>
    <row r="1124" spans="1:43" x14ac:dyDescent="0.2">
      <c r="A1124">
        <v>2023</v>
      </c>
      <c r="B1124" t="s">
        <v>21</v>
      </c>
      <c r="C1124" t="s">
        <v>24</v>
      </c>
      <c r="D1124" t="s">
        <v>170</v>
      </c>
      <c r="E1124" t="s">
        <v>122</v>
      </c>
      <c r="F1124" s="4">
        <v>45211</v>
      </c>
      <c r="G1124" s="5">
        <v>0.82435185185185189</v>
      </c>
      <c r="H1124">
        <v>-76.713926670000006</v>
      </c>
      <c r="I1124">
        <v>3.4875733329999998</v>
      </c>
      <c r="J1124">
        <v>8</v>
      </c>
      <c r="K1124" t="s">
        <v>112</v>
      </c>
      <c r="L1124" t="s">
        <v>546</v>
      </c>
      <c r="M1124">
        <v>1</v>
      </c>
      <c r="N1124">
        <v>1</v>
      </c>
      <c r="O1124">
        <v>0</v>
      </c>
      <c r="P1124">
        <v>13.5</v>
      </c>
      <c r="Q1124" s="10" t="s">
        <v>543</v>
      </c>
      <c r="R1124" s="10">
        <v>12</v>
      </c>
      <c r="S1124" t="s">
        <v>442</v>
      </c>
      <c r="T1124" t="s">
        <v>447</v>
      </c>
      <c r="V1124" t="s">
        <v>73</v>
      </c>
      <c r="X1124">
        <v>1</v>
      </c>
      <c r="AF1124">
        <v>-76.713926670000006</v>
      </c>
      <c r="AG1124">
        <v>3.4875733329999998</v>
      </c>
      <c r="AP1124" t="s">
        <v>441</v>
      </c>
      <c r="AQ1124" t="s">
        <v>443</v>
      </c>
    </row>
    <row r="1125" spans="1:43" x14ac:dyDescent="0.2">
      <c r="A1125">
        <v>2023</v>
      </c>
      <c r="B1125" t="s">
        <v>21</v>
      </c>
      <c r="C1125" t="s">
        <v>24</v>
      </c>
      <c r="D1125" t="s">
        <v>170</v>
      </c>
      <c r="E1125" t="s">
        <v>122</v>
      </c>
      <c r="F1125" s="4">
        <v>45211</v>
      </c>
      <c r="G1125" s="5">
        <v>0.83880787037037041</v>
      </c>
      <c r="H1125">
        <v>-76.714015000000003</v>
      </c>
      <c r="I1125">
        <v>3.4874116669999999</v>
      </c>
      <c r="J1125">
        <v>8</v>
      </c>
      <c r="K1125" t="s">
        <v>119</v>
      </c>
      <c r="L1125" t="s">
        <v>546</v>
      </c>
      <c r="M1125">
        <v>1816</v>
      </c>
      <c r="N1125">
        <v>1</v>
      </c>
      <c r="O1125">
        <v>0</v>
      </c>
      <c r="P1125">
        <v>13.5</v>
      </c>
      <c r="Q1125" s="10" t="s">
        <v>543</v>
      </c>
      <c r="R1125" s="10">
        <v>12</v>
      </c>
      <c r="S1125" t="s">
        <v>318</v>
      </c>
      <c r="T1125" t="s">
        <v>447</v>
      </c>
      <c r="V1125" t="s">
        <v>4</v>
      </c>
      <c r="X1125">
        <v>1</v>
      </c>
      <c r="AF1125">
        <v>-76.713926670000006</v>
      </c>
      <c r="AG1125">
        <v>3.4875733329999998</v>
      </c>
      <c r="AP1125" t="s">
        <v>450</v>
      </c>
      <c r="AQ1125" t="s">
        <v>443</v>
      </c>
    </row>
    <row r="1126" spans="1:43" x14ac:dyDescent="0.2">
      <c r="A1126">
        <v>2023</v>
      </c>
      <c r="B1126" t="s">
        <v>21</v>
      </c>
      <c r="C1126" t="s">
        <v>24</v>
      </c>
      <c r="D1126" t="s">
        <v>170</v>
      </c>
      <c r="E1126" t="s">
        <v>122</v>
      </c>
      <c r="F1126" s="4">
        <v>45211</v>
      </c>
      <c r="G1126" s="5">
        <v>0.83988425925925925</v>
      </c>
      <c r="H1126">
        <v>-76.713893330000005</v>
      </c>
      <c r="I1126">
        <v>3.4873433330000001</v>
      </c>
      <c r="J1126">
        <v>8</v>
      </c>
      <c r="K1126" t="s">
        <v>112</v>
      </c>
      <c r="L1126" t="s">
        <v>546</v>
      </c>
      <c r="M1126">
        <v>1816</v>
      </c>
      <c r="N1126">
        <v>1</v>
      </c>
      <c r="O1126">
        <v>0</v>
      </c>
      <c r="P1126">
        <v>13.5</v>
      </c>
      <c r="Q1126" s="10" t="s">
        <v>543</v>
      </c>
      <c r="R1126" s="10">
        <v>12</v>
      </c>
      <c r="S1126" t="s">
        <v>318</v>
      </c>
      <c r="T1126" t="s">
        <v>447</v>
      </c>
      <c r="V1126" t="s">
        <v>73</v>
      </c>
      <c r="X1126">
        <v>1</v>
      </c>
      <c r="AF1126">
        <v>-76.713926670000006</v>
      </c>
      <c r="AG1126">
        <v>3.4875733329999998</v>
      </c>
      <c r="AP1126" t="s">
        <v>450</v>
      </c>
      <c r="AQ1126" t="s">
        <v>443</v>
      </c>
    </row>
    <row r="1127" spans="1:43" x14ac:dyDescent="0.2">
      <c r="A1127">
        <v>2023</v>
      </c>
      <c r="B1127" t="s">
        <v>21</v>
      </c>
      <c r="C1127" t="s">
        <v>24</v>
      </c>
      <c r="D1127" t="s">
        <v>166</v>
      </c>
      <c r="E1127" t="s">
        <v>111</v>
      </c>
      <c r="F1127" s="4">
        <v>45211</v>
      </c>
      <c r="G1127" s="5">
        <v>0.81662037037037039</v>
      </c>
      <c r="H1127">
        <v>-76.713836670000006</v>
      </c>
      <c r="I1127">
        <v>3.4875799999999999</v>
      </c>
      <c r="J1127">
        <v>8</v>
      </c>
      <c r="N1127">
        <v>0</v>
      </c>
      <c r="O1127">
        <v>0</v>
      </c>
      <c r="P1127">
        <v>10</v>
      </c>
      <c r="Q1127" s="10">
        <v>2</v>
      </c>
      <c r="R1127" s="10">
        <v>11</v>
      </c>
      <c r="V1127" t="s">
        <v>47</v>
      </c>
      <c r="X1127">
        <v>0</v>
      </c>
      <c r="AA1127" t="s">
        <v>559</v>
      </c>
      <c r="AF1127">
        <v>-76.713786670000005</v>
      </c>
      <c r="AG1127">
        <v>3.4878650000000002</v>
      </c>
    </row>
    <row r="1128" spans="1:43" x14ac:dyDescent="0.2">
      <c r="A1128">
        <v>2023</v>
      </c>
      <c r="B1128" t="s">
        <v>10</v>
      </c>
      <c r="C1128" t="s">
        <v>11</v>
      </c>
      <c r="D1128" t="s">
        <v>182</v>
      </c>
      <c r="E1128" t="s">
        <v>127</v>
      </c>
      <c r="F1128" s="4">
        <v>45246</v>
      </c>
      <c r="G1128" s="5">
        <v>0</v>
      </c>
      <c r="H1128">
        <v>-76.656261670000006</v>
      </c>
      <c r="I1128">
        <v>3.3556400000000002</v>
      </c>
      <c r="J1128">
        <v>8</v>
      </c>
      <c r="N1128">
        <v>0</v>
      </c>
      <c r="O1128">
        <v>0</v>
      </c>
      <c r="P1128">
        <v>28</v>
      </c>
      <c r="Q1128" s="10">
        <v>0.75</v>
      </c>
      <c r="R1128" s="10">
        <v>16</v>
      </c>
      <c r="V1128" t="s">
        <v>47</v>
      </c>
      <c r="X1128">
        <v>0</v>
      </c>
      <c r="AA1128" t="s">
        <v>436</v>
      </c>
      <c r="AF1128">
        <v>-76.656549999999996</v>
      </c>
      <c r="AG1128">
        <v>3.3551000000000002</v>
      </c>
    </row>
    <row r="1129" spans="1:43" x14ac:dyDescent="0.2">
      <c r="A1129">
        <v>2023</v>
      </c>
      <c r="B1129" t="s">
        <v>10</v>
      </c>
      <c r="C1129" t="s">
        <v>12</v>
      </c>
      <c r="D1129" t="s">
        <v>471</v>
      </c>
      <c r="E1129" t="s">
        <v>122</v>
      </c>
      <c r="F1129" s="4">
        <v>45246</v>
      </c>
      <c r="G1129" s="5">
        <v>0</v>
      </c>
      <c r="H1129">
        <v>-76.648700000000005</v>
      </c>
      <c r="I1129">
        <v>3.3508</v>
      </c>
      <c r="J1129">
        <v>8</v>
      </c>
      <c r="K1129" t="s">
        <v>119</v>
      </c>
      <c r="L1129" t="s">
        <v>546</v>
      </c>
      <c r="M1129">
        <v>2336</v>
      </c>
      <c r="N1129">
        <v>1</v>
      </c>
      <c r="O1129">
        <v>0</v>
      </c>
      <c r="P1129">
        <v>20</v>
      </c>
      <c r="Q1129" s="10" t="s">
        <v>543</v>
      </c>
      <c r="R1129" s="10">
        <v>8.5</v>
      </c>
      <c r="S1129" t="s">
        <v>518</v>
      </c>
      <c r="T1129" t="s">
        <v>145</v>
      </c>
      <c r="V1129" t="s">
        <v>9</v>
      </c>
      <c r="X1129">
        <v>1</v>
      </c>
      <c r="AF1129">
        <v>-76.649199999999993</v>
      </c>
      <c r="AG1129">
        <v>3.3515000000000001</v>
      </c>
      <c r="AP1129" t="s">
        <v>441</v>
      </c>
      <c r="AQ1129" t="s">
        <v>443</v>
      </c>
    </row>
    <row r="1130" spans="1:43" x14ac:dyDescent="0.2">
      <c r="A1130">
        <v>2023</v>
      </c>
      <c r="B1130" t="s">
        <v>10</v>
      </c>
      <c r="C1130" t="s">
        <v>12</v>
      </c>
      <c r="D1130" t="s">
        <v>471</v>
      </c>
      <c r="E1130" t="s">
        <v>122</v>
      </c>
      <c r="F1130" s="4">
        <v>45246</v>
      </c>
      <c r="G1130" s="5">
        <v>0</v>
      </c>
      <c r="H1130">
        <v>-76.649000000000001</v>
      </c>
      <c r="I1130">
        <v>3.3517000000000001</v>
      </c>
      <c r="J1130">
        <v>8</v>
      </c>
      <c r="K1130" t="s">
        <v>112</v>
      </c>
      <c r="L1130" t="s">
        <v>546</v>
      </c>
      <c r="M1130">
        <v>2335</v>
      </c>
      <c r="N1130">
        <v>1</v>
      </c>
      <c r="O1130">
        <v>0</v>
      </c>
      <c r="P1130">
        <v>20</v>
      </c>
      <c r="Q1130" s="10" t="s">
        <v>543</v>
      </c>
      <c r="R1130" s="10">
        <v>8.5</v>
      </c>
      <c r="S1130" t="s">
        <v>518</v>
      </c>
      <c r="T1130" t="s">
        <v>145</v>
      </c>
      <c r="V1130" t="s">
        <v>59</v>
      </c>
      <c r="X1130">
        <v>1</v>
      </c>
      <c r="AF1130">
        <v>-76.649199999999993</v>
      </c>
      <c r="AG1130">
        <v>3.3515000000000001</v>
      </c>
      <c r="AP1130" t="s">
        <v>441</v>
      </c>
      <c r="AQ1130" t="s">
        <v>443</v>
      </c>
    </row>
    <row r="1131" spans="1:43" x14ac:dyDescent="0.2">
      <c r="A1131">
        <v>2023</v>
      </c>
      <c r="B1131" t="s">
        <v>10</v>
      </c>
      <c r="C1131" t="s">
        <v>12</v>
      </c>
      <c r="D1131" t="s">
        <v>471</v>
      </c>
      <c r="E1131" t="s">
        <v>122</v>
      </c>
      <c r="F1131" s="4">
        <v>45246</v>
      </c>
      <c r="G1131" s="5">
        <v>0</v>
      </c>
      <c r="H1131">
        <v>-76.648799999999994</v>
      </c>
      <c r="I1131">
        <v>3.3504999999999998</v>
      </c>
      <c r="J1131">
        <v>8</v>
      </c>
      <c r="K1131" t="s">
        <v>112</v>
      </c>
      <c r="L1131" t="s">
        <v>546</v>
      </c>
      <c r="M1131">
        <v>2336</v>
      </c>
      <c r="N1131">
        <v>1</v>
      </c>
      <c r="O1131">
        <v>0</v>
      </c>
      <c r="P1131">
        <v>20</v>
      </c>
      <c r="Q1131" s="10" t="s">
        <v>543</v>
      </c>
      <c r="R1131" s="10">
        <v>8.5</v>
      </c>
      <c r="S1131" t="s">
        <v>518</v>
      </c>
      <c r="T1131" t="s">
        <v>145</v>
      </c>
      <c r="V1131" t="s">
        <v>9</v>
      </c>
      <c r="X1131">
        <v>1</v>
      </c>
      <c r="AF1131">
        <v>-76.649199999999993</v>
      </c>
      <c r="AG1131">
        <v>3.3515000000000001</v>
      </c>
      <c r="AP1131" t="s">
        <v>441</v>
      </c>
      <c r="AQ1131" t="s">
        <v>443</v>
      </c>
    </row>
    <row r="1132" spans="1:43" x14ac:dyDescent="0.2">
      <c r="A1132">
        <v>2023</v>
      </c>
      <c r="B1132" t="s">
        <v>10</v>
      </c>
      <c r="C1132" t="s">
        <v>69</v>
      </c>
      <c r="D1132" t="s">
        <v>466</v>
      </c>
      <c r="E1132" t="s">
        <v>127</v>
      </c>
      <c r="F1132" s="4">
        <v>45245</v>
      </c>
      <c r="G1132" s="5">
        <v>0</v>
      </c>
      <c r="H1132">
        <v>-76.639968800000005</v>
      </c>
      <c r="I1132">
        <v>3.3506699499999999</v>
      </c>
      <c r="J1132">
        <v>8</v>
      </c>
      <c r="K1132" t="s">
        <v>112</v>
      </c>
      <c r="L1132" t="s">
        <v>120</v>
      </c>
      <c r="N1132">
        <v>1</v>
      </c>
      <c r="O1132">
        <v>0</v>
      </c>
      <c r="P1132">
        <v>15</v>
      </c>
      <c r="Q1132" s="10" t="s">
        <v>543</v>
      </c>
      <c r="R1132" s="10">
        <v>7.5</v>
      </c>
      <c r="S1132" t="s">
        <v>518</v>
      </c>
      <c r="T1132" t="s">
        <v>258</v>
      </c>
      <c r="V1132" t="s">
        <v>9</v>
      </c>
      <c r="X1132">
        <v>1</v>
      </c>
      <c r="AF1132">
        <v>-76.638900000000007</v>
      </c>
      <c r="AG1132">
        <v>3.3502000000000001</v>
      </c>
      <c r="AP1132" t="s">
        <v>441</v>
      </c>
      <c r="AQ1132" t="s">
        <v>443</v>
      </c>
    </row>
    <row r="1133" spans="1:43" x14ac:dyDescent="0.2">
      <c r="A1133">
        <v>2023</v>
      </c>
      <c r="B1133" t="s">
        <v>10</v>
      </c>
      <c r="C1133" t="s">
        <v>69</v>
      </c>
      <c r="D1133" t="s">
        <v>466</v>
      </c>
      <c r="E1133" t="s">
        <v>127</v>
      </c>
      <c r="F1133" s="4">
        <v>45245</v>
      </c>
      <c r="G1133" s="5">
        <v>0</v>
      </c>
      <c r="H1133">
        <v>-76.639700000000005</v>
      </c>
      <c r="I1133">
        <v>3.3506999999999998</v>
      </c>
      <c r="J1133">
        <v>8</v>
      </c>
      <c r="K1133" t="s">
        <v>119</v>
      </c>
      <c r="L1133" t="s">
        <v>120</v>
      </c>
      <c r="N1133">
        <v>1</v>
      </c>
      <c r="O1133">
        <v>0</v>
      </c>
      <c r="P1133">
        <v>15</v>
      </c>
      <c r="Q1133" s="10" t="s">
        <v>543</v>
      </c>
      <c r="R1133" s="10">
        <v>7.5</v>
      </c>
      <c r="S1133" t="s">
        <v>518</v>
      </c>
      <c r="T1133" t="s">
        <v>258</v>
      </c>
      <c r="V1133" t="s">
        <v>9</v>
      </c>
      <c r="X1133">
        <v>1</v>
      </c>
      <c r="AF1133">
        <v>-76.638900000000007</v>
      </c>
      <c r="AG1133">
        <v>3.3502000000000001</v>
      </c>
      <c r="AP1133" t="s">
        <v>441</v>
      </c>
      <c r="AQ1133" t="s">
        <v>443</v>
      </c>
    </row>
    <row r="1134" spans="1:43" x14ac:dyDescent="0.2">
      <c r="A1134">
        <v>2023</v>
      </c>
      <c r="B1134" t="s">
        <v>49</v>
      </c>
      <c r="C1134" t="s">
        <v>51</v>
      </c>
      <c r="D1134" t="s">
        <v>221</v>
      </c>
      <c r="E1134" t="s">
        <v>111</v>
      </c>
      <c r="F1134" s="4">
        <v>45251</v>
      </c>
      <c r="G1134" s="5">
        <v>0</v>
      </c>
      <c r="H1134">
        <v>-76.881045209999996</v>
      </c>
      <c r="I1134">
        <v>3.552585788</v>
      </c>
      <c r="J1134">
        <v>8</v>
      </c>
      <c r="K1134" t="s">
        <v>119</v>
      </c>
      <c r="L1134" t="s">
        <v>507</v>
      </c>
      <c r="M1134">
        <v>567</v>
      </c>
      <c r="N1134">
        <v>1</v>
      </c>
      <c r="O1134">
        <v>0</v>
      </c>
      <c r="P1134">
        <v>3</v>
      </c>
      <c r="Q1134" s="10" t="s">
        <v>543</v>
      </c>
      <c r="R1134" s="10">
        <v>8</v>
      </c>
      <c r="S1134" t="s">
        <v>361</v>
      </c>
      <c r="T1134" t="s">
        <v>145</v>
      </c>
      <c r="V1134" t="s">
        <v>48</v>
      </c>
      <c r="X1134">
        <v>4</v>
      </c>
      <c r="AA1134" t="s">
        <v>365</v>
      </c>
      <c r="AF1134">
        <v>-76.880700000000004</v>
      </c>
      <c r="AG1134">
        <v>3.5527000000000002</v>
      </c>
      <c r="AP1134" t="s">
        <v>450</v>
      </c>
      <c r="AQ1134" t="s">
        <v>244</v>
      </c>
    </row>
    <row r="1135" spans="1:43" x14ac:dyDescent="0.2">
      <c r="A1135">
        <v>2023</v>
      </c>
      <c r="B1135" t="s">
        <v>49</v>
      </c>
      <c r="C1135" t="s">
        <v>54</v>
      </c>
      <c r="D1135" t="s">
        <v>196</v>
      </c>
      <c r="E1135" t="s">
        <v>127</v>
      </c>
      <c r="F1135" s="4">
        <v>45253</v>
      </c>
      <c r="G1135" s="5">
        <v>0</v>
      </c>
      <c r="H1135">
        <v>-76.892827659999995</v>
      </c>
      <c r="I1135">
        <v>3.5965284899999999</v>
      </c>
      <c r="J1135">
        <v>8</v>
      </c>
      <c r="M1135">
        <v>649</v>
      </c>
      <c r="N1135">
        <v>0</v>
      </c>
      <c r="O1135">
        <v>0</v>
      </c>
      <c r="P1135">
        <v>20</v>
      </c>
      <c r="Q1135" s="10" t="s">
        <v>543</v>
      </c>
      <c r="R1135" s="10">
        <v>37.5</v>
      </c>
      <c r="V1135" t="s">
        <v>47</v>
      </c>
      <c r="X1135">
        <v>0</v>
      </c>
      <c r="AF1135">
        <v>-76.892827659999995</v>
      </c>
      <c r="AG1135">
        <v>3.5965284899999999</v>
      </c>
    </row>
    <row r="1136" spans="1:43" x14ac:dyDescent="0.2">
      <c r="A1136">
        <v>2023</v>
      </c>
      <c r="B1136" t="s">
        <v>49</v>
      </c>
      <c r="C1136" t="s">
        <v>80</v>
      </c>
      <c r="D1136" t="s">
        <v>558</v>
      </c>
      <c r="E1136" t="s">
        <v>111</v>
      </c>
      <c r="F1136" s="4">
        <v>45253</v>
      </c>
      <c r="G1136" s="5">
        <v>0</v>
      </c>
      <c r="H1136">
        <v>-76.88291667</v>
      </c>
      <c r="I1136">
        <v>3.5921599999999998</v>
      </c>
      <c r="J1136">
        <v>8</v>
      </c>
      <c r="N1136">
        <v>0</v>
      </c>
      <c r="O1136">
        <v>0</v>
      </c>
      <c r="P1136">
        <v>22.5</v>
      </c>
      <c r="Q1136" s="10">
        <v>0.75</v>
      </c>
      <c r="R1136" s="10">
        <v>45</v>
      </c>
      <c r="V1136" t="s">
        <v>47</v>
      </c>
      <c r="X1136">
        <v>0</v>
      </c>
      <c r="AF1136">
        <v>-76.882599999999996</v>
      </c>
      <c r="AG1136">
        <v>3.5911</v>
      </c>
    </row>
    <row r="1137" spans="1:43" x14ac:dyDescent="0.2">
      <c r="A1137">
        <v>2023</v>
      </c>
      <c r="B1137" t="s">
        <v>49</v>
      </c>
      <c r="C1137" t="s">
        <v>52</v>
      </c>
      <c r="D1137" t="s">
        <v>393</v>
      </c>
      <c r="E1137" t="s">
        <v>127</v>
      </c>
      <c r="F1137" s="4">
        <v>45251</v>
      </c>
      <c r="G1137" s="5">
        <v>0</v>
      </c>
      <c r="H1137">
        <v>-76.88833769</v>
      </c>
      <c r="I1137">
        <v>3.5506537730000001</v>
      </c>
      <c r="J1137">
        <v>8</v>
      </c>
      <c r="K1137" t="s">
        <v>119</v>
      </c>
      <c r="L1137" t="s">
        <v>546</v>
      </c>
      <c r="N1137">
        <v>1</v>
      </c>
      <c r="O1137">
        <v>0</v>
      </c>
      <c r="P1137">
        <v>30</v>
      </c>
      <c r="Q1137" s="10" t="s">
        <v>543</v>
      </c>
      <c r="R1137" s="10">
        <v>22.5</v>
      </c>
      <c r="S1137" t="s">
        <v>518</v>
      </c>
      <c r="T1137" t="s">
        <v>258</v>
      </c>
      <c r="V1137" t="s">
        <v>78</v>
      </c>
      <c r="X1137">
        <v>1</v>
      </c>
      <c r="AF1137">
        <v>-76.887900000000002</v>
      </c>
      <c r="AG1137">
        <v>3.5508000000000002</v>
      </c>
      <c r="AP1137" t="s">
        <v>450</v>
      </c>
      <c r="AQ1137" t="s">
        <v>244</v>
      </c>
    </row>
    <row r="1138" spans="1:43" x14ac:dyDescent="0.2">
      <c r="A1138">
        <v>2023</v>
      </c>
      <c r="B1138" t="s">
        <v>49</v>
      </c>
      <c r="C1138" t="s">
        <v>51</v>
      </c>
      <c r="D1138" t="s">
        <v>377</v>
      </c>
      <c r="E1138" t="s">
        <v>127</v>
      </c>
      <c r="F1138" s="4">
        <v>45254</v>
      </c>
      <c r="G1138" s="5">
        <v>0</v>
      </c>
      <c r="H1138">
        <v>-76.883404999999996</v>
      </c>
      <c r="I1138">
        <v>3.5524766670000001</v>
      </c>
      <c r="J1138">
        <v>8</v>
      </c>
      <c r="N1138">
        <v>0</v>
      </c>
      <c r="O1138">
        <v>0</v>
      </c>
      <c r="P1138">
        <v>20</v>
      </c>
      <c r="Q1138" s="10" t="s">
        <v>543</v>
      </c>
      <c r="R1138" s="10">
        <v>10</v>
      </c>
      <c r="V1138" t="s">
        <v>47</v>
      </c>
      <c r="X1138">
        <v>0</v>
      </c>
      <c r="AF1138">
        <v>-76.882800000000003</v>
      </c>
      <c r="AG1138">
        <v>3.5524766666666658</v>
      </c>
    </row>
    <row r="1139" spans="1:43" x14ac:dyDescent="0.2">
      <c r="A1139">
        <v>2023</v>
      </c>
      <c r="B1139" t="s">
        <v>49</v>
      </c>
      <c r="C1139" t="s">
        <v>54</v>
      </c>
      <c r="D1139" t="s">
        <v>247</v>
      </c>
      <c r="E1139" t="s">
        <v>111</v>
      </c>
      <c r="F1139" s="4">
        <v>45253</v>
      </c>
      <c r="G1139" s="5">
        <v>0</v>
      </c>
      <c r="H1139">
        <v>-76.891548330000006</v>
      </c>
      <c r="I1139">
        <v>3.5949516670000001</v>
      </c>
      <c r="J1139">
        <v>8</v>
      </c>
      <c r="N1139">
        <v>0</v>
      </c>
      <c r="O1139">
        <v>0</v>
      </c>
      <c r="P1139">
        <v>27</v>
      </c>
      <c r="Q1139" s="10" t="s">
        <v>543</v>
      </c>
      <c r="R1139" s="10">
        <v>22.5</v>
      </c>
      <c r="V1139" t="s">
        <v>47</v>
      </c>
      <c r="X1139">
        <v>0</v>
      </c>
      <c r="AF1139">
        <v>-76.8917</v>
      </c>
      <c r="AG1139">
        <v>3.5951</v>
      </c>
    </row>
    <row r="1140" spans="1:43" x14ac:dyDescent="0.2">
      <c r="A1140">
        <v>2023</v>
      </c>
      <c r="B1140" t="s">
        <v>49</v>
      </c>
      <c r="C1140" t="s">
        <v>54</v>
      </c>
      <c r="D1140" t="s">
        <v>247</v>
      </c>
      <c r="E1140" t="s">
        <v>111</v>
      </c>
      <c r="F1140" s="4">
        <v>45253</v>
      </c>
      <c r="G1140" s="5">
        <v>0</v>
      </c>
      <c r="H1140">
        <v>-76.891798550000004</v>
      </c>
      <c r="I1140">
        <v>3.5945087849999999</v>
      </c>
      <c r="J1140">
        <v>8</v>
      </c>
      <c r="N1140">
        <v>0</v>
      </c>
      <c r="O1140">
        <v>0</v>
      </c>
      <c r="P1140">
        <v>17.5</v>
      </c>
      <c r="Q1140" s="10" t="s">
        <v>543</v>
      </c>
      <c r="R1140" s="10">
        <v>2.5</v>
      </c>
      <c r="V1140" t="s">
        <v>47</v>
      </c>
      <c r="X1140">
        <v>0</v>
      </c>
      <c r="AF1140">
        <v>-76.892099999999999</v>
      </c>
      <c r="AG1140">
        <v>3.5952000000000002</v>
      </c>
    </row>
  </sheetData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29903-183E-45F8-A9F3-4B5F466EE4D4}">
  <dimension ref="A1:D47"/>
  <sheetViews>
    <sheetView topLeftCell="A10" workbookViewId="0">
      <selection activeCell="B34" sqref="B34:B35"/>
    </sheetView>
  </sheetViews>
  <sheetFormatPr baseColWidth="10" defaultRowHeight="15" x14ac:dyDescent="0.2"/>
  <cols>
    <col min="1" max="1" width="26" bestFit="1" customWidth="1"/>
    <col min="2" max="2" width="43.1640625" style="18" bestFit="1" customWidth="1"/>
    <col min="3" max="3" width="50.33203125" style="18" bestFit="1" customWidth="1"/>
  </cols>
  <sheetData>
    <row r="1" spans="1:4" s="11" customFormat="1" ht="16" x14ac:dyDescent="0.2">
      <c r="A1" s="11" t="s">
        <v>587</v>
      </c>
      <c r="B1" s="17" t="s">
        <v>588</v>
      </c>
      <c r="C1" s="17" t="s">
        <v>590</v>
      </c>
    </row>
    <row r="2" spans="1:4" ht="16" x14ac:dyDescent="0.2">
      <c r="A2" s="14" t="s">
        <v>25</v>
      </c>
      <c r="B2" s="18" t="s">
        <v>589</v>
      </c>
      <c r="D2" t="s">
        <v>90</v>
      </c>
    </row>
    <row r="3" spans="1:4" ht="16" x14ac:dyDescent="0.2">
      <c r="A3" s="14" t="s">
        <v>26</v>
      </c>
      <c r="B3" s="18" t="s">
        <v>589</v>
      </c>
      <c r="D3" t="s">
        <v>90</v>
      </c>
    </row>
    <row r="4" spans="1:4" ht="16" x14ac:dyDescent="0.2">
      <c r="A4" s="14" t="s">
        <v>1</v>
      </c>
      <c r="B4" s="18" t="s">
        <v>589</v>
      </c>
      <c r="D4" t="s">
        <v>90</v>
      </c>
    </row>
    <row r="5" spans="1:4" ht="32" x14ac:dyDescent="0.2">
      <c r="A5" s="14" t="s">
        <v>85</v>
      </c>
      <c r="B5" s="18" t="s">
        <v>591</v>
      </c>
      <c r="C5" s="18" t="s">
        <v>593</v>
      </c>
      <c r="D5" t="s">
        <v>90</v>
      </c>
    </row>
    <row r="6" spans="1:4" ht="32" x14ac:dyDescent="0.2">
      <c r="A6" s="14" t="s">
        <v>608</v>
      </c>
      <c r="B6" s="18" t="s">
        <v>609</v>
      </c>
      <c r="C6" s="18" t="s">
        <v>610</v>
      </c>
      <c r="D6" t="s">
        <v>90</v>
      </c>
    </row>
    <row r="7" spans="1:4" ht="32" x14ac:dyDescent="0.2">
      <c r="A7" s="14" t="s">
        <v>86</v>
      </c>
      <c r="B7" s="18" t="s">
        <v>592</v>
      </c>
      <c r="D7" t="s">
        <v>89</v>
      </c>
    </row>
    <row r="8" spans="1:4" ht="16" x14ac:dyDescent="0.2">
      <c r="A8" s="15" t="s">
        <v>87</v>
      </c>
      <c r="B8" s="18" t="s">
        <v>594</v>
      </c>
      <c r="D8" t="s">
        <v>90</v>
      </c>
    </row>
    <row r="9" spans="1:4" ht="16" x14ac:dyDescent="0.2">
      <c r="A9" s="14" t="s">
        <v>88</v>
      </c>
      <c r="B9" s="18" t="s">
        <v>594</v>
      </c>
      <c r="D9" t="s">
        <v>90</v>
      </c>
    </row>
    <row r="10" spans="1:4" ht="16" x14ac:dyDescent="0.2">
      <c r="A10" s="14" t="s">
        <v>89</v>
      </c>
      <c r="B10" s="18" t="s">
        <v>594</v>
      </c>
      <c r="D10" t="s">
        <v>90</v>
      </c>
    </row>
    <row r="11" spans="1:4" ht="16" x14ac:dyDescent="0.2">
      <c r="A11" s="14" t="s">
        <v>90</v>
      </c>
      <c r="B11" s="18" t="s">
        <v>594</v>
      </c>
      <c r="D11" t="s">
        <v>90</v>
      </c>
    </row>
    <row r="12" spans="1:4" ht="16" x14ac:dyDescent="0.2">
      <c r="A12" s="14" t="s">
        <v>91</v>
      </c>
      <c r="B12" s="18" t="s">
        <v>595</v>
      </c>
      <c r="D12" t="s">
        <v>89</v>
      </c>
    </row>
    <row r="13" spans="1:4" ht="16" x14ac:dyDescent="0.2">
      <c r="A13" s="14" t="s">
        <v>92</v>
      </c>
      <c r="B13" s="18" t="s">
        <v>596</v>
      </c>
      <c r="D13" t="s">
        <v>89</v>
      </c>
    </row>
    <row r="14" spans="1:4" ht="16" x14ac:dyDescent="0.2">
      <c r="A14" s="14" t="s">
        <v>93</v>
      </c>
      <c r="B14" s="18" t="s">
        <v>589</v>
      </c>
      <c r="D14" t="s">
        <v>90</v>
      </c>
    </row>
    <row r="15" spans="1:4" ht="16" x14ac:dyDescent="0.2">
      <c r="A15" s="14" t="s">
        <v>94</v>
      </c>
      <c r="B15" s="18" t="s">
        <v>589</v>
      </c>
      <c r="D15" t="s">
        <v>90</v>
      </c>
    </row>
    <row r="16" spans="1:4" ht="16" x14ac:dyDescent="0.2">
      <c r="A16" s="14" t="s">
        <v>95</v>
      </c>
      <c r="B16" s="18" t="s">
        <v>596</v>
      </c>
      <c r="D16" t="s">
        <v>89</v>
      </c>
    </row>
    <row r="17" spans="1:4" ht="32" x14ac:dyDescent="0.2">
      <c r="A17" s="14" t="s">
        <v>96</v>
      </c>
      <c r="B17" s="18" t="s">
        <v>601</v>
      </c>
      <c r="D17" t="s">
        <v>90</v>
      </c>
    </row>
    <row r="18" spans="1:4" ht="16" x14ac:dyDescent="0.2">
      <c r="A18" s="14" t="s">
        <v>97</v>
      </c>
      <c r="B18" s="18" t="s">
        <v>598</v>
      </c>
      <c r="D18" t="s">
        <v>90</v>
      </c>
    </row>
    <row r="19" spans="1:4" ht="16" x14ac:dyDescent="0.2">
      <c r="A19" s="14" t="s">
        <v>98</v>
      </c>
      <c r="B19" s="18" t="s">
        <v>598</v>
      </c>
      <c r="D19" t="s">
        <v>90</v>
      </c>
    </row>
    <row r="20" spans="1:4" ht="16" x14ac:dyDescent="0.2">
      <c r="A20" s="14" t="s">
        <v>99</v>
      </c>
      <c r="B20" s="18" t="s">
        <v>598</v>
      </c>
      <c r="D20" t="s">
        <v>90</v>
      </c>
    </row>
    <row r="21" spans="1:4" ht="16" x14ac:dyDescent="0.2">
      <c r="A21" s="14" t="s">
        <v>100</v>
      </c>
      <c r="B21" s="18" t="s">
        <v>599</v>
      </c>
      <c r="D21" t="s">
        <v>89</v>
      </c>
    </row>
    <row r="22" spans="1:4" ht="16" x14ac:dyDescent="0.2">
      <c r="A22" s="14" t="s">
        <v>101</v>
      </c>
      <c r="B22" s="18" t="s">
        <v>597</v>
      </c>
      <c r="D22" t="s">
        <v>90</v>
      </c>
    </row>
    <row r="23" spans="1:4" ht="32" x14ac:dyDescent="0.2">
      <c r="A23" s="14" t="s">
        <v>102</v>
      </c>
      <c r="B23" s="18" t="s">
        <v>612</v>
      </c>
      <c r="D23" t="s">
        <v>90</v>
      </c>
    </row>
    <row r="24" spans="1:4" ht="48" x14ac:dyDescent="0.2">
      <c r="A24" s="14" t="s">
        <v>82</v>
      </c>
      <c r="B24" s="18" t="s">
        <v>613</v>
      </c>
      <c r="D24" t="s">
        <v>90</v>
      </c>
    </row>
    <row r="25" spans="1:4" ht="16" x14ac:dyDescent="0.2">
      <c r="A25" s="14" t="s">
        <v>103</v>
      </c>
      <c r="B25" s="18" t="s">
        <v>603</v>
      </c>
      <c r="D25" t="s">
        <v>89</v>
      </c>
    </row>
    <row r="26" spans="1:4" ht="16" x14ac:dyDescent="0.2">
      <c r="A26" s="14" t="s">
        <v>104</v>
      </c>
      <c r="B26" s="18" t="s">
        <v>589</v>
      </c>
      <c r="D26" t="s">
        <v>90</v>
      </c>
    </row>
    <row r="27" spans="1:4" ht="16" x14ac:dyDescent="0.2">
      <c r="A27" s="14" t="s">
        <v>105</v>
      </c>
      <c r="B27" s="18" t="s">
        <v>603</v>
      </c>
      <c r="D27" t="s">
        <v>89</v>
      </c>
    </row>
    <row r="28" spans="1:4" ht="16" x14ac:dyDescent="0.2">
      <c r="A28" s="14" t="s">
        <v>106</v>
      </c>
      <c r="B28" s="18" t="s">
        <v>603</v>
      </c>
      <c r="D28" t="s">
        <v>89</v>
      </c>
    </row>
    <row r="29" spans="1:4" ht="16" x14ac:dyDescent="0.2">
      <c r="A29" s="14" t="s">
        <v>107</v>
      </c>
      <c r="B29" s="18" t="s">
        <v>604</v>
      </c>
      <c r="D29" t="s">
        <v>90</v>
      </c>
    </row>
    <row r="30" spans="1:4" ht="16" x14ac:dyDescent="0.2">
      <c r="A30" s="14" t="s">
        <v>108</v>
      </c>
      <c r="B30" s="18" t="s">
        <v>589</v>
      </c>
      <c r="D30" t="s">
        <v>90</v>
      </c>
    </row>
    <row r="31" spans="1:4" ht="16" x14ac:dyDescent="0.2">
      <c r="A31" s="14" t="s">
        <v>109</v>
      </c>
      <c r="B31" s="18" t="s">
        <v>589</v>
      </c>
      <c r="D31" t="s">
        <v>90</v>
      </c>
    </row>
    <row r="32" spans="1:4" ht="16" x14ac:dyDescent="0.2">
      <c r="A32" s="16" t="s">
        <v>423</v>
      </c>
      <c r="B32" s="18" t="s">
        <v>603</v>
      </c>
      <c r="D32" t="s">
        <v>89</v>
      </c>
    </row>
    <row r="33" spans="1:4" ht="16" x14ac:dyDescent="0.2">
      <c r="A33" s="16" t="s">
        <v>424</v>
      </c>
      <c r="B33" s="18" t="s">
        <v>607</v>
      </c>
      <c r="D33" t="s">
        <v>90</v>
      </c>
    </row>
    <row r="34" spans="1:4" ht="32" x14ac:dyDescent="0.2">
      <c r="A34" s="16" t="s">
        <v>425</v>
      </c>
      <c r="B34" s="18" t="s">
        <v>611</v>
      </c>
      <c r="D34" t="s">
        <v>90</v>
      </c>
    </row>
    <row r="35" spans="1:4" ht="32" x14ac:dyDescent="0.2">
      <c r="A35" s="16" t="s">
        <v>426</v>
      </c>
      <c r="B35" s="18" t="s">
        <v>611</v>
      </c>
      <c r="D35" t="s">
        <v>90</v>
      </c>
    </row>
    <row r="36" spans="1:4" ht="16" x14ac:dyDescent="0.2">
      <c r="A36" s="16" t="s">
        <v>427</v>
      </c>
      <c r="B36" s="18" t="s">
        <v>596</v>
      </c>
      <c r="D36" t="s">
        <v>89</v>
      </c>
    </row>
    <row r="37" spans="1:4" ht="16" x14ac:dyDescent="0.2">
      <c r="A37" s="16" t="s">
        <v>428</v>
      </c>
      <c r="B37" s="18" t="s">
        <v>596</v>
      </c>
      <c r="D37" t="s">
        <v>89</v>
      </c>
    </row>
    <row r="38" spans="1:4" ht="16" x14ac:dyDescent="0.2">
      <c r="A38" s="16" t="s">
        <v>429</v>
      </c>
      <c r="B38" s="18" t="s">
        <v>596</v>
      </c>
      <c r="D38" t="s">
        <v>89</v>
      </c>
    </row>
    <row r="39" spans="1:4" ht="16" x14ac:dyDescent="0.2">
      <c r="A39" s="16" t="s">
        <v>430</v>
      </c>
      <c r="B39" s="18" t="s">
        <v>596</v>
      </c>
      <c r="D39" t="s">
        <v>89</v>
      </c>
    </row>
    <row r="40" spans="1:4" ht="16" x14ac:dyDescent="0.2">
      <c r="A40" s="16" t="s">
        <v>431</v>
      </c>
      <c r="B40" s="18" t="s">
        <v>596</v>
      </c>
      <c r="D40" t="s">
        <v>89</v>
      </c>
    </row>
    <row r="41" spans="1:4" ht="16" x14ac:dyDescent="0.2">
      <c r="A41" s="16" t="s">
        <v>432</v>
      </c>
      <c r="B41" s="18" t="s">
        <v>596</v>
      </c>
      <c r="D41" t="s">
        <v>89</v>
      </c>
    </row>
    <row r="42" spans="1:4" ht="16" x14ac:dyDescent="0.2">
      <c r="A42" s="16" t="s">
        <v>433</v>
      </c>
      <c r="B42" s="18" t="s">
        <v>596</v>
      </c>
      <c r="D42" t="s">
        <v>89</v>
      </c>
    </row>
    <row r="43" spans="1:4" ht="16" x14ac:dyDescent="0.2">
      <c r="A43" s="16" t="s">
        <v>434</v>
      </c>
      <c r="B43" s="18" t="s">
        <v>596</v>
      </c>
      <c r="D43" t="s">
        <v>89</v>
      </c>
    </row>
    <row r="44" spans="1:4" ht="16" x14ac:dyDescent="0.2">
      <c r="A44" s="16" t="s">
        <v>421</v>
      </c>
      <c r="B44" s="18" t="s">
        <v>600</v>
      </c>
      <c r="D44" t="s">
        <v>90</v>
      </c>
    </row>
    <row r="45" spans="1:4" ht="16" x14ac:dyDescent="0.2">
      <c r="A45" s="16" t="s">
        <v>422</v>
      </c>
      <c r="B45" s="18" t="s">
        <v>602</v>
      </c>
      <c r="D45" t="s">
        <v>90</v>
      </c>
    </row>
    <row r="46" spans="1:4" ht="16" x14ac:dyDescent="0.2">
      <c r="A46" s="16" t="s">
        <v>542</v>
      </c>
      <c r="C46" s="18" t="s">
        <v>614</v>
      </c>
      <c r="D46" t="s">
        <v>90</v>
      </c>
    </row>
    <row r="47" spans="1:4" ht="16" x14ac:dyDescent="0.2">
      <c r="A47" s="16" t="s">
        <v>605</v>
      </c>
      <c r="B47" s="18" t="s">
        <v>606</v>
      </c>
      <c r="D47" t="s">
        <v>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1BEAC-722E-4134-B5D9-2EDE44357D0C}">
  <dimension ref="A1:BA86"/>
  <sheetViews>
    <sheetView workbookViewId="0">
      <selection activeCell="B8" sqref="B8"/>
    </sheetView>
  </sheetViews>
  <sheetFormatPr baseColWidth="10" defaultColWidth="11.5" defaultRowHeight="15" x14ac:dyDescent="0.2"/>
  <cols>
    <col min="1" max="1" width="24.6640625" bestFit="1" customWidth="1"/>
    <col min="2" max="2" width="5" bestFit="1" customWidth="1"/>
    <col min="3" max="3" width="10.1640625" bestFit="1" customWidth="1"/>
    <col min="4" max="4" width="18.6640625" bestFit="1" customWidth="1"/>
    <col min="5" max="5" width="12.33203125" bestFit="1" customWidth="1"/>
    <col min="6" max="6" width="14.83203125" bestFit="1" customWidth="1"/>
    <col min="7" max="7" width="17.6640625" bestFit="1" customWidth="1"/>
    <col min="8" max="8" width="20.5" bestFit="1" customWidth="1"/>
    <col min="9" max="9" width="19" bestFit="1" customWidth="1"/>
    <col min="10" max="11" width="19.5" bestFit="1" customWidth="1"/>
    <col min="12" max="12" width="18.5" bestFit="1" customWidth="1"/>
    <col min="13" max="13" width="26.5" bestFit="1" customWidth="1"/>
    <col min="14" max="14" width="21.83203125" bestFit="1" customWidth="1"/>
    <col min="15" max="15" width="20.6640625" bestFit="1" customWidth="1"/>
    <col min="16" max="16" width="27.83203125" bestFit="1" customWidth="1"/>
    <col min="17" max="17" width="23.5" bestFit="1" customWidth="1"/>
    <col min="18" max="18" width="32.33203125" bestFit="1" customWidth="1"/>
    <col min="19" max="19" width="23.1640625" bestFit="1" customWidth="1"/>
    <col min="20" max="20" width="18.6640625" bestFit="1" customWidth="1"/>
    <col min="21" max="21" width="22.5" bestFit="1" customWidth="1"/>
    <col min="22" max="22" width="17.83203125" bestFit="1" customWidth="1"/>
    <col min="23" max="23" width="22.33203125" bestFit="1" customWidth="1"/>
    <col min="24" max="24" width="21.33203125" bestFit="1" customWidth="1"/>
    <col min="25" max="25" width="22.33203125" bestFit="1" customWidth="1"/>
    <col min="26" max="26" width="23.6640625" bestFit="1" customWidth="1"/>
    <col min="27" max="27" width="26.5" bestFit="1" customWidth="1"/>
    <col min="28" max="28" width="24.1640625" bestFit="1" customWidth="1"/>
    <col min="29" max="29" width="17" bestFit="1" customWidth="1"/>
    <col min="30" max="30" width="16.6640625" bestFit="1" customWidth="1"/>
    <col min="31" max="31" width="22.33203125" bestFit="1" customWidth="1"/>
    <col min="32" max="32" width="21.83203125" bestFit="1" customWidth="1"/>
    <col min="33" max="33" width="20" bestFit="1" customWidth="1"/>
    <col min="34" max="34" width="21.6640625" bestFit="1" customWidth="1"/>
    <col min="35" max="35" width="20.6640625" bestFit="1" customWidth="1"/>
    <col min="36" max="36" width="24.83203125" bestFit="1" customWidth="1"/>
    <col min="37" max="37" width="18.83203125" bestFit="1" customWidth="1"/>
    <col min="38" max="38" width="20.1640625" bestFit="1" customWidth="1"/>
    <col min="39" max="39" width="19.1640625" bestFit="1" customWidth="1"/>
    <col min="40" max="40" width="20" bestFit="1" customWidth="1"/>
    <col min="41" max="41" width="21.33203125" bestFit="1" customWidth="1"/>
    <col min="42" max="42" width="23.6640625" bestFit="1" customWidth="1"/>
    <col min="43" max="44" width="18.5" bestFit="1" customWidth="1"/>
    <col min="45" max="45" width="19.33203125" bestFit="1" customWidth="1"/>
    <col min="46" max="46" width="20.1640625" bestFit="1" customWidth="1"/>
    <col min="47" max="47" width="22.5" bestFit="1" customWidth="1"/>
    <col min="48" max="48" width="23.33203125" bestFit="1" customWidth="1"/>
    <col min="49" max="49" width="25.5" bestFit="1" customWidth="1"/>
    <col min="50" max="50" width="20.1640625" bestFit="1" customWidth="1"/>
    <col min="51" max="51" width="17.1640625" bestFit="1" customWidth="1"/>
    <col min="52" max="52" width="15" bestFit="1" customWidth="1"/>
    <col min="53" max="53" width="16.5" bestFit="1" customWidth="1"/>
  </cols>
  <sheetData>
    <row r="1" spans="1:53" s="11" customFormat="1" x14ac:dyDescent="0.2">
      <c r="A1" s="13" t="s">
        <v>1</v>
      </c>
      <c r="B1" s="13" t="s">
        <v>25</v>
      </c>
      <c r="C1" s="13" t="s">
        <v>26</v>
      </c>
      <c r="D1" s="13" t="s">
        <v>27</v>
      </c>
      <c r="E1" s="13" t="s">
        <v>28</v>
      </c>
      <c r="F1" s="13" t="s">
        <v>76</v>
      </c>
      <c r="G1" s="13" t="s">
        <v>55</v>
      </c>
      <c r="H1" s="13" t="s">
        <v>56</v>
      </c>
      <c r="I1" s="13" t="s">
        <v>2</v>
      </c>
      <c r="J1" s="13" t="s">
        <v>29</v>
      </c>
      <c r="K1" s="13" t="s">
        <v>70</v>
      </c>
      <c r="L1" s="13" t="s">
        <v>3</v>
      </c>
      <c r="M1" s="13" t="s">
        <v>57</v>
      </c>
      <c r="N1" s="13" t="s">
        <v>77</v>
      </c>
      <c r="O1" s="13" t="s">
        <v>30</v>
      </c>
      <c r="P1" s="13" t="s">
        <v>58</v>
      </c>
      <c r="Q1" s="13" t="s">
        <v>31</v>
      </c>
      <c r="R1" s="13" t="s">
        <v>32</v>
      </c>
      <c r="S1" s="13" t="s">
        <v>33</v>
      </c>
      <c r="T1" s="13" t="s">
        <v>34</v>
      </c>
      <c r="U1" s="13" t="s">
        <v>4</v>
      </c>
      <c r="V1" s="13" t="s">
        <v>71</v>
      </c>
      <c r="W1" s="13" t="s">
        <v>59</v>
      </c>
      <c r="X1" s="13" t="s">
        <v>60</v>
      </c>
      <c r="Y1" s="13" t="s">
        <v>35</v>
      </c>
      <c r="Z1" s="13" t="s">
        <v>5</v>
      </c>
      <c r="AA1" s="13" t="s">
        <v>6</v>
      </c>
      <c r="AB1" s="13" t="s">
        <v>36</v>
      </c>
      <c r="AC1" s="13" t="s">
        <v>72</v>
      </c>
      <c r="AD1" s="13" t="s">
        <v>73</v>
      </c>
      <c r="AE1" s="13" t="s">
        <v>61</v>
      </c>
      <c r="AF1" s="13" t="s">
        <v>7</v>
      </c>
      <c r="AG1" s="13" t="s">
        <v>37</v>
      </c>
      <c r="AH1" s="13" t="s">
        <v>38</v>
      </c>
      <c r="AI1" s="13" t="s">
        <v>39</v>
      </c>
      <c r="AJ1" s="13" t="s">
        <v>40</v>
      </c>
      <c r="AK1" s="13" t="s">
        <v>41</v>
      </c>
      <c r="AL1" s="13" t="s">
        <v>62</v>
      </c>
      <c r="AM1" s="13" t="s">
        <v>42</v>
      </c>
      <c r="AN1" s="13" t="s">
        <v>78</v>
      </c>
      <c r="AO1" s="13" t="s">
        <v>74</v>
      </c>
      <c r="AP1" s="13" t="s">
        <v>8</v>
      </c>
      <c r="AQ1" s="13" t="s">
        <v>63</v>
      </c>
      <c r="AR1" s="13" t="s">
        <v>43</v>
      </c>
      <c r="AS1" s="13" t="s">
        <v>9</v>
      </c>
      <c r="AT1" s="13" t="s">
        <v>64</v>
      </c>
      <c r="AU1" s="13" t="s">
        <v>68</v>
      </c>
      <c r="AV1" s="13" t="s">
        <v>65</v>
      </c>
      <c r="AW1" s="13" t="s">
        <v>44</v>
      </c>
      <c r="AX1" s="13" t="s">
        <v>45</v>
      </c>
      <c r="AY1" s="13" t="s">
        <v>46</v>
      </c>
      <c r="AZ1" s="13" t="s">
        <v>79</v>
      </c>
      <c r="BA1" s="13" t="s">
        <v>48</v>
      </c>
    </row>
    <row r="2" spans="1:53" x14ac:dyDescent="0.2">
      <c r="A2" s="12" t="s">
        <v>11</v>
      </c>
      <c r="B2" s="12">
        <v>2017</v>
      </c>
      <c r="C2" s="12" t="s">
        <v>10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5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3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2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</row>
    <row r="3" spans="1:53" x14ac:dyDescent="0.2">
      <c r="A3" s="12" t="s">
        <v>12</v>
      </c>
      <c r="B3" s="12">
        <v>2017</v>
      </c>
      <c r="C3" s="12" t="s">
        <v>10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8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1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</row>
    <row r="4" spans="1:53" x14ac:dyDescent="0.2">
      <c r="A4" s="12" t="s">
        <v>13</v>
      </c>
      <c r="B4" s="12">
        <v>2017</v>
      </c>
      <c r="C4" s="12" t="s">
        <v>10</v>
      </c>
      <c r="D4">
        <v>0</v>
      </c>
      <c r="E4">
        <v>0</v>
      </c>
      <c r="F4">
        <v>0</v>
      </c>
      <c r="G4">
        <v>0</v>
      </c>
      <c r="H4">
        <v>0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6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3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</row>
    <row r="5" spans="1:53" x14ac:dyDescent="0.2">
      <c r="A5" s="12" t="s">
        <v>16</v>
      </c>
      <c r="B5" s="12">
        <v>2017</v>
      </c>
      <c r="C5" s="12" t="s">
        <v>15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</row>
    <row r="6" spans="1:53" x14ac:dyDescent="0.2">
      <c r="A6" s="12" t="s">
        <v>17</v>
      </c>
      <c r="B6" s="12">
        <v>2017</v>
      </c>
      <c r="C6" s="12" t="s">
        <v>15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10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</row>
    <row r="7" spans="1:53" x14ac:dyDescent="0.2">
      <c r="A7" s="12" t="s">
        <v>22</v>
      </c>
      <c r="B7" s="12">
        <v>2017</v>
      </c>
      <c r="C7" s="12" t="s">
        <v>21</v>
      </c>
      <c r="D7">
        <v>0</v>
      </c>
      <c r="E7">
        <v>0</v>
      </c>
      <c r="F7">
        <v>0</v>
      </c>
      <c r="G7">
        <v>0</v>
      </c>
      <c r="H7">
        <v>0</v>
      </c>
      <c r="I7">
        <v>2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10</v>
      </c>
      <c r="AQ7">
        <v>0</v>
      </c>
      <c r="AR7">
        <v>0</v>
      </c>
      <c r="AS7">
        <v>1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</row>
    <row r="8" spans="1:53" x14ac:dyDescent="0.2">
      <c r="A8" s="12" t="s">
        <v>23</v>
      </c>
      <c r="B8" s="12">
        <v>2017</v>
      </c>
      <c r="C8" s="12" t="s">
        <v>21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4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1</v>
      </c>
      <c r="AQ8">
        <v>0</v>
      </c>
      <c r="AR8">
        <v>0</v>
      </c>
      <c r="AS8">
        <v>7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</row>
    <row r="9" spans="1:53" x14ac:dyDescent="0.2">
      <c r="A9" s="12" t="s">
        <v>24</v>
      </c>
      <c r="B9" s="12">
        <v>2017</v>
      </c>
      <c r="C9" s="12" t="s">
        <v>21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10</v>
      </c>
      <c r="AQ9">
        <v>0</v>
      </c>
      <c r="AR9">
        <v>0</v>
      </c>
      <c r="AS9">
        <v>3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</row>
    <row r="10" spans="1:53" x14ac:dyDescent="0.2">
      <c r="A10" s="12" t="s">
        <v>50</v>
      </c>
      <c r="B10" s="12">
        <v>2018</v>
      </c>
      <c r="C10" s="12" t="s">
        <v>49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</row>
    <row r="11" spans="1:53" x14ac:dyDescent="0.2">
      <c r="A11" s="12" t="s">
        <v>51</v>
      </c>
      <c r="B11" s="12">
        <v>2018</v>
      </c>
      <c r="C11" s="12" t="s">
        <v>49</v>
      </c>
      <c r="D11">
        <v>3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0</v>
      </c>
      <c r="Q11">
        <v>0</v>
      </c>
      <c r="R11">
        <v>4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1</v>
      </c>
      <c r="AY11">
        <v>20</v>
      </c>
      <c r="AZ11">
        <v>0</v>
      </c>
      <c r="BA11">
        <v>1</v>
      </c>
    </row>
    <row r="12" spans="1:53" x14ac:dyDescent="0.2">
      <c r="A12" s="12" t="s">
        <v>52</v>
      </c>
      <c r="B12" s="12">
        <v>2018</v>
      </c>
      <c r="C12" s="12" t="s">
        <v>49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1</v>
      </c>
      <c r="AY12">
        <v>0</v>
      </c>
      <c r="AZ12">
        <v>0</v>
      </c>
      <c r="BA12">
        <v>0</v>
      </c>
    </row>
    <row r="13" spans="1:53" x14ac:dyDescent="0.2">
      <c r="A13" s="12" t="s">
        <v>53</v>
      </c>
      <c r="B13" s="12">
        <v>2018</v>
      </c>
      <c r="C13" s="12" t="s">
        <v>49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1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1</v>
      </c>
      <c r="AZ13">
        <v>0</v>
      </c>
      <c r="BA13">
        <v>0</v>
      </c>
    </row>
    <row r="14" spans="1:53" x14ac:dyDescent="0.2">
      <c r="A14" s="12" t="s">
        <v>54</v>
      </c>
      <c r="B14" s="12">
        <v>2018</v>
      </c>
      <c r="C14" s="12" t="s">
        <v>49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3</v>
      </c>
      <c r="P14">
        <v>0</v>
      </c>
      <c r="Q14">
        <v>1</v>
      </c>
      <c r="R14">
        <v>0</v>
      </c>
      <c r="S14">
        <v>0</v>
      </c>
      <c r="T14">
        <v>1</v>
      </c>
      <c r="U14">
        <v>0</v>
      </c>
      <c r="V14">
        <v>5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</row>
    <row r="15" spans="1:53" x14ac:dyDescent="0.2">
      <c r="A15" s="12" t="s">
        <v>11</v>
      </c>
      <c r="B15" s="12">
        <v>2018</v>
      </c>
      <c r="C15" s="12" t="s">
        <v>10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5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1</v>
      </c>
      <c r="AI15">
        <v>1</v>
      </c>
      <c r="AJ15">
        <v>3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4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</row>
    <row r="16" spans="1:53" x14ac:dyDescent="0.2">
      <c r="A16" s="12" t="s">
        <v>12</v>
      </c>
      <c r="B16" s="12">
        <v>2018</v>
      </c>
      <c r="C16" s="12" t="s">
        <v>10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1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2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8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</row>
    <row r="17" spans="1:53" x14ac:dyDescent="0.2">
      <c r="A17" s="12" t="s">
        <v>13</v>
      </c>
      <c r="B17" s="12">
        <v>2018</v>
      </c>
      <c r="C17" s="12" t="s">
        <v>10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  <c r="X17">
        <v>0</v>
      </c>
      <c r="Y17">
        <v>0</v>
      </c>
      <c r="Z17">
        <v>0</v>
      </c>
      <c r="AA17">
        <v>0</v>
      </c>
      <c r="AB17">
        <v>1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10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</row>
    <row r="18" spans="1:53" x14ac:dyDescent="0.2">
      <c r="A18" s="12" t="s">
        <v>14</v>
      </c>
      <c r="B18" s="12">
        <v>2018</v>
      </c>
      <c r="C18" s="12" t="s">
        <v>10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3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5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</row>
    <row r="19" spans="1:53" x14ac:dyDescent="0.2">
      <c r="A19" s="12" t="s">
        <v>17</v>
      </c>
      <c r="B19" s="12">
        <v>2018</v>
      </c>
      <c r="C19" s="12" t="s">
        <v>15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</v>
      </c>
      <c r="X19">
        <v>0</v>
      </c>
      <c r="Y19">
        <v>0</v>
      </c>
      <c r="Z19">
        <v>0</v>
      </c>
      <c r="AA19">
        <v>5</v>
      </c>
      <c r="AB19">
        <v>1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1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</row>
    <row r="20" spans="1:53" x14ac:dyDescent="0.2">
      <c r="A20" s="12" t="s">
        <v>18</v>
      </c>
      <c r="B20" s="12">
        <v>2018</v>
      </c>
      <c r="C20" s="12" t="s">
        <v>15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2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</row>
    <row r="21" spans="1:53" x14ac:dyDescent="0.2">
      <c r="A21" s="12" t="s">
        <v>19</v>
      </c>
      <c r="B21" s="12">
        <v>2018</v>
      </c>
      <c r="C21" s="12" t="s">
        <v>15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3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2</v>
      </c>
      <c r="AG21">
        <v>1</v>
      </c>
      <c r="AH21">
        <v>2</v>
      </c>
      <c r="AI21">
        <v>6</v>
      </c>
      <c r="AJ21">
        <v>0</v>
      </c>
      <c r="AK21">
        <v>0</v>
      </c>
      <c r="AL21">
        <v>0</v>
      </c>
      <c r="AM21">
        <v>1</v>
      </c>
      <c r="AN21">
        <v>0</v>
      </c>
      <c r="AO21">
        <v>0</v>
      </c>
      <c r="AP21">
        <v>0</v>
      </c>
      <c r="AQ21">
        <v>0</v>
      </c>
      <c r="AR21">
        <v>1</v>
      </c>
      <c r="AS21">
        <v>0</v>
      </c>
      <c r="AT21">
        <v>0</v>
      </c>
      <c r="AU21">
        <v>0</v>
      </c>
      <c r="AV21">
        <v>0</v>
      </c>
      <c r="AW21">
        <v>2</v>
      </c>
      <c r="AX21">
        <v>0</v>
      </c>
      <c r="AY21">
        <v>0</v>
      </c>
      <c r="AZ21">
        <v>0</v>
      </c>
      <c r="BA21">
        <v>0</v>
      </c>
    </row>
    <row r="22" spans="1:53" x14ac:dyDescent="0.2">
      <c r="A22" s="12" t="s">
        <v>20</v>
      </c>
      <c r="B22" s="12">
        <v>2018</v>
      </c>
      <c r="C22" s="12" t="s">
        <v>15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</row>
    <row r="23" spans="1:53" x14ac:dyDescent="0.2">
      <c r="A23" s="12" t="s">
        <v>22</v>
      </c>
      <c r="B23" s="12">
        <v>2018</v>
      </c>
      <c r="C23" s="12" t="s">
        <v>21</v>
      </c>
      <c r="D23">
        <v>0</v>
      </c>
      <c r="E23">
        <v>0</v>
      </c>
      <c r="F23">
        <v>0</v>
      </c>
      <c r="G23">
        <v>0</v>
      </c>
      <c r="H23">
        <v>0</v>
      </c>
      <c r="I23">
        <v>5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4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4</v>
      </c>
      <c r="AK23">
        <v>2</v>
      </c>
      <c r="AL23">
        <v>0</v>
      </c>
      <c r="AM23">
        <v>0</v>
      </c>
      <c r="AN23">
        <v>0</v>
      </c>
      <c r="AO23">
        <v>0</v>
      </c>
      <c r="AP23">
        <v>53</v>
      </c>
      <c r="AQ23">
        <v>0</v>
      </c>
      <c r="AR23">
        <v>0</v>
      </c>
      <c r="AS23">
        <v>3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</row>
    <row r="24" spans="1:53" x14ac:dyDescent="0.2">
      <c r="A24" s="12" t="s">
        <v>24</v>
      </c>
      <c r="B24" s="12">
        <v>2018</v>
      </c>
      <c r="C24" s="12" t="s">
        <v>21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1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4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</row>
    <row r="25" spans="1:53" x14ac:dyDescent="0.2">
      <c r="A25" s="12" t="s">
        <v>51</v>
      </c>
      <c r="B25" s="12">
        <v>2019</v>
      </c>
      <c r="C25" s="12" t="s">
        <v>49</v>
      </c>
      <c r="D25">
        <v>1</v>
      </c>
      <c r="E25">
        <v>0</v>
      </c>
      <c r="F25">
        <v>0</v>
      </c>
      <c r="G25">
        <v>1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7</v>
      </c>
      <c r="P25">
        <v>0</v>
      </c>
      <c r="Q25">
        <v>3</v>
      </c>
      <c r="R25">
        <v>2</v>
      </c>
      <c r="S25">
        <v>0</v>
      </c>
      <c r="T25">
        <v>0</v>
      </c>
      <c r="U25">
        <v>0</v>
      </c>
      <c r="V25">
        <v>0</v>
      </c>
      <c r="W25">
        <v>0</v>
      </c>
      <c r="X25">
        <v>1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3</v>
      </c>
      <c r="AY25">
        <v>3</v>
      </c>
      <c r="AZ25">
        <v>0</v>
      </c>
      <c r="BA25">
        <v>3</v>
      </c>
    </row>
    <row r="26" spans="1:53" x14ac:dyDescent="0.2">
      <c r="A26" s="12" t="s">
        <v>52</v>
      </c>
      <c r="B26" s="12">
        <v>2019</v>
      </c>
      <c r="C26" s="12" t="s">
        <v>49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2</v>
      </c>
      <c r="P26">
        <v>1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9</v>
      </c>
      <c r="AY26">
        <v>0</v>
      </c>
      <c r="AZ26">
        <v>0</v>
      </c>
      <c r="BA26">
        <v>0</v>
      </c>
    </row>
    <row r="27" spans="1:53" x14ac:dyDescent="0.2">
      <c r="A27" s="12" t="s">
        <v>54</v>
      </c>
      <c r="B27" s="12">
        <v>2019</v>
      </c>
      <c r="C27" s="12" t="s">
        <v>49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2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</row>
    <row r="28" spans="1:53" x14ac:dyDescent="0.2">
      <c r="A28" s="12" t="s">
        <v>11</v>
      </c>
      <c r="B28" s="12">
        <v>2019</v>
      </c>
      <c r="C28" s="12" t="s">
        <v>10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8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2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</row>
    <row r="29" spans="1:53" x14ac:dyDescent="0.2">
      <c r="A29" s="12" t="s">
        <v>12</v>
      </c>
      <c r="B29" s="12">
        <v>2019</v>
      </c>
      <c r="C29" s="12" t="s">
        <v>10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2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</row>
    <row r="30" spans="1:53" x14ac:dyDescent="0.2">
      <c r="A30" s="12" t="s">
        <v>13</v>
      </c>
      <c r="B30" s="12">
        <v>2019</v>
      </c>
      <c r="C30" s="12" t="s">
        <v>10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1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3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</row>
    <row r="31" spans="1:53" x14ac:dyDescent="0.2">
      <c r="A31" s="12" t="s">
        <v>14</v>
      </c>
      <c r="B31" s="12">
        <v>2019</v>
      </c>
      <c r="C31" s="12" t="s">
        <v>10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1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3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</row>
    <row r="32" spans="1:53" x14ac:dyDescent="0.2">
      <c r="A32" s="12" t="s">
        <v>17</v>
      </c>
      <c r="B32" s="12">
        <v>2019</v>
      </c>
      <c r="C32" s="12" t="s">
        <v>15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6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2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</row>
    <row r="33" spans="1:53" x14ac:dyDescent="0.2">
      <c r="A33" s="12" t="s">
        <v>19</v>
      </c>
      <c r="B33" s="12">
        <v>2019</v>
      </c>
      <c r="C33" s="12" t="s">
        <v>15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1</v>
      </c>
      <c r="AI33">
        <v>3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</row>
    <row r="34" spans="1:53" x14ac:dyDescent="0.2">
      <c r="A34" s="12" t="s">
        <v>22</v>
      </c>
      <c r="B34" s="12">
        <v>2019</v>
      </c>
      <c r="C34" s="12" t="s">
        <v>21</v>
      </c>
      <c r="D34">
        <v>0</v>
      </c>
      <c r="E34">
        <v>0</v>
      </c>
      <c r="F34">
        <v>0</v>
      </c>
      <c r="G34">
        <v>0</v>
      </c>
      <c r="H34">
        <v>0</v>
      </c>
      <c r="I34">
        <v>9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3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2</v>
      </c>
      <c r="AE34">
        <v>1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6</v>
      </c>
      <c r="AL34">
        <v>1</v>
      </c>
      <c r="AM34">
        <v>0</v>
      </c>
      <c r="AN34">
        <v>0</v>
      </c>
      <c r="AO34">
        <v>0</v>
      </c>
      <c r="AP34">
        <v>26</v>
      </c>
      <c r="AQ34">
        <v>0</v>
      </c>
      <c r="AR34">
        <v>0</v>
      </c>
      <c r="AS34">
        <v>0</v>
      </c>
      <c r="AT34">
        <v>10</v>
      </c>
      <c r="AU34">
        <v>0</v>
      </c>
      <c r="AV34">
        <v>1</v>
      </c>
      <c r="AW34">
        <v>0</v>
      </c>
      <c r="AX34">
        <v>0</v>
      </c>
      <c r="AY34">
        <v>0</v>
      </c>
      <c r="AZ34">
        <v>0</v>
      </c>
      <c r="BA34">
        <v>0</v>
      </c>
    </row>
    <row r="35" spans="1:53" x14ac:dyDescent="0.2">
      <c r="A35" s="12" t="s">
        <v>66</v>
      </c>
      <c r="B35" s="12">
        <v>2019</v>
      </c>
      <c r="C35" s="12" t="s">
        <v>21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</v>
      </c>
      <c r="M35">
        <v>0</v>
      </c>
      <c r="N35">
        <v>0</v>
      </c>
      <c r="O35">
        <v>0</v>
      </c>
      <c r="P35">
        <v>0</v>
      </c>
      <c r="Q35">
        <v>1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3</v>
      </c>
      <c r="AQ35">
        <v>0</v>
      </c>
      <c r="AR35">
        <v>0</v>
      </c>
      <c r="AS35">
        <v>3</v>
      </c>
      <c r="AT35">
        <v>1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</row>
    <row r="36" spans="1:53" x14ac:dyDescent="0.2">
      <c r="A36" s="12" t="s">
        <v>67</v>
      </c>
      <c r="B36" s="12">
        <v>2019</v>
      </c>
      <c r="C36" s="12" t="s">
        <v>21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1</v>
      </c>
      <c r="AK36">
        <v>1</v>
      </c>
      <c r="AL36">
        <v>0</v>
      </c>
      <c r="AM36">
        <v>0</v>
      </c>
      <c r="AN36">
        <v>0</v>
      </c>
      <c r="AO36">
        <v>0</v>
      </c>
      <c r="AP36">
        <v>2</v>
      </c>
      <c r="AQ36">
        <v>0</v>
      </c>
      <c r="AR36">
        <v>0</v>
      </c>
      <c r="AS36">
        <v>5</v>
      </c>
      <c r="AT36">
        <v>1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</row>
    <row r="37" spans="1:53" x14ac:dyDescent="0.2">
      <c r="A37" s="12" t="s">
        <v>24</v>
      </c>
      <c r="B37" s="12">
        <v>2019</v>
      </c>
      <c r="C37" s="12" t="s">
        <v>21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8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1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1</v>
      </c>
      <c r="AQ37">
        <v>0</v>
      </c>
      <c r="AR37">
        <v>0</v>
      </c>
      <c r="AS37">
        <v>1</v>
      </c>
      <c r="AT37">
        <v>1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</row>
    <row r="38" spans="1:53" x14ac:dyDescent="0.2">
      <c r="A38" s="12" t="s">
        <v>11</v>
      </c>
      <c r="B38" s="12">
        <v>2020</v>
      </c>
      <c r="C38" s="12" t="s">
        <v>10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8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1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</row>
    <row r="39" spans="1:53" x14ac:dyDescent="0.2">
      <c r="A39" s="12" t="s">
        <v>12</v>
      </c>
      <c r="B39" s="12">
        <v>2020</v>
      </c>
      <c r="C39" s="12" t="s">
        <v>10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8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5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</row>
    <row r="40" spans="1:53" x14ac:dyDescent="0.2">
      <c r="A40" s="12" t="s">
        <v>13</v>
      </c>
      <c r="B40" s="12">
        <v>2020</v>
      </c>
      <c r="C40" s="12" t="s">
        <v>10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4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4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</row>
    <row r="41" spans="1:53" x14ac:dyDescent="0.2">
      <c r="A41" s="12" t="s">
        <v>69</v>
      </c>
      <c r="B41" s="12">
        <v>2020</v>
      </c>
      <c r="C41" s="12" t="s">
        <v>10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1</v>
      </c>
      <c r="AG41">
        <v>0</v>
      </c>
      <c r="AH41">
        <v>0</v>
      </c>
      <c r="AI41">
        <v>0</v>
      </c>
      <c r="AJ41">
        <v>1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9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</row>
    <row r="42" spans="1:53" x14ac:dyDescent="0.2">
      <c r="A42" s="12" t="s">
        <v>14</v>
      </c>
      <c r="B42" s="12">
        <v>2020</v>
      </c>
      <c r="C42" s="12" t="s">
        <v>10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2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</row>
    <row r="43" spans="1:53" x14ac:dyDescent="0.2">
      <c r="A43" s="12" t="s">
        <v>16</v>
      </c>
      <c r="B43" s="12">
        <v>2020</v>
      </c>
      <c r="C43" s="12" t="s">
        <v>15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3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2</v>
      </c>
      <c r="AB43">
        <v>0</v>
      </c>
      <c r="AC43">
        <v>0</v>
      </c>
      <c r="AD43">
        <v>0</v>
      </c>
      <c r="AE43">
        <v>0</v>
      </c>
      <c r="AF43">
        <v>3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</row>
    <row r="44" spans="1:53" x14ac:dyDescent="0.2">
      <c r="A44" s="12" t="s">
        <v>17</v>
      </c>
      <c r="B44" s="12">
        <v>2020</v>
      </c>
      <c r="C44" s="12" t="s">
        <v>15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12</v>
      </c>
      <c r="AB44">
        <v>0</v>
      </c>
      <c r="AC44">
        <v>0</v>
      </c>
      <c r="AD44">
        <v>0</v>
      </c>
      <c r="AE44">
        <v>0</v>
      </c>
      <c r="AF44">
        <v>2</v>
      </c>
      <c r="AG44">
        <v>2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</row>
    <row r="45" spans="1:53" x14ac:dyDescent="0.2">
      <c r="A45" s="12" t="s">
        <v>19</v>
      </c>
      <c r="B45" s="12">
        <v>2020</v>
      </c>
      <c r="C45" s="12" t="s">
        <v>15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2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2</v>
      </c>
      <c r="AH45">
        <v>3</v>
      </c>
      <c r="AI45">
        <v>4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</row>
    <row r="46" spans="1:53" x14ac:dyDescent="0.2">
      <c r="A46" s="12" t="s">
        <v>22</v>
      </c>
      <c r="B46" s="12">
        <v>2020</v>
      </c>
      <c r="C46" s="12" t="s">
        <v>21</v>
      </c>
      <c r="D46">
        <v>0</v>
      </c>
      <c r="E46">
        <v>0</v>
      </c>
      <c r="F46">
        <v>0</v>
      </c>
      <c r="G46">
        <v>0</v>
      </c>
      <c r="H46">
        <v>1</v>
      </c>
      <c r="I46">
        <v>7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6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5</v>
      </c>
      <c r="AL46">
        <v>1</v>
      </c>
      <c r="AM46">
        <v>0</v>
      </c>
      <c r="AN46">
        <v>0</v>
      </c>
      <c r="AO46">
        <v>0</v>
      </c>
      <c r="AP46">
        <v>41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1</v>
      </c>
      <c r="AW46">
        <v>0</v>
      </c>
      <c r="AX46">
        <v>0</v>
      </c>
      <c r="AY46">
        <v>0</v>
      </c>
      <c r="AZ46">
        <v>0</v>
      </c>
      <c r="BA46">
        <v>0</v>
      </c>
    </row>
    <row r="47" spans="1:53" x14ac:dyDescent="0.2">
      <c r="A47" s="12" t="s">
        <v>66</v>
      </c>
      <c r="B47" s="12">
        <v>2020</v>
      </c>
      <c r="C47" s="12" t="s">
        <v>21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7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1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2</v>
      </c>
      <c r="AQ47">
        <v>0</v>
      </c>
      <c r="AR47">
        <v>0</v>
      </c>
      <c r="AS47">
        <v>5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</row>
    <row r="48" spans="1:53" x14ac:dyDescent="0.2">
      <c r="A48" s="12" t="s">
        <v>67</v>
      </c>
      <c r="B48" s="12">
        <v>2020</v>
      </c>
      <c r="C48" s="12" t="s">
        <v>21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3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2</v>
      </c>
      <c r="AT48">
        <v>0</v>
      </c>
      <c r="AU48">
        <v>1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</row>
    <row r="49" spans="1:53" x14ac:dyDescent="0.2">
      <c r="A49" s="12" t="s">
        <v>11</v>
      </c>
      <c r="B49" s="12">
        <v>2021</v>
      </c>
      <c r="C49" s="12" t="s">
        <v>10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10</v>
      </c>
      <c r="X49">
        <v>0</v>
      </c>
      <c r="Y49">
        <v>0</v>
      </c>
      <c r="Z49">
        <v>0</v>
      </c>
      <c r="AA49">
        <v>0</v>
      </c>
      <c r="AB49">
        <v>1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3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3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</row>
    <row r="50" spans="1:53" x14ac:dyDescent="0.2">
      <c r="A50" s="12" t="s">
        <v>12</v>
      </c>
      <c r="B50" s="12">
        <v>2021</v>
      </c>
      <c r="C50" s="12" t="s">
        <v>10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2</v>
      </c>
      <c r="X50">
        <v>0</v>
      </c>
      <c r="Y50">
        <v>0</v>
      </c>
      <c r="Z50">
        <v>0</v>
      </c>
      <c r="AA50">
        <v>0</v>
      </c>
      <c r="AB50">
        <v>6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6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</row>
    <row r="51" spans="1:53" x14ac:dyDescent="0.2">
      <c r="A51" s="12" t="s">
        <v>13</v>
      </c>
      <c r="B51" s="12">
        <v>2021</v>
      </c>
      <c r="C51" s="12" t="s">
        <v>10</v>
      </c>
      <c r="D51">
        <v>0</v>
      </c>
      <c r="E51">
        <v>0</v>
      </c>
      <c r="F51">
        <v>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1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4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</row>
    <row r="52" spans="1:53" x14ac:dyDescent="0.2">
      <c r="A52" s="12" t="s">
        <v>69</v>
      </c>
      <c r="B52" s="12">
        <v>2021</v>
      </c>
      <c r="C52" s="12" t="s">
        <v>10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1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7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</row>
    <row r="53" spans="1:53" x14ac:dyDescent="0.2">
      <c r="A53" s="12" t="s">
        <v>14</v>
      </c>
      <c r="B53" s="12">
        <v>2021</v>
      </c>
      <c r="C53" s="12" t="s">
        <v>10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1</v>
      </c>
      <c r="AG53">
        <v>0</v>
      </c>
      <c r="AH53">
        <v>0</v>
      </c>
      <c r="AI53">
        <v>0</v>
      </c>
      <c r="AJ53">
        <v>2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</row>
    <row r="54" spans="1:53" x14ac:dyDescent="0.2">
      <c r="A54" s="12" t="s">
        <v>19</v>
      </c>
      <c r="B54" s="12">
        <v>2021</v>
      </c>
      <c r="C54" s="12" t="s">
        <v>15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3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2</v>
      </c>
      <c r="AH54">
        <v>4</v>
      </c>
      <c r="AI54">
        <v>3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</row>
    <row r="55" spans="1:53" x14ac:dyDescent="0.2">
      <c r="A55" s="12" t="s">
        <v>20</v>
      </c>
      <c r="B55" s="12">
        <v>2021</v>
      </c>
      <c r="C55" s="12" t="s">
        <v>15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3</v>
      </c>
      <c r="AI55">
        <v>1</v>
      </c>
      <c r="AJ55">
        <v>1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</row>
    <row r="56" spans="1:53" x14ac:dyDescent="0.2">
      <c r="A56" s="12" t="s">
        <v>23</v>
      </c>
      <c r="B56" s="12">
        <v>2021</v>
      </c>
      <c r="C56" s="12" t="s">
        <v>21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</row>
    <row r="57" spans="1:53" x14ac:dyDescent="0.2">
      <c r="A57" s="12" t="s">
        <v>66</v>
      </c>
      <c r="B57" s="12">
        <v>2021</v>
      </c>
      <c r="C57" s="12" t="s">
        <v>21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6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1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</row>
    <row r="58" spans="1:53" x14ac:dyDescent="0.2">
      <c r="A58" s="12" t="s">
        <v>75</v>
      </c>
      <c r="B58" s="12">
        <v>2022</v>
      </c>
      <c r="C58" s="12" t="s">
        <v>49</v>
      </c>
      <c r="D58">
        <v>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1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1</v>
      </c>
    </row>
    <row r="59" spans="1:53" x14ac:dyDescent="0.2">
      <c r="A59" s="12" t="s">
        <v>50</v>
      </c>
      <c r="B59" s="12">
        <v>2022</v>
      </c>
      <c r="C59" s="12" t="s">
        <v>49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1</v>
      </c>
      <c r="P59">
        <v>0</v>
      </c>
      <c r="Q59">
        <v>1</v>
      </c>
      <c r="R59">
        <v>1</v>
      </c>
      <c r="S59">
        <v>0</v>
      </c>
      <c r="T59">
        <v>0</v>
      </c>
      <c r="U59">
        <v>0</v>
      </c>
      <c r="V59">
        <v>11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2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1</v>
      </c>
      <c r="AY59">
        <v>0</v>
      </c>
      <c r="AZ59">
        <v>0</v>
      </c>
      <c r="BA59">
        <v>0</v>
      </c>
    </row>
    <row r="60" spans="1:53" x14ac:dyDescent="0.2">
      <c r="A60" s="12" t="s">
        <v>11</v>
      </c>
      <c r="B60" s="12">
        <v>2022</v>
      </c>
      <c r="C60" s="12" t="s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4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2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</row>
    <row r="61" spans="1:53" x14ac:dyDescent="0.2">
      <c r="A61" s="12" t="s">
        <v>12</v>
      </c>
      <c r="B61" s="12">
        <v>2022</v>
      </c>
      <c r="C61" s="12" t="s">
        <v>10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3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1</v>
      </c>
      <c r="AI61">
        <v>1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2</v>
      </c>
      <c r="AT61">
        <v>0</v>
      </c>
      <c r="AU61">
        <v>0</v>
      </c>
      <c r="AV61">
        <v>0</v>
      </c>
      <c r="AW61">
        <v>1</v>
      </c>
      <c r="AX61">
        <v>0</v>
      </c>
      <c r="AY61">
        <v>0</v>
      </c>
      <c r="AZ61">
        <v>0</v>
      </c>
      <c r="BA61">
        <v>0</v>
      </c>
    </row>
    <row r="62" spans="1:53" x14ac:dyDescent="0.2">
      <c r="A62" s="12" t="s">
        <v>13</v>
      </c>
      <c r="B62" s="12">
        <v>2022</v>
      </c>
      <c r="C62" s="12" t="s">
        <v>10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</v>
      </c>
      <c r="X62">
        <v>0</v>
      </c>
      <c r="Y62">
        <v>0</v>
      </c>
      <c r="Z62">
        <v>0</v>
      </c>
      <c r="AA62">
        <v>0</v>
      </c>
      <c r="AB62">
        <v>1</v>
      </c>
      <c r="AC62">
        <v>0</v>
      </c>
      <c r="AD62">
        <v>0</v>
      </c>
      <c r="AE62">
        <v>0</v>
      </c>
      <c r="AF62">
        <v>4</v>
      </c>
      <c r="AG62">
        <v>0</v>
      </c>
      <c r="AH62">
        <v>6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12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</row>
    <row r="63" spans="1:53" x14ac:dyDescent="0.2">
      <c r="A63" s="12" t="s">
        <v>69</v>
      </c>
      <c r="B63" s="12">
        <v>2022</v>
      </c>
      <c r="C63" s="12" t="s">
        <v>10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1</v>
      </c>
      <c r="AG63">
        <v>0</v>
      </c>
      <c r="AH63">
        <v>2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15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</row>
    <row r="64" spans="1:53" x14ac:dyDescent="0.2">
      <c r="A64" s="12" t="s">
        <v>14</v>
      </c>
      <c r="B64" s="12">
        <v>2022</v>
      </c>
      <c r="C64" s="12" t="s">
        <v>10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1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2</v>
      </c>
      <c r="AG64">
        <v>0</v>
      </c>
      <c r="AH64">
        <v>0</v>
      </c>
      <c r="AI64">
        <v>0</v>
      </c>
      <c r="AJ64">
        <v>3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1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</row>
    <row r="65" spans="1:53" x14ac:dyDescent="0.2">
      <c r="A65" s="12" t="s">
        <v>17</v>
      </c>
      <c r="B65" s="12">
        <v>2022</v>
      </c>
      <c r="C65" s="12" t="s">
        <v>15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7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4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</row>
    <row r="66" spans="1:53" x14ac:dyDescent="0.2">
      <c r="A66" s="12" t="s">
        <v>19</v>
      </c>
      <c r="B66" s="12">
        <v>2022</v>
      </c>
      <c r="C66" s="12" t="s">
        <v>15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3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1</v>
      </c>
      <c r="AH66">
        <v>2</v>
      </c>
      <c r="AI66">
        <v>1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</row>
    <row r="67" spans="1:53" x14ac:dyDescent="0.2">
      <c r="A67" s="12" t="s">
        <v>20</v>
      </c>
      <c r="B67" s="12">
        <v>2022</v>
      </c>
      <c r="C67" s="12" t="s">
        <v>15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4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</row>
    <row r="68" spans="1:53" x14ac:dyDescent="0.2">
      <c r="A68" s="12" t="s">
        <v>22</v>
      </c>
      <c r="B68" s="12">
        <v>2022</v>
      </c>
      <c r="C68" s="12" t="s">
        <v>21</v>
      </c>
      <c r="D68">
        <v>0</v>
      </c>
      <c r="E68">
        <v>0</v>
      </c>
      <c r="F68">
        <v>0</v>
      </c>
      <c r="G68">
        <v>0</v>
      </c>
      <c r="H68">
        <v>0</v>
      </c>
      <c r="I68">
        <v>6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4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6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1</v>
      </c>
      <c r="AM68">
        <v>0</v>
      </c>
      <c r="AN68">
        <v>0</v>
      </c>
      <c r="AO68">
        <v>0</v>
      </c>
      <c r="AP68">
        <v>11</v>
      </c>
      <c r="AQ68">
        <v>0</v>
      </c>
      <c r="AR68">
        <v>0</v>
      </c>
      <c r="AS68">
        <v>0</v>
      </c>
      <c r="AT68">
        <v>6</v>
      </c>
      <c r="AU68">
        <v>0</v>
      </c>
      <c r="AV68">
        <v>1</v>
      </c>
      <c r="AW68">
        <v>0</v>
      </c>
      <c r="AX68">
        <v>0</v>
      </c>
      <c r="AY68">
        <v>0</v>
      </c>
      <c r="AZ68">
        <v>0</v>
      </c>
      <c r="BA68">
        <v>0</v>
      </c>
    </row>
    <row r="69" spans="1:53" x14ac:dyDescent="0.2">
      <c r="A69" s="12" t="s">
        <v>23</v>
      </c>
      <c r="B69" s="12">
        <v>2022</v>
      </c>
      <c r="C69" s="12" t="s">
        <v>21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7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</row>
    <row r="70" spans="1:53" x14ac:dyDescent="0.2">
      <c r="A70" s="12" t="s">
        <v>81</v>
      </c>
      <c r="B70" s="12">
        <v>2023</v>
      </c>
      <c r="C70" s="12" t="s">
        <v>49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1</v>
      </c>
      <c r="R70">
        <v>0</v>
      </c>
      <c r="S70">
        <v>0</v>
      </c>
      <c r="T70">
        <v>4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</row>
    <row r="71" spans="1:53" x14ac:dyDescent="0.2">
      <c r="A71" s="12" t="s">
        <v>80</v>
      </c>
      <c r="B71" s="12">
        <v>2023</v>
      </c>
      <c r="C71" s="12" t="s">
        <v>49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1</v>
      </c>
      <c r="P71">
        <v>0</v>
      </c>
      <c r="Q71">
        <v>3</v>
      </c>
      <c r="R71">
        <v>0</v>
      </c>
      <c r="S71">
        <v>0</v>
      </c>
      <c r="T71">
        <v>1</v>
      </c>
      <c r="U71">
        <v>0</v>
      </c>
      <c r="V71">
        <v>1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</row>
    <row r="72" spans="1:53" x14ac:dyDescent="0.2">
      <c r="A72" s="12" t="s">
        <v>50</v>
      </c>
      <c r="B72" s="12">
        <v>2023</v>
      </c>
      <c r="C72" s="12" t="s">
        <v>49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2</v>
      </c>
      <c r="O72">
        <v>0</v>
      </c>
      <c r="P72">
        <v>0</v>
      </c>
      <c r="Q72">
        <v>1</v>
      </c>
      <c r="R72">
        <v>0</v>
      </c>
      <c r="S72">
        <v>0</v>
      </c>
      <c r="T72">
        <v>0</v>
      </c>
      <c r="U72">
        <v>0</v>
      </c>
      <c r="V72">
        <v>10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1</v>
      </c>
      <c r="AY72">
        <v>0</v>
      </c>
      <c r="AZ72">
        <v>1</v>
      </c>
      <c r="BA72">
        <v>1</v>
      </c>
    </row>
    <row r="73" spans="1:53" x14ac:dyDescent="0.2">
      <c r="A73" s="12" t="s">
        <v>51</v>
      </c>
      <c r="B73" s="12">
        <v>2023</v>
      </c>
      <c r="C73" s="12" t="s">
        <v>49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2</v>
      </c>
      <c r="P73">
        <v>0</v>
      </c>
      <c r="Q73">
        <v>0</v>
      </c>
      <c r="R73">
        <v>1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4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5</v>
      </c>
      <c r="AY73">
        <v>1</v>
      </c>
      <c r="AZ73">
        <v>0</v>
      </c>
      <c r="BA73">
        <v>4</v>
      </c>
    </row>
    <row r="74" spans="1:53" x14ac:dyDescent="0.2">
      <c r="A74" s="12" t="s">
        <v>52</v>
      </c>
      <c r="B74" s="12">
        <v>2023</v>
      </c>
      <c r="C74" s="12" t="s">
        <v>49</v>
      </c>
      <c r="D74">
        <v>0</v>
      </c>
      <c r="E74">
        <v>0</v>
      </c>
      <c r="F74">
        <v>0</v>
      </c>
      <c r="G74">
        <v>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2</v>
      </c>
      <c r="O74">
        <v>0</v>
      </c>
      <c r="P74">
        <v>0</v>
      </c>
      <c r="Q74">
        <v>0</v>
      </c>
      <c r="R74">
        <v>3</v>
      </c>
      <c r="S74">
        <v>0</v>
      </c>
      <c r="T74">
        <v>1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2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24</v>
      </c>
      <c r="AY74">
        <v>0</v>
      </c>
      <c r="AZ74">
        <v>0</v>
      </c>
      <c r="BA74">
        <v>0</v>
      </c>
    </row>
    <row r="75" spans="1:53" x14ac:dyDescent="0.2">
      <c r="A75" s="12" t="s">
        <v>53</v>
      </c>
      <c r="B75" s="12">
        <v>2023</v>
      </c>
      <c r="C75" s="12" t="s">
        <v>49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2</v>
      </c>
      <c r="P75">
        <v>0</v>
      </c>
      <c r="Q75">
        <v>0</v>
      </c>
      <c r="R75">
        <v>8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18</v>
      </c>
      <c r="AY75">
        <v>0</v>
      </c>
      <c r="AZ75">
        <v>0</v>
      </c>
      <c r="BA75">
        <v>0</v>
      </c>
    </row>
    <row r="76" spans="1:53" x14ac:dyDescent="0.2">
      <c r="A76" s="12" t="s">
        <v>54</v>
      </c>
      <c r="B76" s="12">
        <v>2023</v>
      </c>
      <c r="C76" s="12" t="s">
        <v>49</v>
      </c>
      <c r="D76">
        <v>0</v>
      </c>
      <c r="E76">
        <v>0</v>
      </c>
      <c r="F76">
        <v>3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3</v>
      </c>
    </row>
    <row r="77" spans="1:53" x14ac:dyDescent="0.2">
      <c r="A77" s="12" t="s">
        <v>11</v>
      </c>
      <c r="B77" s="12">
        <v>2023</v>
      </c>
      <c r="C77" s="12" t="s">
        <v>10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4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3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</row>
    <row r="78" spans="1:53" x14ac:dyDescent="0.2">
      <c r="A78" s="12" t="s">
        <v>12</v>
      </c>
      <c r="B78" s="12">
        <v>2023</v>
      </c>
      <c r="C78" s="12" t="s">
        <v>10</v>
      </c>
      <c r="D78">
        <v>0</v>
      </c>
      <c r="E78">
        <v>0</v>
      </c>
      <c r="F78">
        <v>0</v>
      </c>
      <c r="G78">
        <v>0</v>
      </c>
      <c r="H78">
        <v>0</v>
      </c>
      <c r="I78">
        <v>1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1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6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2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</row>
    <row r="79" spans="1:53" x14ac:dyDescent="0.2">
      <c r="A79" s="12" t="s">
        <v>13</v>
      </c>
      <c r="B79" s="12">
        <v>2023</v>
      </c>
      <c r="C79" s="12" t="s">
        <v>10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2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11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</row>
    <row r="80" spans="1:53" x14ac:dyDescent="0.2">
      <c r="A80" s="12" t="s">
        <v>69</v>
      </c>
      <c r="B80" s="12">
        <v>2023</v>
      </c>
      <c r="C80" s="12" t="s">
        <v>10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6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10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</row>
    <row r="81" spans="1:53" x14ac:dyDescent="0.2">
      <c r="A81" s="12" t="s">
        <v>14</v>
      </c>
      <c r="B81" s="12">
        <v>2023</v>
      </c>
      <c r="C81" s="12" t="s">
        <v>10</v>
      </c>
      <c r="D81">
        <v>0</v>
      </c>
      <c r="E81">
        <v>0</v>
      </c>
      <c r="F81">
        <v>0</v>
      </c>
      <c r="G81">
        <v>0</v>
      </c>
      <c r="H81">
        <v>0</v>
      </c>
      <c r="I81">
        <v>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2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1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</row>
    <row r="82" spans="1:53" x14ac:dyDescent="0.2">
      <c r="A82" s="12" t="s">
        <v>22</v>
      </c>
      <c r="B82" s="12">
        <v>2023</v>
      </c>
      <c r="C82" s="12" t="s">
        <v>21</v>
      </c>
      <c r="D82">
        <v>0</v>
      </c>
      <c r="E82">
        <v>0</v>
      </c>
      <c r="F82">
        <v>0</v>
      </c>
      <c r="G82">
        <v>0</v>
      </c>
      <c r="H82">
        <v>0</v>
      </c>
      <c r="I82">
        <v>10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4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15</v>
      </c>
      <c r="AE82">
        <v>0</v>
      </c>
      <c r="AF82">
        <v>1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1</v>
      </c>
      <c r="AM82">
        <v>0</v>
      </c>
      <c r="AN82">
        <v>0</v>
      </c>
      <c r="AO82">
        <v>0</v>
      </c>
      <c r="AP82">
        <v>32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1</v>
      </c>
      <c r="AW82">
        <v>0</v>
      </c>
      <c r="AX82">
        <v>0</v>
      </c>
      <c r="AY82">
        <v>0</v>
      </c>
      <c r="AZ82">
        <v>0</v>
      </c>
      <c r="BA82">
        <v>0</v>
      </c>
    </row>
    <row r="83" spans="1:53" x14ac:dyDescent="0.2">
      <c r="A83" s="12" t="s">
        <v>23</v>
      </c>
      <c r="B83" s="12">
        <v>2023</v>
      </c>
      <c r="C83" s="12" t="s">
        <v>21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2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</row>
    <row r="84" spans="1:53" x14ac:dyDescent="0.2">
      <c r="A84" s="12" t="s">
        <v>66</v>
      </c>
      <c r="B84" s="12">
        <v>2023</v>
      </c>
      <c r="C84" s="12" t="s">
        <v>21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1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2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5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1</v>
      </c>
      <c r="AQ84">
        <v>0</v>
      </c>
      <c r="AR84">
        <v>0</v>
      </c>
      <c r="AS84">
        <v>3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</row>
    <row r="85" spans="1:53" x14ac:dyDescent="0.2">
      <c r="A85" s="12" t="s">
        <v>67</v>
      </c>
      <c r="B85" s="12">
        <v>2023</v>
      </c>
      <c r="C85" s="12" t="s">
        <v>21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1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5</v>
      </c>
      <c r="AS85">
        <v>3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</row>
    <row r="86" spans="1:53" x14ac:dyDescent="0.2">
      <c r="A86" s="12" t="s">
        <v>24</v>
      </c>
      <c r="B86" s="12">
        <v>2023</v>
      </c>
      <c r="C86" s="12" t="s">
        <v>21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5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2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3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2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F63BD-FD52-4BB1-B2E7-6A55E412BA26}">
  <dimension ref="A1:F10"/>
  <sheetViews>
    <sheetView workbookViewId="0">
      <selection activeCell="G18" sqref="G18"/>
    </sheetView>
  </sheetViews>
  <sheetFormatPr baseColWidth="10" defaultRowHeight="15" x14ac:dyDescent="0.2"/>
  <sheetData>
    <row r="1" spans="1:6" x14ac:dyDescent="0.2">
      <c r="A1" t="s">
        <v>576</v>
      </c>
    </row>
    <row r="3" spans="1:6" x14ac:dyDescent="0.2">
      <c r="A3" t="s">
        <v>577</v>
      </c>
      <c r="B3">
        <v>9999</v>
      </c>
    </row>
    <row r="5" spans="1:6" x14ac:dyDescent="0.2">
      <c r="A5" t="s">
        <v>578</v>
      </c>
      <c r="B5" t="s">
        <v>579</v>
      </c>
      <c r="C5" t="s">
        <v>580</v>
      </c>
      <c r="D5" t="s">
        <v>581</v>
      </c>
      <c r="E5" t="s">
        <v>582</v>
      </c>
      <c r="F5" t="s">
        <v>583</v>
      </c>
    </row>
    <row r="6" spans="1:6" x14ac:dyDescent="0.2">
      <c r="A6" t="s">
        <v>25</v>
      </c>
      <c r="B6">
        <v>2.4354499999999999</v>
      </c>
      <c r="C6">
        <v>6</v>
      </c>
      <c r="D6">
        <v>0.40590999999999999</v>
      </c>
      <c r="E6">
        <v>1.1604000000000001</v>
      </c>
      <c r="F6">
        <v>6.8699999999999997E-2</v>
      </c>
    </row>
    <row r="7" spans="1:6" x14ac:dyDescent="0.2">
      <c r="A7" t="s">
        <v>26</v>
      </c>
      <c r="B7">
        <v>9.0657399999999999</v>
      </c>
      <c r="C7">
        <v>3</v>
      </c>
      <c r="D7">
        <v>3.0219</v>
      </c>
      <c r="E7">
        <v>8.6392000000000007</v>
      </c>
      <c r="F7">
        <v>1E-4</v>
      </c>
    </row>
    <row r="8" spans="1:6" x14ac:dyDescent="0.2">
      <c r="A8" t="s">
        <v>584</v>
      </c>
      <c r="B8">
        <v>4.1163999999999996</v>
      </c>
      <c r="C8">
        <v>18</v>
      </c>
      <c r="D8">
        <v>0.22869</v>
      </c>
      <c r="E8">
        <v>0.65378000000000003</v>
      </c>
      <c r="F8">
        <v>0.83789999999999998</v>
      </c>
    </row>
    <row r="9" spans="1:6" x14ac:dyDescent="0.2">
      <c r="A9" t="s">
        <v>585</v>
      </c>
      <c r="B9">
        <v>19.938199999999998</v>
      </c>
      <c r="C9">
        <v>57</v>
      </c>
      <c r="D9">
        <v>0.34978999999999999</v>
      </c>
    </row>
    <row r="10" spans="1:6" x14ac:dyDescent="0.2">
      <c r="A10" t="s">
        <v>586</v>
      </c>
      <c r="B10">
        <v>35.555999999999997</v>
      </c>
      <c r="C10">
        <v>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AC9E6-0556-4A4F-9A4D-CCAD13834DE7}">
  <dimension ref="A1:H51"/>
  <sheetViews>
    <sheetView workbookViewId="0">
      <selection activeCell="L7" sqref="L7"/>
    </sheetView>
  </sheetViews>
  <sheetFormatPr baseColWidth="10" defaultRowHeight="15" x14ac:dyDescent="0.2"/>
  <cols>
    <col min="1" max="1" width="32" bestFit="1" customWidth="1"/>
    <col min="2" max="3" width="10" bestFit="1" customWidth="1"/>
    <col min="4" max="4" width="12.83203125" bestFit="1" customWidth="1"/>
    <col min="6" max="6" width="11.6640625" bestFit="1" customWidth="1"/>
    <col min="7" max="7" width="11.1640625" bestFit="1" customWidth="1"/>
    <col min="8" max="8" width="15.5" bestFit="1" customWidth="1"/>
  </cols>
  <sheetData>
    <row r="1" spans="1:8" x14ac:dyDescent="0.2">
      <c r="A1" t="s">
        <v>561</v>
      </c>
      <c r="B1" t="s">
        <v>562</v>
      </c>
      <c r="C1" t="s">
        <v>563</v>
      </c>
      <c r="D1" t="s">
        <v>564</v>
      </c>
      <c r="E1" t="s">
        <v>565</v>
      </c>
      <c r="F1" t="s">
        <v>566</v>
      </c>
      <c r="G1" t="s">
        <v>567</v>
      </c>
      <c r="H1" t="s">
        <v>568</v>
      </c>
    </row>
    <row r="2" spans="1:8" x14ac:dyDescent="0.2">
      <c r="A2" t="s">
        <v>9</v>
      </c>
      <c r="B2">
        <v>14.96</v>
      </c>
      <c r="C2">
        <v>15.69</v>
      </c>
      <c r="D2">
        <v>15.69</v>
      </c>
      <c r="E2">
        <v>4.13</v>
      </c>
      <c r="F2">
        <v>0</v>
      </c>
      <c r="G2">
        <v>2.38</v>
      </c>
      <c r="H2">
        <v>0</v>
      </c>
    </row>
    <row r="3" spans="1:8" x14ac:dyDescent="0.2">
      <c r="A3" t="s">
        <v>8</v>
      </c>
      <c r="B3">
        <v>9.1010000000000009</v>
      </c>
      <c r="C3">
        <v>9.5459999999999994</v>
      </c>
      <c r="D3">
        <v>25.23</v>
      </c>
      <c r="E3">
        <v>0</v>
      </c>
      <c r="F3">
        <v>0</v>
      </c>
      <c r="G3">
        <v>9.2899999999999991</v>
      </c>
      <c r="H3">
        <v>0</v>
      </c>
    </row>
    <row r="4" spans="1:8" x14ac:dyDescent="0.2">
      <c r="A4" t="s">
        <v>59</v>
      </c>
      <c r="B4">
        <v>6.4669999999999996</v>
      </c>
      <c r="C4">
        <v>6.7830000000000004</v>
      </c>
      <c r="D4">
        <v>32.020000000000003</v>
      </c>
      <c r="E4">
        <v>2</v>
      </c>
      <c r="F4">
        <v>6.25E-2</v>
      </c>
      <c r="G4">
        <v>0</v>
      </c>
      <c r="H4">
        <v>0</v>
      </c>
    </row>
    <row r="5" spans="1:8" x14ac:dyDescent="0.2">
      <c r="A5" t="s">
        <v>38</v>
      </c>
      <c r="B5">
        <v>5.3890000000000002</v>
      </c>
      <c r="C5">
        <v>5.6529999999999996</v>
      </c>
      <c r="D5">
        <v>37.67</v>
      </c>
      <c r="E5">
        <v>0.96799999999999997</v>
      </c>
      <c r="F5">
        <v>1.25</v>
      </c>
      <c r="G5">
        <v>0</v>
      </c>
      <c r="H5">
        <v>0</v>
      </c>
    </row>
    <row r="6" spans="1:8" x14ac:dyDescent="0.2">
      <c r="A6" t="s">
        <v>6</v>
      </c>
      <c r="B6">
        <v>5.1749999999999998</v>
      </c>
      <c r="C6">
        <v>5.4279999999999999</v>
      </c>
      <c r="D6">
        <v>43.1</v>
      </c>
      <c r="E6">
        <v>0</v>
      </c>
      <c r="F6">
        <v>2.63</v>
      </c>
      <c r="G6">
        <v>0</v>
      </c>
      <c r="H6">
        <v>0</v>
      </c>
    </row>
    <row r="7" spans="1:8" x14ac:dyDescent="0.2">
      <c r="A7" t="s">
        <v>45</v>
      </c>
      <c r="B7">
        <v>4.9960000000000004</v>
      </c>
      <c r="C7">
        <v>5.2409999999999997</v>
      </c>
      <c r="D7">
        <v>48.34</v>
      </c>
      <c r="E7">
        <v>0</v>
      </c>
      <c r="F7">
        <v>0</v>
      </c>
      <c r="G7">
        <v>0</v>
      </c>
      <c r="H7">
        <v>3.71</v>
      </c>
    </row>
    <row r="8" spans="1:8" x14ac:dyDescent="0.2">
      <c r="A8" t="s">
        <v>40</v>
      </c>
      <c r="B8">
        <v>4.2939999999999996</v>
      </c>
      <c r="C8">
        <v>4.5039999999999996</v>
      </c>
      <c r="D8">
        <v>52.84</v>
      </c>
      <c r="E8">
        <v>0.67700000000000005</v>
      </c>
      <c r="F8">
        <v>6.25E-2</v>
      </c>
      <c r="G8">
        <v>0.81</v>
      </c>
      <c r="H8">
        <v>0</v>
      </c>
    </row>
    <row r="9" spans="1:8" x14ac:dyDescent="0.2">
      <c r="A9" t="s">
        <v>3</v>
      </c>
      <c r="B9">
        <v>4.1740000000000004</v>
      </c>
      <c r="C9">
        <v>4.3780000000000001</v>
      </c>
      <c r="D9">
        <v>57.22</v>
      </c>
      <c r="E9">
        <v>0</v>
      </c>
      <c r="F9">
        <v>0</v>
      </c>
      <c r="G9">
        <v>1.62</v>
      </c>
      <c r="H9">
        <v>0</v>
      </c>
    </row>
    <row r="10" spans="1:8" x14ac:dyDescent="0.2">
      <c r="A10" t="s">
        <v>71</v>
      </c>
      <c r="B10">
        <v>4.1310000000000002</v>
      </c>
      <c r="C10">
        <v>4.3330000000000002</v>
      </c>
      <c r="D10">
        <v>61.55</v>
      </c>
      <c r="E10">
        <v>0</v>
      </c>
      <c r="F10">
        <v>0</v>
      </c>
      <c r="G10">
        <v>0</v>
      </c>
      <c r="H10">
        <v>2.1800000000000002</v>
      </c>
    </row>
    <row r="11" spans="1:8" x14ac:dyDescent="0.2">
      <c r="A11" t="s">
        <v>30</v>
      </c>
      <c r="B11">
        <v>3.5230000000000001</v>
      </c>
      <c r="C11">
        <v>3.6949999999999998</v>
      </c>
      <c r="D11">
        <v>65.25</v>
      </c>
      <c r="E11">
        <v>0</v>
      </c>
      <c r="F11">
        <v>0</v>
      </c>
      <c r="G11">
        <v>0</v>
      </c>
      <c r="H11">
        <v>2.12</v>
      </c>
    </row>
    <row r="12" spans="1:8" x14ac:dyDescent="0.2">
      <c r="A12" t="s">
        <v>7</v>
      </c>
      <c r="B12">
        <v>3.45</v>
      </c>
      <c r="C12">
        <v>3.6179999999999999</v>
      </c>
      <c r="D12">
        <v>68.87</v>
      </c>
      <c r="E12">
        <v>0.93500000000000005</v>
      </c>
      <c r="F12">
        <v>0.438</v>
      </c>
      <c r="G12">
        <v>4.7600000000000003E-2</v>
      </c>
      <c r="H12">
        <v>0</v>
      </c>
    </row>
    <row r="13" spans="1:8" x14ac:dyDescent="0.2">
      <c r="A13" t="s">
        <v>39</v>
      </c>
      <c r="B13">
        <v>2.74</v>
      </c>
      <c r="C13">
        <v>2.8740000000000001</v>
      </c>
      <c r="D13">
        <v>71.739999999999995</v>
      </c>
      <c r="E13">
        <v>0.161</v>
      </c>
      <c r="F13">
        <v>1.19</v>
      </c>
      <c r="G13">
        <v>0</v>
      </c>
      <c r="H13">
        <v>0</v>
      </c>
    </row>
    <row r="14" spans="1:8" x14ac:dyDescent="0.2">
      <c r="A14" t="s">
        <v>2</v>
      </c>
      <c r="B14">
        <v>2.0379999999999998</v>
      </c>
      <c r="C14">
        <v>2.1379999999999999</v>
      </c>
      <c r="D14">
        <v>73.88</v>
      </c>
      <c r="E14">
        <v>0.129</v>
      </c>
      <c r="F14">
        <v>0</v>
      </c>
      <c r="G14">
        <v>1.86</v>
      </c>
      <c r="H14">
        <v>0</v>
      </c>
    </row>
    <row r="15" spans="1:8" x14ac:dyDescent="0.2">
      <c r="A15" t="s">
        <v>36</v>
      </c>
      <c r="B15">
        <v>2.028</v>
      </c>
      <c r="C15">
        <v>2.1269999999999998</v>
      </c>
      <c r="D15">
        <v>76</v>
      </c>
      <c r="E15">
        <v>0.61299999999999999</v>
      </c>
      <c r="F15">
        <v>6.25E-2</v>
      </c>
      <c r="G15">
        <v>0</v>
      </c>
      <c r="H15">
        <v>0</v>
      </c>
    </row>
    <row r="16" spans="1:8" x14ac:dyDescent="0.2">
      <c r="A16" t="s">
        <v>46</v>
      </c>
      <c r="B16">
        <v>1.7989999999999999</v>
      </c>
      <c r="C16">
        <v>1.8859999999999999</v>
      </c>
      <c r="D16">
        <v>77.89</v>
      </c>
      <c r="E16">
        <v>0</v>
      </c>
      <c r="F16">
        <v>0</v>
      </c>
      <c r="G16">
        <v>0</v>
      </c>
      <c r="H16">
        <v>1.47</v>
      </c>
    </row>
    <row r="17" spans="1:8" x14ac:dyDescent="0.2">
      <c r="A17" t="s">
        <v>4</v>
      </c>
      <c r="B17">
        <v>1.7909999999999999</v>
      </c>
      <c r="C17">
        <v>1.879</v>
      </c>
      <c r="D17">
        <v>79.77</v>
      </c>
      <c r="E17">
        <v>0</v>
      </c>
      <c r="F17">
        <v>0</v>
      </c>
      <c r="G17">
        <v>1.33</v>
      </c>
      <c r="H17">
        <v>0</v>
      </c>
    </row>
    <row r="18" spans="1:8" x14ac:dyDescent="0.2">
      <c r="A18" t="s">
        <v>32</v>
      </c>
      <c r="B18">
        <v>1.5349999999999999</v>
      </c>
      <c r="C18">
        <v>1.61</v>
      </c>
      <c r="D18">
        <v>81.38</v>
      </c>
      <c r="E18">
        <v>0</v>
      </c>
      <c r="F18">
        <v>0</v>
      </c>
      <c r="G18">
        <v>0</v>
      </c>
      <c r="H18">
        <v>1.18</v>
      </c>
    </row>
    <row r="19" spans="1:8" x14ac:dyDescent="0.2">
      <c r="A19" t="s">
        <v>48</v>
      </c>
      <c r="B19">
        <v>1.532</v>
      </c>
      <c r="C19">
        <v>1.607</v>
      </c>
      <c r="D19">
        <v>82.99</v>
      </c>
      <c r="E19">
        <v>0</v>
      </c>
      <c r="F19">
        <v>0</v>
      </c>
      <c r="G19">
        <v>0</v>
      </c>
      <c r="H19">
        <v>0.76500000000000001</v>
      </c>
    </row>
    <row r="20" spans="1:8" x14ac:dyDescent="0.2">
      <c r="A20" t="s">
        <v>73</v>
      </c>
      <c r="B20">
        <v>1.5049999999999999</v>
      </c>
      <c r="C20">
        <v>1.5780000000000001</v>
      </c>
      <c r="D20">
        <v>84.57</v>
      </c>
      <c r="E20">
        <v>0</v>
      </c>
      <c r="F20">
        <v>0</v>
      </c>
      <c r="G20">
        <v>1.38</v>
      </c>
      <c r="H20">
        <v>0</v>
      </c>
    </row>
    <row r="21" spans="1:8" x14ac:dyDescent="0.2">
      <c r="A21" t="s">
        <v>37</v>
      </c>
      <c r="B21">
        <v>1.42</v>
      </c>
      <c r="C21">
        <v>1.4890000000000001</v>
      </c>
      <c r="D21">
        <v>86.06</v>
      </c>
      <c r="E21">
        <v>0</v>
      </c>
      <c r="F21">
        <v>0.75</v>
      </c>
      <c r="G21">
        <v>0</v>
      </c>
      <c r="H21">
        <v>0</v>
      </c>
    </row>
    <row r="22" spans="1:8" x14ac:dyDescent="0.2">
      <c r="A22" t="s">
        <v>43</v>
      </c>
      <c r="B22">
        <v>1.391</v>
      </c>
      <c r="C22">
        <v>1.4590000000000001</v>
      </c>
      <c r="D22">
        <v>87.51</v>
      </c>
      <c r="E22">
        <v>0</v>
      </c>
      <c r="F22">
        <v>0.313</v>
      </c>
      <c r="G22">
        <v>0.23799999999999999</v>
      </c>
      <c r="H22">
        <v>0</v>
      </c>
    </row>
    <row r="23" spans="1:8" x14ac:dyDescent="0.2">
      <c r="A23" t="s">
        <v>31</v>
      </c>
      <c r="B23">
        <v>1.3340000000000001</v>
      </c>
      <c r="C23">
        <v>1.399</v>
      </c>
      <c r="D23">
        <v>88.91</v>
      </c>
      <c r="E23">
        <v>0</v>
      </c>
      <c r="F23">
        <v>0</v>
      </c>
      <c r="G23">
        <v>4.7600000000000003E-2</v>
      </c>
      <c r="H23">
        <v>0.58799999999999997</v>
      </c>
    </row>
    <row r="24" spans="1:8" x14ac:dyDescent="0.2">
      <c r="A24" t="s">
        <v>34</v>
      </c>
      <c r="B24">
        <v>1.1279999999999999</v>
      </c>
      <c r="C24">
        <v>1.1830000000000001</v>
      </c>
      <c r="D24">
        <v>90.1</v>
      </c>
      <c r="E24">
        <v>0</v>
      </c>
      <c r="F24">
        <v>0</v>
      </c>
      <c r="G24">
        <v>0</v>
      </c>
      <c r="H24">
        <v>0.41199999999999998</v>
      </c>
    </row>
    <row r="25" spans="1:8" x14ac:dyDescent="0.2">
      <c r="A25" t="s">
        <v>64</v>
      </c>
      <c r="B25">
        <v>1.048</v>
      </c>
      <c r="C25">
        <v>1.099</v>
      </c>
      <c r="D25">
        <v>91.2</v>
      </c>
      <c r="E25">
        <v>0</v>
      </c>
      <c r="F25">
        <v>0</v>
      </c>
      <c r="G25">
        <v>0.90500000000000003</v>
      </c>
      <c r="H25">
        <v>0</v>
      </c>
    </row>
    <row r="26" spans="1:8" x14ac:dyDescent="0.2">
      <c r="A26" t="s">
        <v>57</v>
      </c>
      <c r="B26">
        <v>0.78349999999999997</v>
      </c>
      <c r="C26">
        <v>0.82179999999999997</v>
      </c>
      <c r="D26">
        <v>92.02</v>
      </c>
      <c r="E26">
        <v>0</v>
      </c>
      <c r="F26">
        <v>0.375</v>
      </c>
      <c r="G26">
        <v>0</v>
      </c>
      <c r="H26">
        <v>0</v>
      </c>
    </row>
    <row r="27" spans="1:8" x14ac:dyDescent="0.2">
      <c r="A27" t="s">
        <v>29</v>
      </c>
      <c r="B27">
        <v>0.74590000000000001</v>
      </c>
      <c r="C27">
        <v>0.78239999999999998</v>
      </c>
      <c r="D27">
        <v>92.8</v>
      </c>
      <c r="E27">
        <v>0</v>
      </c>
      <c r="F27">
        <v>0.25</v>
      </c>
      <c r="G27">
        <v>0</v>
      </c>
      <c r="H27">
        <v>0</v>
      </c>
    </row>
    <row r="28" spans="1:8" x14ac:dyDescent="0.2">
      <c r="A28" t="s">
        <v>33</v>
      </c>
      <c r="B28">
        <v>0.745</v>
      </c>
      <c r="C28">
        <v>0.78139999999999998</v>
      </c>
      <c r="D28">
        <v>93.58</v>
      </c>
      <c r="E28">
        <v>0</v>
      </c>
      <c r="F28">
        <v>0.375</v>
      </c>
      <c r="G28">
        <v>0</v>
      </c>
      <c r="H28">
        <v>0</v>
      </c>
    </row>
    <row r="29" spans="1:8" x14ac:dyDescent="0.2">
      <c r="A29" t="s">
        <v>78</v>
      </c>
      <c r="B29">
        <v>0.60070000000000001</v>
      </c>
      <c r="C29">
        <v>0.63009999999999999</v>
      </c>
      <c r="D29">
        <v>94.21</v>
      </c>
      <c r="E29">
        <v>0</v>
      </c>
      <c r="F29">
        <v>0</v>
      </c>
      <c r="G29">
        <v>0</v>
      </c>
      <c r="H29">
        <v>0.41199999999999998</v>
      </c>
    </row>
    <row r="30" spans="1:8" x14ac:dyDescent="0.2">
      <c r="A30" t="s">
        <v>41</v>
      </c>
      <c r="B30">
        <v>0.56020000000000003</v>
      </c>
      <c r="C30">
        <v>0.58760000000000001</v>
      </c>
      <c r="D30">
        <v>94.8</v>
      </c>
      <c r="E30">
        <v>0</v>
      </c>
      <c r="F30">
        <v>0</v>
      </c>
      <c r="G30">
        <v>0.66700000000000004</v>
      </c>
      <c r="H30">
        <v>0</v>
      </c>
    </row>
    <row r="31" spans="1:8" x14ac:dyDescent="0.2">
      <c r="A31" t="s">
        <v>76</v>
      </c>
      <c r="B31">
        <v>0.53049999999999997</v>
      </c>
      <c r="C31">
        <v>0.55640000000000001</v>
      </c>
      <c r="D31">
        <v>95.36</v>
      </c>
      <c r="E31">
        <v>0</v>
      </c>
      <c r="F31">
        <v>0</v>
      </c>
      <c r="G31">
        <v>0</v>
      </c>
      <c r="H31">
        <v>0.17599999999999999</v>
      </c>
    </row>
    <row r="32" spans="1:8" x14ac:dyDescent="0.2">
      <c r="A32" t="s">
        <v>27</v>
      </c>
      <c r="B32">
        <v>0.49730000000000002</v>
      </c>
      <c r="C32">
        <v>0.52159999999999995</v>
      </c>
      <c r="D32">
        <v>95.88</v>
      </c>
      <c r="E32">
        <v>0</v>
      </c>
      <c r="F32">
        <v>0</v>
      </c>
      <c r="G32">
        <v>0</v>
      </c>
      <c r="H32">
        <v>0.29399999999999998</v>
      </c>
    </row>
    <row r="33" spans="1:8" x14ac:dyDescent="0.2">
      <c r="A33" t="s">
        <v>60</v>
      </c>
      <c r="B33">
        <v>0.496</v>
      </c>
      <c r="C33">
        <v>0.52029999999999998</v>
      </c>
      <c r="D33">
        <v>96.4</v>
      </c>
      <c r="E33">
        <v>0</v>
      </c>
      <c r="F33">
        <v>0</v>
      </c>
      <c r="G33">
        <v>0</v>
      </c>
      <c r="H33">
        <v>0.23499999999999999</v>
      </c>
    </row>
    <row r="34" spans="1:8" x14ac:dyDescent="0.2">
      <c r="A34" t="s">
        <v>77</v>
      </c>
      <c r="B34">
        <v>0.47520000000000001</v>
      </c>
      <c r="C34">
        <v>0.49840000000000001</v>
      </c>
      <c r="D34">
        <v>96.9</v>
      </c>
      <c r="E34">
        <v>0</v>
      </c>
      <c r="F34">
        <v>0</v>
      </c>
      <c r="G34">
        <v>0</v>
      </c>
      <c r="H34">
        <v>0.29399999999999998</v>
      </c>
    </row>
    <row r="35" spans="1:8" x14ac:dyDescent="0.2">
      <c r="A35" t="s">
        <v>35</v>
      </c>
      <c r="B35">
        <v>0.36909999999999998</v>
      </c>
      <c r="C35">
        <v>0.3871</v>
      </c>
      <c r="D35">
        <v>97.28</v>
      </c>
      <c r="E35">
        <v>0</v>
      </c>
      <c r="F35">
        <v>0.125</v>
      </c>
      <c r="G35">
        <v>0</v>
      </c>
      <c r="H35">
        <v>0</v>
      </c>
    </row>
    <row r="36" spans="1:8" x14ac:dyDescent="0.2">
      <c r="A36" t="s">
        <v>5</v>
      </c>
      <c r="B36">
        <v>0.30409999999999998</v>
      </c>
      <c r="C36">
        <v>0.31900000000000001</v>
      </c>
      <c r="D36">
        <v>97.6</v>
      </c>
      <c r="E36">
        <v>0</v>
      </c>
      <c r="F36">
        <v>6.25E-2</v>
      </c>
      <c r="G36">
        <v>0</v>
      </c>
      <c r="H36">
        <v>0</v>
      </c>
    </row>
    <row r="37" spans="1:8" x14ac:dyDescent="0.2">
      <c r="A37" t="s">
        <v>44</v>
      </c>
      <c r="B37">
        <v>0.29470000000000002</v>
      </c>
      <c r="C37">
        <v>0.30909999999999999</v>
      </c>
      <c r="D37">
        <v>97.91</v>
      </c>
      <c r="E37">
        <v>3.2300000000000002E-2</v>
      </c>
      <c r="F37">
        <v>0.125</v>
      </c>
      <c r="G37">
        <v>0</v>
      </c>
      <c r="H37">
        <v>0</v>
      </c>
    </row>
    <row r="38" spans="1:8" x14ac:dyDescent="0.2">
      <c r="A38" t="s">
        <v>63</v>
      </c>
      <c r="B38">
        <v>0.29449999999999998</v>
      </c>
      <c r="C38">
        <v>0.30890000000000001</v>
      </c>
      <c r="D38">
        <v>98.22</v>
      </c>
      <c r="E38">
        <v>0</v>
      </c>
      <c r="F38">
        <v>0.125</v>
      </c>
      <c r="G38">
        <v>0</v>
      </c>
      <c r="H38">
        <v>0</v>
      </c>
    </row>
    <row r="39" spans="1:8" x14ac:dyDescent="0.2">
      <c r="A39" t="s">
        <v>72</v>
      </c>
      <c r="B39">
        <v>0.1787</v>
      </c>
      <c r="C39">
        <v>0.18740000000000001</v>
      </c>
      <c r="D39">
        <v>98.41</v>
      </c>
      <c r="E39">
        <v>0</v>
      </c>
      <c r="F39">
        <v>0</v>
      </c>
      <c r="G39">
        <v>0</v>
      </c>
      <c r="H39">
        <v>0.11799999999999999</v>
      </c>
    </row>
    <row r="40" spans="1:8" x14ac:dyDescent="0.2">
      <c r="A40" t="s">
        <v>74</v>
      </c>
      <c r="B40">
        <v>0.1787</v>
      </c>
      <c r="C40">
        <v>0.18740000000000001</v>
      </c>
      <c r="D40">
        <v>98.59</v>
      </c>
      <c r="E40">
        <v>0</v>
      </c>
      <c r="F40">
        <v>0</v>
      </c>
      <c r="G40">
        <v>0</v>
      </c>
      <c r="H40">
        <v>0.11799999999999999</v>
      </c>
    </row>
    <row r="41" spans="1:8" x14ac:dyDescent="0.2">
      <c r="A41" t="s">
        <v>61</v>
      </c>
      <c r="B41">
        <v>0.16550000000000001</v>
      </c>
      <c r="C41">
        <v>0.17349999999999999</v>
      </c>
      <c r="D41">
        <v>98.77</v>
      </c>
      <c r="E41">
        <v>0</v>
      </c>
      <c r="F41">
        <v>0</v>
      </c>
      <c r="G41">
        <v>9.5200000000000007E-2</v>
      </c>
      <c r="H41">
        <v>0</v>
      </c>
    </row>
    <row r="42" spans="1:8" x14ac:dyDescent="0.2">
      <c r="A42" t="s">
        <v>65</v>
      </c>
      <c r="B42">
        <v>0.1555</v>
      </c>
      <c r="C42">
        <v>0.16309999999999999</v>
      </c>
      <c r="D42">
        <v>98.93</v>
      </c>
      <c r="E42">
        <v>0</v>
      </c>
      <c r="F42">
        <v>0</v>
      </c>
      <c r="G42">
        <v>0.19</v>
      </c>
      <c r="H42">
        <v>0</v>
      </c>
    </row>
    <row r="43" spans="1:8" x14ac:dyDescent="0.2">
      <c r="A43" t="s">
        <v>62</v>
      </c>
      <c r="B43">
        <v>0.1555</v>
      </c>
      <c r="C43">
        <v>0.16309999999999999</v>
      </c>
      <c r="D43">
        <v>99.09</v>
      </c>
      <c r="E43">
        <v>0</v>
      </c>
      <c r="F43">
        <v>0</v>
      </c>
      <c r="G43">
        <v>0.19</v>
      </c>
      <c r="H43">
        <v>0</v>
      </c>
    </row>
    <row r="44" spans="1:8" x14ac:dyDescent="0.2">
      <c r="A44" t="s">
        <v>55</v>
      </c>
      <c r="B44">
        <v>0.1326</v>
      </c>
      <c r="C44">
        <v>0.1391</v>
      </c>
      <c r="D44">
        <v>99.23</v>
      </c>
      <c r="E44">
        <v>0</v>
      </c>
      <c r="F44">
        <v>0</v>
      </c>
      <c r="G44">
        <v>0</v>
      </c>
      <c r="H44">
        <v>0.11799999999999999</v>
      </c>
    </row>
    <row r="45" spans="1:8" x14ac:dyDescent="0.2">
      <c r="A45" t="s">
        <v>68</v>
      </c>
      <c r="B45">
        <v>0.1303</v>
      </c>
      <c r="C45">
        <v>0.13669999999999999</v>
      </c>
      <c r="D45">
        <v>99.37</v>
      </c>
      <c r="E45">
        <v>0</v>
      </c>
      <c r="F45">
        <v>0</v>
      </c>
      <c r="G45">
        <v>4.7600000000000003E-2</v>
      </c>
      <c r="H45">
        <v>0</v>
      </c>
    </row>
    <row r="46" spans="1:8" x14ac:dyDescent="0.2">
      <c r="A46" t="s">
        <v>70</v>
      </c>
      <c r="B46">
        <v>0.12479999999999999</v>
      </c>
      <c r="C46">
        <v>0.13089999999999999</v>
      </c>
      <c r="D46">
        <v>99.5</v>
      </c>
      <c r="E46">
        <v>3.2300000000000002E-2</v>
      </c>
      <c r="F46">
        <v>0</v>
      </c>
      <c r="G46">
        <v>0</v>
      </c>
      <c r="H46">
        <v>0</v>
      </c>
    </row>
    <row r="47" spans="1:8" x14ac:dyDescent="0.2">
      <c r="A47" t="s">
        <v>58</v>
      </c>
      <c r="B47">
        <v>0.1208</v>
      </c>
      <c r="C47">
        <v>0.12670000000000001</v>
      </c>
      <c r="D47">
        <v>99.63</v>
      </c>
      <c r="E47">
        <v>0</v>
      </c>
      <c r="F47">
        <v>0</v>
      </c>
      <c r="G47">
        <v>0</v>
      </c>
      <c r="H47">
        <v>5.8799999999999998E-2</v>
      </c>
    </row>
    <row r="48" spans="1:8" x14ac:dyDescent="0.2">
      <c r="A48" t="s">
        <v>56</v>
      </c>
      <c r="B48">
        <v>0.1057</v>
      </c>
      <c r="C48">
        <v>0.1108</v>
      </c>
      <c r="D48">
        <v>99.74</v>
      </c>
      <c r="E48">
        <v>0</v>
      </c>
      <c r="F48">
        <v>0</v>
      </c>
      <c r="G48">
        <v>4.7600000000000003E-2</v>
      </c>
      <c r="H48">
        <v>5.8799999999999998E-2</v>
      </c>
    </row>
    <row r="49" spans="1:8" x14ac:dyDescent="0.2">
      <c r="A49" t="s">
        <v>79</v>
      </c>
      <c r="B49">
        <v>9.6430000000000002E-2</v>
      </c>
      <c r="C49">
        <v>0.1012</v>
      </c>
      <c r="D49">
        <v>99.84</v>
      </c>
      <c r="E49">
        <v>0</v>
      </c>
      <c r="F49">
        <v>0</v>
      </c>
      <c r="G49">
        <v>0</v>
      </c>
      <c r="H49">
        <v>5.8799999999999998E-2</v>
      </c>
    </row>
    <row r="50" spans="1:8" x14ac:dyDescent="0.2">
      <c r="A50" t="s">
        <v>42</v>
      </c>
      <c r="B50">
        <v>9.0679999999999997E-2</v>
      </c>
      <c r="C50">
        <v>9.5119999999999996E-2</v>
      </c>
      <c r="D50">
        <v>99.93</v>
      </c>
      <c r="E50">
        <v>0</v>
      </c>
      <c r="F50">
        <v>6.25E-2</v>
      </c>
      <c r="G50">
        <v>0</v>
      </c>
      <c r="H50">
        <v>0</v>
      </c>
    </row>
    <row r="51" spans="1:8" x14ac:dyDescent="0.2">
      <c r="A51" t="s">
        <v>28</v>
      </c>
      <c r="B51">
        <v>6.225E-2</v>
      </c>
      <c r="C51">
        <v>6.5290000000000001E-2</v>
      </c>
      <c r="D51">
        <v>100</v>
      </c>
      <c r="E51">
        <v>0</v>
      </c>
      <c r="F51">
        <v>0</v>
      </c>
      <c r="G51">
        <v>0</v>
      </c>
      <c r="H51">
        <v>5.8799999999999998E-2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F5BA0-D17F-4496-8B24-17EB47E09B6E}">
  <dimension ref="A1:K51"/>
  <sheetViews>
    <sheetView workbookViewId="0">
      <selection activeCell="L7" sqref="L7"/>
    </sheetView>
  </sheetViews>
  <sheetFormatPr baseColWidth="10" defaultRowHeight="15" x14ac:dyDescent="0.2"/>
  <cols>
    <col min="1" max="1" width="32" bestFit="1" customWidth="1"/>
  </cols>
  <sheetData>
    <row r="1" spans="1:11" x14ac:dyDescent="0.2">
      <c r="A1" t="s">
        <v>561</v>
      </c>
      <c r="B1" t="s">
        <v>562</v>
      </c>
      <c r="C1" t="s">
        <v>563</v>
      </c>
      <c r="D1" t="s">
        <v>564</v>
      </c>
      <c r="E1" t="s">
        <v>569</v>
      </c>
      <c r="F1" t="s">
        <v>570</v>
      </c>
      <c r="G1" t="s">
        <v>571</v>
      </c>
      <c r="H1" t="s">
        <v>572</v>
      </c>
      <c r="I1" t="s">
        <v>573</v>
      </c>
      <c r="J1" t="s">
        <v>574</v>
      </c>
      <c r="K1" t="s">
        <v>575</v>
      </c>
    </row>
    <row r="2" spans="1:11" x14ac:dyDescent="0.2">
      <c r="A2" t="s">
        <v>9</v>
      </c>
      <c r="B2">
        <v>14.75</v>
      </c>
      <c r="C2">
        <v>16.329999999999998</v>
      </c>
      <c r="D2">
        <v>16.329999999999998</v>
      </c>
      <c r="E2">
        <v>2.13</v>
      </c>
      <c r="F2">
        <v>2.27</v>
      </c>
      <c r="G2">
        <v>0.69199999999999995</v>
      </c>
      <c r="H2">
        <v>2.36</v>
      </c>
      <c r="I2">
        <v>2.33</v>
      </c>
      <c r="J2">
        <v>3.25</v>
      </c>
      <c r="K2">
        <v>1.88</v>
      </c>
    </row>
    <row r="3" spans="1:11" x14ac:dyDescent="0.2">
      <c r="A3" t="s">
        <v>8</v>
      </c>
      <c r="B3">
        <v>8.2750000000000004</v>
      </c>
      <c r="C3">
        <v>9.1630000000000003</v>
      </c>
      <c r="D3">
        <v>25.49</v>
      </c>
      <c r="E3">
        <v>2.63</v>
      </c>
      <c r="F3">
        <v>3.53</v>
      </c>
      <c r="G3">
        <v>2.46</v>
      </c>
      <c r="H3">
        <v>3.91</v>
      </c>
      <c r="I3">
        <v>0</v>
      </c>
      <c r="J3">
        <v>0.91700000000000004</v>
      </c>
      <c r="K3">
        <v>2.06</v>
      </c>
    </row>
    <row r="4" spans="1:11" x14ac:dyDescent="0.2">
      <c r="A4" t="s">
        <v>59</v>
      </c>
      <c r="B4">
        <v>6.9989999999999997</v>
      </c>
      <c r="C4">
        <v>7.75</v>
      </c>
      <c r="D4">
        <v>33.24</v>
      </c>
      <c r="E4">
        <v>2.38</v>
      </c>
      <c r="F4">
        <v>0.53300000000000003</v>
      </c>
      <c r="G4">
        <v>0.76900000000000002</v>
      </c>
      <c r="H4">
        <v>9.0899999999999995E-2</v>
      </c>
      <c r="I4">
        <v>1.33</v>
      </c>
      <c r="J4">
        <v>0.66700000000000004</v>
      </c>
      <c r="K4">
        <v>0.29399999999999998</v>
      </c>
    </row>
    <row r="5" spans="1:11" x14ac:dyDescent="0.2">
      <c r="A5" t="s">
        <v>38</v>
      </c>
      <c r="B5">
        <v>5.6429999999999998</v>
      </c>
      <c r="C5">
        <v>6.2489999999999997</v>
      </c>
      <c r="D5">
        <v>39.49</v>
      </c>
      <c r="E5">
        <v>0</v>
      </c>
      <c r="F5">
        <v>0.33300000000000002</v>
      </c>
      <c r="G5">
        <v>0.308</v>
      </c>
      <c r="H5">
        <v>1.73</v>
      </c>
      <c r="I5">
        <v>0.77800000000000002</v>
      </c>
      <c r="J5">
        <v>1.25</v>
      </c>
      <c r="K5">
        <v>0</v>
      </c>
    </row>
    <row r="6" spans="1:11" x14ac:dyDescent="0.2">
      <c r="A6" t="s">
        <v>6</v>
      </c>
      <c r="B6">
        <v>4.7050000000000001</v>
      </c>
      <c r="C6">
        <v>5.2089999999999996</v>
      </c>
      <c r="D6">
        <v>44.7</v>
      </c>
      <c r="E6">
        <v>1.25</v>
      </c>
      <c r="F6">
        <v>0.33300000000000002</v>
      </c>
      <c r="G6">
        <v>0.46200000000000002</v>
      </c>
      <c r="H6">
        <v>1.27</v>
      </c>
      <c r="I6">
        <v>0</v>
      </c>
      <c r="J6">
        <v>0.58299999999999996</v>
      </c>
      <c r="K6">
        <v>0</v>
      </c>
    </row>
    <row r="7" spans="1:11" x14ac:dyDescent="0.2">
      <c r="A7" t="s">
        <v>40</v>
      </c>
      <c r="B7">
        <v>4.3490000000000002</v>
      </c>
      <c r="C7">
        <v>4.8159999999999998</v>
      </c>
      <c r="D7">
        <v>49.51</v>
      </c>
      <c r="E7">
        <v>0</v>
      </c>
      <c r="F7">
        <v>0.86699999999999999</v>
      </c>
      <c r="G7">
        <v>0.38500000000000001</v>
      </c>
      <c r="H7">
        <v>0.63600000000000001</v>
      </c>
      <c r="I7">
        <v>0.33300000000000002</v>
      </c>
      <c r="J7">
        <v>0.25</v>
      </c>
      <c r="K7">
        <v>0.47099999999999997</v>
      </c>
    </row>
    <row r="8" spans="1:11" x14ac:dyDescent="0.2">
      <c r="A8" t="s">
        <v>45</v>
      </c>
      <c r="B8">
        <v>4.2560000000000002</v>
      </c>
      <c r="C8">
        <v>4.7130000000000001</v>
      </c>
      <c r="D8">
        <v>54.23</v>
      </c>
      <c r="E8">
        <v>0</v>
      </c>
      <c r="F8">
        <v>0.13300000000000001</v>
      </c>
      <c r="G8">
        <v>0.92300000000000004</v>
      </c>
      <c r="H8">
        <v>0</v>
      </c>
      <c r="I8">
        <v>0</v>
      </c>
      <c r="J8">
        <v>8.3299999999999999E-2</v>
      </c>
      <c r="K8">
        <v>2.82</v>
      </c>
    </row>
    <row r="9" spans="1:11" x14ac:dyDescent="0.2">
      <c r="A9" t="s">
        <v>3</v>
      </c>
      <c r="B9">
        <v>3.726</v>
      </c>
      <c r="C9">
        <v>4.1260000000000003</v>
      </c>
      <c r="D9">
        <v>58.35</v>
      </c>
      <c r="E9">
        <v>0.125</v>
      </c>
      <c r="F9">
        <v>0</v>
      </c>
      <c r="G9">
        <v>0.84599999999999997</v>
      </c>
      <c r="H9">
        <v>0.90900000000000003</v>
      </c>
      <c r="I9">
        <v>0.66700000000000004</v>
      </c>
      <c r="J9">
        <v>0</v>
      </c>
      <c r="K9">
        <v>0.35299999999999998</v>
      </c>
    </row>
    <row r="10" spans="1:11" x14ac:dyDescent="0.2">
      <c r="A10" t="s">
        <v>7</v>
      </c>
      <c r="B10">
        <v>3.7080000000000002</v>
      </c>
      <c r="C10">
        <v>4.1059999999999999</v>
      </c>
      <c r="D10">
        <v>62.46</v>
      </c>
      <c r="E10">
        <v>0.375</v>
      </c>
      <c r="F10">
        <v>0.13300000000000001</v>
      </c>
      <c r="G10">
        <v>0.154</v>
      </c>
      <c r="H10">
        <v>0.54500000000000004</v>
      </c>
      <c r="I10">
        <v>0.111</v>
      </c>
      <c r="J10">
        <v>0.58299999999999996</v>
      </c>
      <c r="K10">
        <v>0.94099999999999995</v>
      </c>
    </row>
    <row r="11" spans="1:11" x14ac:dyDescent="0.2">
      <c r="A11" t="s">
        <v>71</v>
      </c>
      <c r="B11">
        <v>3.5219999999999998</v>
      </c>
      <c r="C11">
        <v>3.9</v>
      </c>
      <c r="D11">
        <v>66.36</v>
      </c>
      <c r="E11">
        <v>0</v>
      </c>
      <c r="F11">
        <v>1</v>
      </c>
      <c r="G11">
        <v>0</v>
      </c>
      <c r="H11">
        <v>0</v>
      </c>
      <c r="I11">
        <v>0</v>
      </c>
      <c r="J11">
        <v>0.91700000000000004</v>
      </c>
      <c r="K11">
        <v>0.64700000000000002</v>
      </c>
    </row>
    <row r="12" spans="1:11" x14ac:dyDescent="0.2">
      <c r="A12" t="s">
        <v>30</v>
      </c>
      <c r="B12">
        <v>3.024</v>
      </c>
      <c r="C12">
        <v>3.3490000000000002</v>
      </c>
      <c r="D12">
        <v>69.709999999999994</v>
      </c>
      <c r="E12">
        <v>0</v>
      </c>
      <c r="F12">
        <v>0.33300000000000002</v>
      </c>
      <c r="G12">
        <v>1.92</v>
      </c>
      <c r="H12">
        <v>0</v>
      </c>
      <c r="I12">
        <v>0</v>
      </c>
      <c r="J12">
        <v>8.3299999999999999E-2</v>
      </c>
      <c r="K12">
        <v>0.29399999999999998</v>
      </c>
    </row>
    <row r="13" spans="1:11" x14ac:dyDescent="0.2">
      <c r="A13" t="s">
        <v>39</v>
      </c>
      <c r="B13">
        <v>2.5870000000000002</v>
      </c>
      <c r="C13">
        <v>2.8639999999999999</v>
      </c>
      <c r="D13">
        <v>72.569999999999993</v>
      </c>
      <c r="E13">
        <v>0</v>
      </c>
      <c r="F13">
        <v>0.53300000000000003</v>
      </c>
      <c r="G13">
        <v>0.23100000000000001</v>
      </c>
      <c r="H13">
        <v>0.36399999999999999</v>
      </c>
      <c r="I13">
        <v>0.77800000000000002</v>
      </c>
      <c r="J13">
        <v>0.16700000000000001</v>
      </c>
      <c r="K13">
        <v>0</v>
      </c>
    </row>
    <row r="14" spans="1:11" x14ac:dyDescent="0.2">
      <c r="A14" t="s">
        <v>36</v>
      </c>
      <c r="B14">
        <v>2.2749999999999999</v>
      </c>
      <c r="C14">
        <v>2.5190000000000001</v>
      </c>
      <c r="D14">
        <v>75.09</v>
      </c>
      <c r="E14">
        <v>0</v>
      </c>
      <c r="F14">
        <v>0.13300000000000001</v>
      </c>
      <c r="G14">
        <v>0.154</v>
      </c>
      <c r="H14">
        <v>0.36399999999999999</v>
      </c>
      <c r="I14">
        <v>1</v>
      </c>
      <c r="J14">
        <v>8.3299999999999999E-2</v>
      </c>
      <c r="K14">
        <v>0.11799999999999999</v>
      </c>
    </row>
    <row r="15" spans="1:11" x14ac:dyDescent="0.2">
      <c r="A15" t="s">
        <v>2</v>
      </c>
      <c r="B15">
        <v>1.99</v>
      </c>
      <c r="C15">
        <v>2.2040000000000002</v>
      </c>
      <c r="D15">
        <v>77.3</v>
      </c>
      <c r="E15">
        <v>0.375</v>
      </c>
      <c r="F15">
        <v>0.33300000000000002</v>
      </c>
      <c r="G15">
        <v>0.69199999999999995</v>
      </c>
      <c r="H15">
        <v>0.63600000000000001</v>
      </c>
      <c r="I15">
        <v>0.111</v>
      </c>
      <c r="J15">
        <v>0.5</v>
      </c>
      <c r="K15">
        <v>0.70599999999999996</v>
      </c>
    </row>
    <row r="16" spans="1:11" x14ac:dyDescent="0.2">
      <c r="A16" t="s">
        <v>4</v>
      </c>
      <c r="B16">
        <v>1.6319999999999999</v>
      </c>
      <c r="C16">
        <v>1.8069999999999999</v>
      </c>
      <c r="D16">
        <v>79.099999999999994</v>
      </c>
      <c r="E16">
        <v>0.5</v>
      </c>
      <c r="F16">
        <v>0.26700000000000002</v>
      </c>
      <c r="G16">
        <v>0.23100000000000001</v>
      </c>
      <c r="H16">
        <v>0.54500000000000004</v>
      </c>
      <c r="I16">
        <v>0.111</v>
      </c>
      <c r="J16">
        <v>0.33300000000000002</v>
      </c>
      <c r="K16">
        <v>0.35299999999999998</v>
      </c>
    </row>
    <row r="17" spans="1:11" x14ac:dyDescent="0.2">
      <c r="A17" t="s">
        <v>46</v>
      </c>
      <c r="B17">
        <v>1.5629999999999999</v>
      </c>
      <c r="C17">
        <v>1.7310000000000001</v>
      </c>
      <c r="D17">
        <v>80.83</v>
      </c>
      <c r="E17">
        <v>0</v>
      </c>
      <c r="F17">
        <v>1.4</v>
      </c>
      <c r="G17">
        <v>0.23100000000000001</v>
      </c>
      <c r="H17">
        <v>0</v>
      </c>
      <c r="I17">
        <v>0</v>
      </c>
      <c r="J17">
        <v>0</v>
      </c>
      <c r="K17">
        <v>5.8799999999999998E-2</v>
      </c>
    </row>
    <row r="18" spans="1:11" x14ac:dyDescent="0.2">
      <c r="A18" t="s">
        <v>73</v>
      </c>
      <c r="B18">
        <v>1.3540000000000001</v>
      </c>
      <c r="C18">
        <v>1.4990000000000001</v>
      </c>
      <c r="D18">
        <v>82.33</v>
      </c>
      <c r="E18">
        <v>0</v>
      </c>
      <c r="F18">
        <v>0</v>
      </c>
      <c r="G18">
        <v>0.154</v>
      </c>
      <c r="H18">
        <v>9.0899999999999995E-2</v>
      </c>
      <c r="I18">
        <v>0</v>
      </c>
      <c r="J18">
        <v>0.5</v>
      </c>
      <c r="K18">
        <v>1.18</v>
      </c>
    </row>
    <row r="19" spans="1:11" x14ac:dyDescent="0.2">
      <c r="A19" t="s">
        <v>48</v>
      </c>
      <c r="B19">
        <v>1.31</v>
      </c>
      <c r="C19">
        <v>1.4510000000000001</v>
      </c>
      <c r="D19">
        <v>83.78</v>
      </c>
      <c r="E19">
        <v>0</v>
      </c>
      <c r="F19">
        <v>6.6699999999999995E-2</v>
      </c>
      <c r="G19">
        <v>0.23100000000000001</v>
      </c>
      <c r="H19">
        <v>0</v>
      </c>
      <c r="I19">
        <v>0</v>
      </c>
      <c r="J19">
        <v>8.3299999999999999E-2</v>
      </c>
      <c r="K19">
        <v>0.47099999999999997</v>
      </c>
    </row>
    <row r="20" spans="1:11" x14ac:dyDescent="0.2">
      <c r="A20" t="s">
        <v>37</v>
      </c>
      <c r="B20">
        <v>1.2969999999999999</v>
      </c>
      <c r="C20">
        <v>1.4370000000000001</v>
      </c>
      <c r="D20">
        <v>85.22</v>
      </c>
      <c r="E20">
        <v>0</v>
      </c>
      <c r="F20">
        <v>6.6699999999999995E-2</v>
      </c>
      <c r="G20">
        <v>0</v>
      </c>
      <c r="H20">
        <v>0.36399999999999999</v>
      </c>
      <c r="I20">
        <v>0.222</v>
      </c>
      <c r="J20">
        <v>0.41699999999999998</v>
      </c>
      <c r="K20">
        <v>0</v>
      </c>
    </row>
    <row r="21" spans="1:11" x14ac:dyDescent="0.2">
      <c r="A21" t="s">
        <v>32</v>
      </c>
      <c r="B21">
        <v>1.2969999999999999</v>
      </c>
      <c r="C21">
        <v>1.4359999999999999</v>
      </c>
      <c r="D21">
        <v>86.66</v>
      </c>
      <c r="E21">
        <v>0</v>
      </c>
      <c r="F21">
        <v>0.33300000000000002</v>
      </c>
      <c r="G21">
        <v>0.154</v>
      </c>
      <c r="H21">
        <v>0</v>
      </c>
      <c r="I21">
        <v>0</v>
      </c>
      <c r="J21">
        <v>8.3299999999999999E-2</v>
      </c>
      <c r="K21">
        <v>0.70599999999999996</v>
      </c>
    </row>
    <row r="22" spans="1:11" x14ac:dyDescent="0.2">
      <c r="A22" t="s">
        <v>43</v>
      </c>
      <c r="B22">
        <v>1.244</v>
      </c>
      <c r="C22">
        <v>1.3779999999999999</v>
      </c>
      <c r="D22">
        <v>88.03</v>
      </c>
      <c r="E22">
        <v>0</v>
      </c>
      <c r="F22">
        <v>0.33300000000000002</v>
      </c>
      <c r="G22">
        <v>0</v>
      </c>
      <c r="H22">
        <v>0</v>
      </c>
      <c r="I22">
        <v>0</v>
      </c>
      <c r="J22">
        <v>0</v>
      </c>
      <c r="K22">
        <v>0.29399999999999998</v>
      </c>
    </row>
    <row r="23" spans="1:11" x14ac:dyDescent="0.2">
      <c r="A23" t="s">
        <v>31</v>
      </c>
      <c r="B23">
        <v>1.1439999999999999</v>
      </c>
      <c r="C23">
        <v>1.2669999999999999</v>
      </c>
      <c r="D23">
        <v>89.3</v>
      </c>
      <c r="E23">
        <v>0</v>
      </c>
      <c r="F23">
        <v>6.6699999999999995E-2</v>
      </c>
      <c r="G23">
        <v>0.308</v>
      </c>
      <c r="H23">
        <v>0</v>
      </c>
      <c r="I23">
        <v>0</v>
      </c>
      <c r="J23">
        <v>8.3299999999999999E-2</v>
      </c>
      <c r="K23">
        <v>0.29399999999999998</v>
      </c>
    </row>
    <row r="24" spans="1:11" x14ac:dyDescent="0.2">
      <c r="A24" t="s">
        <v>64</v>
      </c>
      <c r="B24">
        <v>0.98050000000000004</v>
      </c>
      <c r="C24">
        <v>1.0860000000000001</v>
      </c>
      <c r="D24">
        <v>90.39</v>
      </c>
      <c r="E24">
        <v>0</v>
      </c>
      <c r="F24">
        <v>0</v>
      </c>
      <c r="G24">
        <v>1</v>
      </c>
      <c r="H24">
        <v>0</v>
      </c>
      <c r="I24">
        <v>0</v>
      </c>
      <c r="J24">
        <v>0.5</v>
      </c>
      <c r="K24">
        <v>0</v>
      </c>
    </row>
    <row r="25" spans="1:11" x14ac:dyDescent="0.2">
      <c r="A25" t="s">
        <v>34</v>
      </c>
      <c r="B25">
        <v>0.96860000000000002</v>
      </c>
      <c r="C25">
        <v>1.073</v>
      </c>
      <c r="D25">
        <v>91.46</v>
      </c>
      <c r="E25">
        <v>0</v>
      </c>
      <c r="F25">
        <v>6.6699999999999995E-2</v>
      </c>
      <c r="G25">
        <v>0</v>
      </c>
      <c r="H25">
        <v>0</v>
      </c>
      <c r="I25">
        <v>0</v>
      </c>
      <c r="J25">
        <v>0</v>
      </c>
      <c r="K25">
        <v>0.35299999999999998</v>
      </c>
    </row>
    <row r="26" spans="1:11" x14ac:dyDescent="0.2">
      <c r="A26" t="s">
        <v>57</v>
      </c>
      <c r="B26">
        <v>0.73529999999999995</v>
      </c>
      <c r="C26">
        <v>0.81420000000000003</v>
      </c>
      <c r="D26">
        <v>92.27</v>
      </c>
      <c r="E26">
        <v>0</v>
      </c>
      <c r="F26">
        <v>0</v>
      </c>
      <c r="G26">
        <v>7.6899999999999996E-2</v>
      </c>
      <c r="H26">
        <v>0.182</v>
      </c>
      <c r="I26">
        <v>0.33300000000000002</v>
      </c>
      <c r="J26">
        <v>0</v>
      </c>
      <c r="K26">
        <v>0</v>
      </c>
    </row>
    <row r="27" spans="1:11" x14ac:dyDescent="0.2">
      <c r="A27" t="s">
        <v>29</v>
      </c>
      <c r="B27">
        <v>0.69210000000000005</v>
      </c>
      <c r="C27">
        <v>0.76629999999999998</v>
      </c>
      <c r="D27">
        <v>93.04</v>
      </c>
      <c r="E27">
        <v>0</v>
      </c>
      <c r="F27">
        <v>6.6699999999999995E-2</v>
      </c>
      <c r="G27">
        <v>0</v>
      </c>
      <c r="H27">
        <v>0.27300000000000002</v>
      </c>
      <c r="I27">
        <v>0</v>
      </c>
      <c r="J27">
        <v>0</v>
      </c>
      <c r="K27">
        <v>0</v>
      </c>
    </row>
    <row r="28" spans="1:11" x14ac:dyDescent="0.2">
      <c r="A28" t="s">
        <v>33</v>
      </c>
      <c r="B28">
        <v>0.68310000000000004</v>
      </c>
      <c r="C28">
        <v>0.75639999999999996</v>
      </c>
      <c r="D28">
        <v>93.8</v>
      </c>
      <c r="E28">
        <v>0</v>
      </c>
      <c r="F28">
        <v>0.2</v>
      </c>
      <c r="G28">
        <v>0</v>
      </c>
      <c r="H28">
        <v>0</v>
      </c>
      <c r="I28">
        <v>0</v>
      </c>
      <c r="J28">
        <v>0.25</v>
      </c>
      <c r="K28">
        <v>0</v>
      </c>
    </row>
    <row r="29" spans="1:11" x14ac:dyDescent="0.2">
      <c r="A29" t="s">
        <v>41</v>
      </c>
      <c r="B29">
        <v>0.52590000000000003</v>
      </c>
      <c r="C29">
        <v>0.58230000000000004</v>
      </c>
      <c r="D29">
        <v>94.38</v>
      </c>
      <c r="E29">
        <v>0</v>
      </c>
      <c r="F29">
        <v>0.13300000000000001</v>
      </c>
      <c r="G29">
        <v>0.53800000000000003</v>
      </c>
      <c r="H29">
        <v>0.45500000000000002</v>
      </c>
      <c r="I29">
        <v>0</v>
      </c>
      <c r="J29">
        <v>0</v>
      </c>
      <c r="K29">
        <v>0</v>
      </c>
    </row>
    <row r="30" spans="1:11" x14ac:dyDescent="0.2">
      <c r="A30" t="s">
        <v>78</v>
      </c>
      <c r="B30">
        <v>0.51759999999999995</v>
      </c>
      <c r="C30">
        <v>0.57310000000000005</v>
      </c>
      <c r="D30">
        <v>94.95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0.41199999999999998</v>
      </c>
    </row>
    <row r="31" spans="1:11" x14ac:dyDescent="0.2">
      <c r="A31" t="s">
        <v>76</v>
      </c>
      <c r="B31">
        <v>0.45979999999999999</v>
      </c>
      <c r="C31">
        <v>0.5091</v>
      </c>
      <c r="D31">
        <v>95.46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0.17599999999999999</v>
      </c>
    </row>
    <row r="32" spans="1:11" x14ac:dyDescent="0.2">
      <c r="A32" t="s">
        <v>60</v>
      </c>
      <c r="B32">
        <v>0.44579999999999997</v>
      </c>
      <c r="C32">
        <v>0.49359999999999998</v>
      </c>
      <c r="D32">
        <v>95.95</v>
      </c>
      <c r="E32">
        <v>0</v>
      </c>
      <c r="F32">
        <v>0</v>
      </c>
      <c r="G32">
        <v>0.23100000000000001</v>
      </c>
      <c r="H32">
        <v>0</v>
      </c>
      <c r="I32">
        <v>0</v>
      </c>
      <c r="J32">
        <v>8.3299999999999999E-2</v>
      </c>
      <c r="K32">
        <v>0</v>
      </c>
    </row>
    <row r="33" spans="1:11" x14ac:dyDescent="0.2">
      <c r="A33" t="s">
        <v>27</v>
      </c>
      <c r="B33">
        <v>0.44230000000000003</v>
      </c>
      <c r="C33">
        <v>0.48980000000000001</v>
      </c>
      <c r="D33">
        <v>96.44</v>
      </c>
      <c r="E33">
        <v>0</v>
      </c>
      <c r="F33">
        <v>0.2</v>
      </c>
      <c r="G33">
        <v>7.6899999999999996E-2</v>
      </c>
      <c r="H33">
        <v>0</v>
      </c>
      <c r="I33">
        <v>0</v>
      </c>
      <c r="J33">
        <v>8.3299999999999999E-2</v>
      </c>
      <c r="K33">
        <v>0</v>
      </c>
    </row>
    <row r="34" spans="1:11" x14ac:dyDescent="0.2">
      <c r="A34" t="s">
        <v>77</v>
      </c>
      <c r="B34">
        <v>0.41</v>
      </c>
      <c r="C34">
        <v>0.45400000000000001</v>
      </c>
      <c r="D34">
        <v>96.9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0.29399999999999998</v>
      </c>
    </row>
    <row r="35" spans="1:11" x14ac:dyDescent="0.2">
      <c r="A35" t="s">
        <v>35</v>
      </c>
      <c r="B35">
        <v>0.33069999999999999</v>
      </c>
      <c r="C35">
        <v>0.36620000000000003</v>
      </c>
      <c r="D35">
        <v>97.26</v>
      </c>
      <c r="E35">
        <v>0</v>
      </c>
      <c r="F35">
        <v>0.13300000000000001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 x14ac:dyDescent="0.2">
      <c r="A36" t="s">
        <v>5</v>
      </c>
      <c r="B36">
        <v>0.31059999999999999</v>
      </c>
      <c r="C36">
        <v>0.34389999999999998</v>
      </c>
      <c r="D36">
        <v>97.61</v>
      </c>
      <c r="E36">
        <v>0.125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 x14ac:dyDescent="0.2">
      <c r="A37" t="s">
        <v>44</v>
      </c>
      <c r="B37">
        <v>0.29849999999999999</v>
      </c>
      <c r="C37">
        <v>0.33050000000000002</v>
      </c>
      <c r="D37">
        <v>97.94</v>
      </c>
      <c r="E37">
        <v>0</v>
      </c>
      <c r="F37">
        <v>0.13300000000000001</v>
      </c>
      <c r="G37">
        <v>0</v>
      </c>
      <c r="H37">
        <v>0</v>
      </c>
      <c r="I37">
        <v>0</v>
      </c>
      <c r="J37">
        <v>8.3299999999999999E-2</v>
      </c>
      <c r="K37">
        <v>0</v>
      </c>
    </row>
    <row r="38" spans="1:11" x14ac:dyDescent="0.2">
      <c r="A38" t="s">
        <v>63</v>
      </c>
      <c r="B38">
        <v>0.27439999999999998</v>
      </c>
      <c r="C38">
        <v>0.3039</v>
      </c>
      <c r="D38">
        <v>98.24</v>
      </c>
      <c r="E38">
        <v>0</v>
      </c>
      <c r="F38">
        <v>0</v>
      </c>
      <c r="G38">
        <v>0.154</v>
      </c>
      <c r="H38">
        <v>0</v>
      </c>
      <c r="I38">
        <v>0</v>
      </c>
      <c r="J38">
        <v>0</v>
      </c>
      <c r="K38">
        <v>0</v>
      </c>
    </row>
    <row r="39" spans="1:11" x14ac:dyDescent="0.2">
      <c r="A39" t="s">
        <v>72</v>
      </c>
      <c r="B39">
        <v>0.16320000000000001</v>
      </c>
      <c r="C39">
        <v>0.1807</v>
      </c>
      <c r="D39">
        <v>98.42</v>
      </c>
      <c r="E39">
        <v>0</v>
      </c>
      <c r="F39">
        <v>0</v>
      </c>
      <c r="G39">
        <v>0</v>
      </c>
      <c r="H39">
        <v>0</v>
      </c>
      <c r="I39">
        <v>0</v>
      </c>
      <c r="J39">
        <v>0.16700000000000001</v>
      </c>
      <c r="K39">
        <v>0</v>
      </c>
    </row>
    <row r="40" spans="1:11" x14ac:dyDescent="0.2">
      <c r="A40" t="s">
        <v>74</v>
      </c>
      <c r="B40">
        <v>0.16320000000000001</v>
      </c>
      <c r="C40">
        <v>0.1807</v>
      </c>
      <c r="D40">
        <v>98.6</v>
      </c>
      <c r="E40">
        <v>0</v>
      </c>
      <c r="F40">
        <v>0</v>
      </c>
      <c r="G40">
        <v>0</v>
      </c>
      <c r="H40">
        <v>0</v>
      </c>
      <c r="I40">
        <v>0</v>
      </c>
      <c r="J40">
        <v>0.16700000000000001</v>
      </c>
      <c r="K40">
        <v>0</v>
      </c>
    </row>
    <row r="41" spans="1:11" x14ac:dyDescent="0.2">
      <c r="A41" t="s">
        <v>61</v>
      </c>
      <c r="B41">
        <v>0.15809999999999999</v>
      </c>
      <c r="C41">
        <v>0.17510000000000001</v>
      </c>
      <c r="D41">
        <v>98.78</v>
      </c>
      <c r="E41">
        <v>0</v>
      </c>
      <c r="F41">
        <v>0</v>
      </c>
      <c r="G41">
        <v>7.6899999999999996E-2</v>
      </c>
      <c r="H41">
        <v>9.0899999999999995E-2</v>
      </c>
      <c r="I41">
        <v>0</v>
      </c>
      <c r="J41">
        <v>0</v>
      </c>
      <c r="K41">
        <v>0</v>
      </c>
    </row>
    <row r="42" spans="1:11" x14ac:dyDescent="0.2">
      <c r="A42" t="s">
        <v>70</v>
      </c>
      <c r="B42">
        <v>0.14940000000000001</v>
      </c>
      <c r="C42">
        <v>0.16550000000000001</v>
      </c>
      <c r="D42">
        <v>98.94</v>
      </c>
      <c r="E42">
        <v>0</v>
      </c>
      <c r="F42">
        <v>0</v>
      </c>
      <c r="G42">
        <v>0</v>
      </c>
      <c r="H42">
        <v>0</v>
      </c>
      <c r="I42">
        <v>0</v>
      </c>
      <c r="J42">
        <v>8.3299999999999999E-2</v>
      </c>
      <c r="K42">
        <v>0</v>
      </c>
    </row>
    <row r="43" spans="1:11" x14ac:dyDescent="0.2">
      <c r="A43" t="s">
        <v>65</v>
      </c>
      <c r="B43">
        <v>0.14360000000000001</v>
      </c>
      <c r="C43">
        <v>0.159</v>
      </c>
      <c r="D43">
        <v>99.1</v>
      </c>
      <c r="E43">
        <v>0</v>
      </c>
      <c r="F43">
        <v>0</v>
      </c>
      <c r="G43">
        <v>7.6899999999999996E-2</v>
      </c>
      <c r="H43">
        <v>9.0899999999999995E-2</v>
      </c>
      <c r="I43">
        <v>0</v>
      </c>
      <c r="J43">
        <v>8.3299999999999999E-2</v>
      </c>
      <c r="K43">
        <v>5.8799999999999998E-2</v>
      </c>
    </row>
    <row r="44" spans="1:11" x14ac:dyDescent="0.2">
      <c r="A44" t="s">
        <v>62</v>
      </c>
      <c r="B44">
        <v>0.14360000000000001</v>
      </c>
      <c r="C44">
        <v>0.159</v>
      </c>
      <c r="D44">
        <v>99.26</v>
      </c>
      <c r="E44">
        <v>0</v>
      </c>
      <c r="F44">
        <v>0</v>
      </c>
      <c r="G44">
        <v>7.6899999999999996E-2</v>
      </c>
      <c r="H44">
        <v>9.0899999999999995E-2</v>
      </c>
      <c r="I44">
        <v>0</v>
      </c>
      <c r="J44">
        <v>8.3299999999999999E-2</v>
      </c>
      <c r="K44">
        <v>5.8799999999999998E-2</v>
      </c>
    </row>
    <row r="45" spans="1:11" x14ac:dyDescent="0.2">
      <c r="A45" t="s">
        <v>68</v>
      </c>
      <c r="B45">
        <v>0.12570000000000001</v>
      </c>
      <c r="C45">
        <v>0.13919999999999999</v>
      </c>
      <c r="D45">
        <v>99.4</v>
      </c>
      <c r="E45">
        <v>0</v>
      </c>
      <c r="F45">
        <v>0</v>
      </c>
      <c r="G45">
        <v>0</v>
      </c>
      <c r="H45">
        <v>9.0899999999999995E-2</v>
      </c>
      <c r="I45">
        <v>0</v>
      </c>
      <c r="J45">
        <v>0</v>
      </c>
      <c r="K45">
        <v>0</v>
      </c>
    </row>
    <row r="46" spans="1:11" x14ac:dyDescent="0.2">
      <c r="A46" t="s">
        <v>55</v>
      </c>
      <c r="B46">
        <v>0.11609999999999999</v>
      </c>
      <c r="C46">
        <v>0.12859999999999999</v>
      </c>
      <c r="D46">
        <v>99.53</v>
      </c>
      <c r="E46">
        <v>0</v>
      </c>
      <c r="F46">
        <v>0</v>
      </c>
      <c r="G46">
        <v>7.6899999999999996E-2</v>
      </c>
      <c r="H46">
        <v>0</v>
      </c>
      <c r="I46">
        <v>0</v>
      </c>
      <c r="J46">
        <v>0</v>
      </c>
      <c r="K46">
        <v>5.8799999999999998E-2</v>
      </c>
    </row>
    <row r="47" spans="1:11" x14ac:dyDescent="0.2">
      <c r="A47" t="s">
        <v>58</v>
      </c>
      <c r="B47">
        <v>0.1087</v>
      </c>
      <c r="C47">
        <v>0.12039999999999999</v>
      </c>
      <c r="D47">
        <v>99.65</v>
      </c>
      <c r="E47">
        <v>0</v>
      </c>
      <c r="F47">
        <v>0</v>
      </c>
      <c r="G47">
        <v>7.6899999999999996E-2</v>
      </c>
      <c r="H47">
        <v>0</v>
      </c>
      <c r="I47">
        <v>0</v>
      </c>
      <c r="J47">
        <v>0</v>
      </c>
      <c r="K47">
        <v>0</v>
      </c>
    </row>
    <row r="48" spans="1:11" x14ac:dyDescent="0.2">
      <c r="A48" t="s">
        <v>56</v>
      </c>
      <c r="B48">
        <v>9.7909999999999997E-2</v>
      </c>
      <c r="C48">
        <v>0.1084</v>
      </c>
      <c r="D48">
        <v>99.76</v>
      </c>
      <c r="E48">
        <v>0</v>
      </c>
      <c r="F48">
        <v>0</v>
      </c>
      <c r="G48">
        <v>7.6899999999999996E-2</v>
      </c>
      <c r="H48">
        <v>9.0899999999999995E-2</v>
      </c>
      <c r="I48">
        <v>0</v>
      </c>
      <c r="J48">
        <v>0</v>
      </c>
      <c r="K48">
        <v>0</v>
      </c>
    </row>
    <row r="49" spans="1:11" x14ac:dyDescent="0.2">
      <c r="A49" t="s">
        <v>79</v>
      </c>
      <c r="B49">
        <v>8.3089999999999997E-2</v>
      </c>
      <c r="C49">
        <v>9.2009999999999995E-2</v>
      </c>
      <c r="D49">
        <v>99.85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5.8799999999999998E-2</v>
      </c>
    </row>
    <row r="50" spans="1:11" x14ac:dyDescent="0.2">
      <c r="A50" t="s">
        <v>42</v>
      </c>
      <c r="B50">
        <v>8.0860000000000001E-2</v>
      </c>
      <c r="C50">
        <v>8.9539999999999995E-2</v>
      </c>
      <c r="D50">
        <v>99.94</v>
      </c>
      <c r="E50">
        <v>0</v>
      </c>
      <c r="F50">
        <v>6.6699999999999995E-2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 x14ac:dyDescent="0.2">
      <c r="A51" t="s">
        <v>28</v>
      </c>
      <c r="B51">
        <v>5.457E-2</v>
      </c>
      <c r="C51">
        <v>6.0429999999999998E-2</v>
      </c>
      <c r="D51">
        <v>100</v>
      </c>
      <c r="E51">
        <v>0</v>
      </c>
      <c r="F51">
        <v>6.6699999999999995E-2</v>
      </c>
      <c r="G51">
        <v>0</v>
      </c>
      <c r="H51">
        <v>0</v>
      </c>
      <c r="I51">
        <v>0</v>
      </c>
      <c r="J51">
        <v>0</v>
      </c>
      <c r="K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Dinamica</vt:lpstr>
      <vt:lpstr>P.Palmeri_2023</vt:lpstr>
      <vt:lpstr>Hoja3</vt:lpstr>
      <vt:lpstr>BD2017-2023</vt:lpstr>
      <vt:lpstr>Variables</vt:lpstr>
      <vt:lpstr>Composición</vt:lpstr>
      <vt:lpstr>Permanova 2 vias</vt:lpstr>
      <vt:lpstr>Simper Sectores</vt:lpstr>
      <vt:lpstr>Simper Años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Valenzuela, Leonor</dc:creator>
  <cp:lastModifiedBy>John Sebastian Ovalle Talaga</cp:lastModifiedBy>
  <dcterms:created xsi:type="dcterms:W3CDTF">2024-08-05T19:21:18Z</dcterms:created>
  <dcterms:modified xsi:type="dcterms:W3CDTF">2025-11-13T21:12:16Z</dcterms:modified>
</cp:coreProperties>
</file>