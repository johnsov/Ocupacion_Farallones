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v/Downloads/"/>
    </mc:Choice>
  </mc:AlternateContent>
  <xr:revisionPtr revIDLastSave="0" documentId="13_ncr:1_{5B99AF1E-DC46-2F4B-A7CB-A1BC64C2C676}" xr6:coauthVersionLast="47" xr6:coauthVersionMax="47" xr10:uidLastSave="{00000000-0000-0000-0000-000000000000}"/>
  <bookViews>
    <workbookView xWindow="0" yWindow="500" windowWidth="24520" windowHeight="19100" activeTab="1" xr2:uid="{979F82EF-2567-2E44-8C57-2B58A0A4F410}"/>
  </bookViews>
  <sheets>
    <sheet name="BD" sheetId="1" r:id="rId1"/>
    <sheet name="Dinamica" sheetId="2" r:id="rId2"/>
  </sheets>
  <definedNames>
    <definedName name="_xlnm._FilterDatabase" localSheetId="0" hidden="1">BD!$A$1:$AB$1589</definedName>
  </definedNames>
  <calcPr calcId="191029"/>
  <pivotCaches>
    <pivotCache cacheId="9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6" i="1" l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</calcChain>
</file>

<file path=xl/sharedStrings.xml><?xml version="1.0" encoding="utf-8"?>
<sst xmlns="http://schemas.openxmlformats.org/spreadsheetml/2006/main" count="15436" uniqueCount="1157">
  <si>
    <t>Fecha de incio del muestreo</t>
  </si>
  <si>
    <t xml:space="preserve">Fecha de finalizaci√≥n del Muestreo </t>
  </si>
  <si>
    <t>Lider del Muestreo</t>
  </si>
  <si>
    <t>Hora de la Coordenada</t>
  </si>
  <si>
    <t>X</t>
  </si>
  <si>
    <t>Y</t>
  </si>
  <si>
    <t>Muestreo|A. Altitud (m.s.n.m)</t>
  </si>
  <si>
    <t>Muestreo|Ancho de quebrada (m)</t>
  </si>
  <si>
    <t>Muestreo|A√±o</t>
  </si>
  <si>
    <t>Muestreo|B. Altura de dosel (m)</t>
  </si>
  <si>
    <t>Muestreo|Pendiente (grados)</t>
  </si>
  <si>
    <t>Muestreo|Presencia cuerpos de agua</t>
  </si>
  <si>
    <t>Muestreo|Sectores</t>
  </si>
  <si>
    <t>Muestreo|Se pudo realizar el transecto</t>
  </si>
  <si>
    <t>Muestreo|Transectos</t>
  </si>
  <si>
    <t>Muestreo|Unidad muestreo</t>
  </si>
  <si>
    <t>Clima</t>
  </si>
  <si>
    <t>Cobertura vegetal</t>
  </si>
  <si>
    <t>Colector</t>
  </si>
  <si>
    <t>Estrato</t>
  </si>
  <si>
    <t>Nombre cientifico</t>
  </si>
  <si>
    <t>Numero de individuos</t>
  </si>
  <si>
    <t>Observaciones</t>
  </si>
  <si>
    <t>Otras especies</t>
  </si>
  <si>
    <t>Otras presiones</t>
  </si>
  <si>
    <t>Presiones</t>
  </si>
  <si>
    <t>Sexo</t>
  </si>
  <si>
    <t>Tipo de registro</t>
  </si>
  <si>
    <t>Maria Camila Freyre Guaspud</t>
  </si>
  <si>
    <t>9:13:17 a. m.</t>
  </si>
  <si>
    <t>Anchicaya</t>
  </si>
  <si>
    <t>Completamente</t>
  </si>
  <si>
    <t>T1</t>
  </si>
  <si>
    <t>Riqueza</t>
  </si>
  <si>
    <t>Despejado</t>
  </si>
  <si>
    <t>Bosque secundario</t>
  </si>
  <si>
    <t>Ninguna</t>
  </si>
  <si>
    <t>9:27:21 a. m.</t>
  </si>
  <si>
    <t>T2</t>
  </si>
  <si>
    <t>9:49:05 a. m.</t>
  </si>
  <si>
    <t>T3</t>
  </si>
  <si>
    <t>John Sebastian Ovalle Talaga</t>
  </si>
  <si>
    <t>Rasante &lt;0.3 m</t>
  </si>
  <si>
    <t>Oophaga lehmanni</t>
  </si>
  <si>
    <t>Indeterminado</t>
  </si>
  <si>
    <t>Visual</t>
  </si>
  <si>
    <t>10:12:48 a. m.</t>
  </si>
  <si>
    <t>T4</t>
  </si>
  <si>
    <t>Cristian David Benavides Tello</t>
  </si>
  <si>
    <t>Juvenil</t>
  </si>
  <si>
    <t>Vias</t>
  </si>
  <si>
    <t>9:51:41 a. m.</t>
  </si>
  <si>
    <t>Carretera Qdas</t>
  </si>
  <si>
    <t>Bosque ribere√±o</t>
  </si>
  <si>
    <t>Herbaceo 0.3-1.5 m</t>
  </si>
  <si>
    <t>Silverstoneia nubicola</t>
  </si>
  <si>
    <t>Camila</t>
  </si>
  <si>
    <t>10:18:17 a. m.</t>
  </si>
  <si>
    <t>T5</t>
  </si>
  <si>
    <t>10:40:15 a. m.</t>
  </si>
  <si>
    <t>11:26:29 a. m.</t>
  </si>
  <si>
    <t>11:58:52 a. m.</t>
  </si>
  <si>
    <t>Se abri√≥ el camino y por ende no se encontr√≥ nada</t>
  </si>
  <si>
    <t>6:48:10 p. m.</t>
  </si>
  <si>
    <t>Nublado</t>
  </si>
  <si>
    <t>Macho</t>
  </si>
  <si>
    <t>Auditivo</t>
  </si>
  <si>
    <t>6:45:00 p. m.</t>
  </si>
  <si>
    <t>Centrolene savagei</t>
  </si>
  <si>
    <t xml:space="preserve">Se encuentra muy delgada </t>
  </si>
  <si>
    <t>6:42:36 p. m.</t>
  </si>
  <si>
    <t>Pristimantis achatinus</t>
  </si>
  <si>
    <t>6:25:48 p. m.</t>
  </si>
  <si>
    <t>7:26:28 p. m.</t>
  </si>
  <si>
    <t>Parcialmente nublado</t>
  </si>
  <si>
    <t>Hyalinobatrachium aureoguttatum</t>
  </si>
  <si>
    <t>7:24:25 p. m.</t>
  </si>
  <si>
    <t>7:20:39 p. m.</t>
  </si>
  <si>
    <t>7:44:54 p. m.</t>
  </si>
  <si>
    <t>Pristimantis orpacobates</t>
  </si>
  <si>
    <t>8:21:32 p. m.</t>
  </si>
  <si>
    <t xml:space="preserve">Camila </t>
  </si>
  <si>
    <t>8:12:33 p. m.</t>
  </si>
  <si>
    <t>8:11:35 p. m.</t>
  </si>
  <si>
    <t>Craugastor raniformis</t>
  </si>
  <si>
    <t>9:03:22 p. m.</t>
  </si>
  <si>
    <t>Llovizna</t>
  </si>
  <si>
    <t>9:24:11 p. m.</t>
  </si>
  <si>
    <t>Pristimantis molybrignus</t>
  </si>
  <si>
    <t xml:space="preserve">Revisar fotograf√≠as Camila celular </t>
  </si>
  <si>
    <t>10:06:59 p. m.</t>
  </si>
  <si>
    <t>Arbustivo 1.5-5 m</t>
  </si>
  <si>
    <t>Hyloscirtus palmeri</t>
  </si>
  <si>
    <t>Camial</t>
  </si>
  <si>
    <t>10:00:46 p. m.</t>
  </si>
  <si>
    <t>9:50:57 p. m.</t>
  </si>
  <si>
    <t>10:21:46 p. m.</t>
  </si>
  <si>
    <t>9:24:10 a. m.</t>
  </si>
  <si>
    <t>La Loca</t>
  </si>
  <si>
    <t>9:21:20 a. m.</t>
  </si>
  <si>
    <t>9:14:56 a. m.</t>
  </si>
  <si>
    <t>9:11:47 a. m.</t>
  </si>
  <si>
    <t>9:39:34 a. m.</t>
  </si>
  <si>
    <t>10:11:10 a. m.</t>
  </si>
  <si>
    <t>10:05:04 a. m.</t>
  </si>
  <si>
    <t>Bosque ripario</t>
  </si>
  <si>
    <t>9:48:13 a. m.</t>
  </si>
  <si>
    <t>10:31:45 a. m.</t>
  </si>
  <si>
    <t>Parcialmente</t>
  </si>
  <si>
    <t>7:12:39 p. m.</t>
  </si>
  <si>
    <t>9:24:44 a. m.</t>
  </si>
  <si>
    <t>Represa Alto</t>
  </si>
  <si>
    <t>Rhaebo haematiticus</t>
  </si>
  <si>
    <t>9:52:26 a. m.</t>
  </si>
  <si>
    <t>9:50:30 a. m.</t>
  </si>
  <si>
    <t>9:49:43 a. m.</t>
  </si>
  <si>
    <t>Craugastor longirostris</t>
  </si>
  <si>
    <t>10:26:30 a. m.</t>
  </si>
  <si>
    <t>No se pudo realizar</t>
  </si>
  <si>
    <t>Murrapal Represa</t>
  </si>
  <si>
    <t>10:44:49 a. m.</t>
  </si>
  <si>
    <t>10:37:14 a. m.</t>
  </si>
  <si>
    <t>10:35:25 a. m.</t>
  </si>
  <si>
    <t>3.550748333333333</t>
  </si>
  <si>
    <t>11:02:24 a. m.</t>
  </si>
  <si>
    <t>3.5505716666666665</t>
  </si>
  <si>
    <t>11:00:40 a. m.</t>
  </si>
  <si>
    <t>3.5506716666666667</t>
  </si>
  <si>
    <t>11:14:17 a. m.</t>
  </si>
  <si>
    <t>3.5525833333333328</t>
  </si>
  <si>
    <t>Murrapal</t>
  </si>
  <si>
    <t>11:52:29 a. m.</t>
  </si>
  <si>
    <t>3.552843333333333</t>
  </si>
  <si>
    <t>11:45:05 a. m.</t>
  </si>
  <si>
    <t>11:36:57 a. m.</t>
  </si>
  <si>
    <t>3.552926666666666</t>
  </si>
  <si>
    <t>Construcci√≥n de canal</t>
  </si>
  <si>
    <t>Otra</t>
  </si>
  <si>
    <t>7:51:01 p. m.</t>
  </si>
  <si>
    <t>3.5433399999999997</t>
  </si>
  <si>
    <t xml:space="preserve">Sachatamia orejuela </t>
  </si>
  <si>
    <t>7:42:49 p. m.</t>
  </si>
  <si>
    <t>3.543253333333333</t>
  </si>
  <si>
    <t>Oscar Fernando Quinonez Moreno</t>
  </si>
  <si>
    <t>7:33:06 p. m.</t>
  </si>
  <si>
    <t>3.5435266666666667</t>
  </si>
  <si>
    <t>7:31:38 p. m.</t>
  </si>
  <si>
    <t>3.543586666666667</t>
  </si>
  <si>
    <t>7:29:33 p. m.</t>
  </si>
  <si>
    <t>3.5436866666666664</t>
  </si>
  <si>
    <t>7:20:02 p. m.</t>
  </si>
  <si>
    <t>3.543851666666667</t>
  </si>
  <si>
    <t>7:18:13 p. m.</t>
  </si>
  <si>
    <t>3.5438883333333338</t>
  </si>
  <si>
    <t>Auditivo, Visual</t>
  </si>
  <si>
    <t>7:17:18 p. m.</t>
  </si>
  <si>
    <t>3.543861666666667</t>
  </si>
  <si>
    <t>7:02:52 p. m.</t>
  </si>
  <si>
    <t>3.5438566666666667</t>
  </si>
  <si>
    <t>En amplexo, cantando y con huevos</t>
  </si>
  <si>
    <t>Hembra</t>
  </si>
  <si>
    <t>8:12:59 p. m.</t>
  </si>
  <si>
    <t>3.5432050000000004</t>
  </si>
  <si>
    <t>8:39:43 p. m.</t>
  </si>
  <si>
    <t>3.550768333333334</t>
  </si>
  <si>
    <t>9:22:30 p. m.</t>
  </si>
  <si>
    <t>3.550688333333333</t>
  </si>
  <si>
    <t>9:21:34 p. m.</t>
  </si>
  <si>
    <t>3.5507583333333335</t>
  </si>
  <si>
    <t>Amplexo camilo</t>
  </si>
  <si>
    <t>9:17:28 p. m.</t>
  </si>
  <si>
    <t>3.550698333333333</t>
  </si>
  <si>
    <t>9:15:35 p. m.</t>
  </si>
  <si>
    <t>3.5507083333333336</t>
  </si>
  <si>
    <t>9:14:42 p. m.</t>
  </si>
  <si>
    <t>3.5507983333333337</t>
  </si>
  <si>
    <t>9:08:45 p. m.</t>
  </si>
  <si>
    <t>3.5508250000000006</t>
  </si>
  <si>
    <t>Espadarana prosoblepon</t>
  </si>
  <si>
    <t>9:03:34 p. m.</t>
  </si>
  <si>
    <t>3.550746666666667</t>
  </si>
  <si>
    <t>9:02:42 p. m.</t>
  </si>
  <si>
    <t>3.5507766666666667</t>
  </si>
  <si>
    <t>9:39:42 p. m.</t>
  </si>
  <si>
    <t>3.5506849999999996</t>
  </si>
  <si>
    <t>9:32:49 p. m.</t>
  </si>
  <si>
    <t>3.5503216666666666</t>
  </si>
  <si>
    <t xml:space="preserve">Camila juvenil </t>
  </si>
  <si>
    <t>9:31:56 p. m.</t>
  </si>
  <si>
    <t>3.5503066666666663</t>
  </si>
  <si>
    <t>10:08:41 p. m.</t>
  </si>
  <si>
    <t>10:04:32 p. m.</t>
  </si>
  <si>
    <t>3.5525716666666662</t>
  </si>
  <si>
    <t>10:03:47 p. m.</t>
  </si>
  <si>
    <t>10:01:54 p. m.</t>
  </si>
  <si>
    <t>9:54:24 p. m.</t>
  </si>
  <si>
    <t>3.5525283333333335</t>
  </si>
  <si>
    <t>10:42:43 p. m.</t>
  </si>
  <si>
    <t>3.5527299999999995</t>
  </si>
  <si>
    <t>10:40:05 p. m.</t>
  </si>
  <si>
    <t>3.5526150000000003</t>
  </si>
  <si>
    <t>Construcci√≥n del canal</t>
  </si>
  <si>
    <t>10:37:37 p. m.</t>
  </si>
  <si>
    <t>10:15:03 p. m.</t>
  </si>
  <si>
    <t>3.552598333333333</t>
  </si>
  <si>
    <t>Agalychnis spurrelli</t>
  </si>
  <si>
    <t>10:13:49 p. m.</t>
  </si>
  <si>
    <t>3.5525749999999996</t>
  </si>
  <si>
    <t>Boana picturata</t>
  </si>
  <si>
    <t>10:58:18 p. m.</t>
  </si>
  <si>
    <t>3.5524100000000005</t>
  </si>
  <si>
    <t>11:14:30 p. m.</t>
  </si>
  <si>
    <t>3.552693333333334</t>
  </si>
  <si>
    <t>11:10:27 p. m.</t>
  </si>
  <si>
    <t>3.552651666666667</t>
  </si>
  <si>
    <t>7:58:36 p. m.</t>
  </si>
  <si>
    <t>3.5772033333333333</t>
  </si>
  <si>
    <t>Diasporus gularis</t>
  </si>
  <si>
    <t>Camila revisar</t>
  </si>
  <si>
    <t>7:47:24 p. m.</t>
  </si>
  <si>
    <t>3.577318333333333</t>
  </si>
  <si>
    <t xml:space="preserve">Pristimantis sp revisar fotos despu√©s bolitoglosa Nikon Sebas </t>
  </si>
  <si>
    <t>7:35:55 p. m.</t>
  </si>
  <si>
    <t>3.5771149999999996</t>
  </si>
  <si>
    <t>Bolitoglossa biseriata</t>
  </si>
  <si>
    <t>9:43:04 p. m.</t>
  </si>
  <si>
    <t>Pristimantis afrox</t>
  </si>
  <si>
    <t>Pristimantis aff afrox</t>
  </si>
  <si>
    <t>9:35:33 p. m.</t>
  </si>
  <si>
    <t>3.579258333333333</t>
  </si>
  <si>
    <t>8:40:28 p. m.</t>
  </si>
  <si>
    <t>3.578213333333333</t>
  </si>
  <si>
    <t>Pristimantis platychilus</t>
  </si>
  <si>
    <t>Pristimantis revisar foto camila aff</t>
  </si>
  <si>
    <t>8:31:43 p. m.</t>
  </si>
  <si>
    <t>3.5779866666666664</t>
  </si>
  <si>
    <t>8:27:30 p. m.</t>
  </si>
  <si>
    <t>3.5778283333333327</t>
  </si>
  <si>
    <t>Pristimantis palmeri</t>
  </si>
  <si>
    <t>9:15:54 p. m.</t>
  </si>
  <si>
    <t>3.5786249999999997</t>
  </si>
  <si>
    <t>9:08:58 p. m.</t>
  </si>
  <si>
    <t>9:07:09 p. m.</t>
  </si>
  <si>
    <t>3.5784999999999996</t>
  </si>
  <si>
    <t>Gustavo Adolfo Rodr√≠guez</t>
  </si>
  <si>
    <t>1:08:30 a. m.</t>
  </si>
  <si>
    <t>3.484116666666667</t>
  </si>
  <si>
    <t>Tokio</t>
  </si>
  <si>
    <t>Camino Antenas</t>
  </si>
  <si>
    <t xml:space="preserve">Kevin L√≥pez </t>
  </si>
  <si>
    <t>12:57:36 a. m.</t>
  </si>
  <si>
    <t>3.4835866666666666</t>
  </si>
  <si>
    <t>Pristimantis erythropleura</t>
  </si>
  <si>
    <t>1:24:58 a. m.</t>
  </si>
  <si>
    <t>3.4841116666666663</t>
  </si>
  <si>
    <t xml:space="preserve">Mar√≠a Camila Freyre </t>
  </si>
  <si>
    <t>1:22:28 a. m.</t>
  </si>
  <si>
    <t>3.4842899999999997</t>
  </si>
  <si>
    <t>Arbustal</t>
  </si>
  <si>
    <t>Ganaderia</t>
  </si>
  <si>
    <t>1:19:05 a. m.</t>
  </si>
  <si>
    <t>3.4847483333333336</t>
  </si>
  <si>
    <t>1:43:42 a. m.</t>
  </si>
  <si>
    <t>3.4848133333333333</t>
  </si>
  <si>
    <t>1:39:25 a. m.</t>
  </si>
  <si>
    <t>3.4845483333333336</t>
  </si>
  <si>
    <t>1:38:16 a. m.</t>
  </si>
  <si>
    <t>3.4845116666666662</t>
  </si>
  <si>
    <t>1:35:57 a. m.</t>
  </si>
  <si>
    <t>3.484493333333333</t>
  </si>
  <si>
    <t>Hypodactylus mantipus</t>
  </si>
  <si>
    <t>6:31:54 p. m.</t>
  </si>
  <si>
    <t>Qda Frente Tokio Parte Alta</t>
  </si>
  <si>
    <t>Potrero</t>
  </si>
  <si>
    <t>Dendropsophus columbianus</t>
  </si>
  <si>
    <t>Kevin Lopez</t>
  </si>
  <si>
    <t>11:01:20 p. m.</t>
  </si>
  <si>
    <t>Procesos de remocion en masa</t>
  </si>
  <si>
    <t>12:15:44 a. m.</t>
  </si>
  <si>
    <t>3.480318333333333</t>
  </si>
  <si>
    <t>Antenas</t>
  </si>
  <si>
    <t>Gustavo Adolfo Rodriguez</t>
  </si>
  <si>
    <t>12:48:13 a. m.</t>
  </si>
  <si>
    <t>3.4830916666666667</t>
  </si>
  <si>
    <t>12:43:06 a. m.</t>
  </si>
  <si>
    <t>3.4827850000000002</t>
  </si>
  <si>
    <t xml:space="preserve">Amplexo Kevin L√≥pez </t>
  </si>
  <si>
    <t>12:39:21 a. m.</t>
  </si>
  <si>
    <t>3.4827250000000003</t>
  </si>
  <si>
    <t xml:space="preserve">Mar√≠a Camila Freyre  Kevin L√≥pez </t>
  </si>
  <si>
    <t>7:30:28 p. m.</t>
  </si>
  <si>
    <t>9:12:20 p. m.</t>
  </si>
  <si>
    <t>3.485243333333333</t>
  </si>
  <si>
    <t>Pristimantis gracilis</t>
  </si>
  <si>
    <t>8:50:42 p. m.</t>
  </si>
  <si>
    <t>3.4850833333333338</t>
  </si>
  <si>
    <t>Pristimantis alius</t>
  </si>
  <si>
    <t>8:20:30 p. m.</t>
  </si>
  <si>
    <t>8:14:08 p. m.</t>
  </si>
  <si>
    <t>3.485388333333333</t>
  </si>
  <si>
    <t xml:space="preserve">Revisar (colectada) W cabeza  Foto Kevin 0568   Mar√≠a Camila Freyre </t>
  </si>
  <si>
    <t>7:59:39 p. m.</t>
  </si>
  <si>
    <t>3.4853216666666667</t>
  </si>
  <si>
    <t>7:56:13 p. m.</t>
  </si>
  <si>
    <t>3.485476666666667</t>
  </si>
  <si>
    <t>7:48:10 p. m.</t>
  </si>
  <si>
    <t>3.4855983333333334</t>
  </si>
  <si>
    <t>10:12:38 p. m.</t>
  </si>
  <si>
    <t>3.4777500000000003</t>
  </si>
  <si>
    <t>10:09:26 p. m.</t>
  </si>
  <si>
    <t>3.477731666666667</t>
  </si>
  <si>
    <t>9:56:44 p. m.</t>
  </si>
  <si>
    <t>3.477533333333333</t>
  </si>
  <si>
    <t>Pristimantis silverstonei</t>
  </si>
  <si>
    <t>9:45:06 p. m.</t>
  </si>
  <si>
    <t>3.477421666666667</t>
  </si>
  <si>
    <t>Bolitoglossa walkeri</t>
  </si>
  <si>
    <t>9:35:11 p. m.</t>
  </si>
  <si>
    <t>3.4773316666666667</t>
  </si>
  <si>
    <t xml:space="preserve">Foto Cami ing 1996 Mar√≠a Camila Freyre </t>
  </si>
  <si>
    <t>Pristimantis sp</t>
  </si>
  <si>
    <t>9:26:35 p. m.</t>
  </si>
  <si>
    <t>3.4773950000000005</t>
  </si>
  <si>
    <t>9:13:24 p. m.</t>
  </si>
  <si>
    <t>3.4772616666666663</t>
  </si>
  <si>
    <t>9:11:24 p. m.</t>
  </si>
  <si>
    <t>9:10:06 p. m.</t>
  </si>
  <si>
    <t>12:05:00 a. m.</t>
  </si>
  <si>
    <t>3.4800383333333333</t>
  </si>
  <si>
    <t xml:space="preserve">Kevin L√≥pez Mar√≠a Camila Freyre </t>
  </si>
  <si>
    <t>12:01:46 a. m.</t>
  </si>
  <si>
    <t>3.479921666666667</t>
  </si>
  <si>
    <t>11:53:11 p. m.</t>
  </si>
  <si>
    <t>3.4797116666666663</t>
  </si>
  <si>
    <t>11:48:03 p. m.</t>
  </si>
  <si>
    <t>3.479643333333333</t>
  </si>
  <si>
    <t>11:40:47 p. m.</t>
  </si>
  <si>
    <t>3.4791800000000004</t>
  </si>
  <si>
    <t>12:43:41 a. m.</t>
  </si>
  <si>
    <t>3.503006666666667</t>
  </si>
  <si>
    <t>Kioto</t>
  </si>
  <si>
    <t>Parcialmente nublado luna llena</t>
  </si>
  <si>
    <t>12:33:46 a. m.</t>
  </si>
  <si>
    <t>3.5027383333333337</t>
  </si>
  <si>
    <t>8:57:02 p. m.</t>
  </si>
  <si>
    <t>3.4770466666666664</t>
  </si>
  <si>
    <t>8:50:55 p. m.</t>
  </si>
  <si>
    <t>3.476976666666667</t>
  </si>
  <si>
    <t>8:47:46 p. m.</t>
  </si>
  <si>
    <t>3.4769599999999996</t>
  </si>
  <si>
    <t>3.4768483333333338</t>
  </si>
  <si>
    <t xml:space="preserve">Kevin L√≥pez  Revisar foto Cami Canon </t>
  </si>
  <si>
    <t>Revisar foto Kevin 0453</t>
  </si>
  <si>
    <t>Kevin L√≥pez  Revisar foto Kevin 0456</t>
  </si>
  <si>
    <t>11:19:13 p. m.</t>
  </si>
  <si>
    <t>3.479071666666667</t>
  </si>
  <si>
    <t>11:06:57 p. m.</t>
  </si>
  <si>
    <t>3.4786750000000004</t>
  </si>
  <si>
    <t>10:46:44 p. m.</t>
  </si>
  <si>
    <t>3.478323333333334</t>
  </si>
  <si>
    <t>10:39:53 p. m.</t>
  </si>
  <si>
    <t>3.4782849999999996</t>
  </si>
  <si>
    <t>10:35:41 p. m.</t>
  </si>
  <si>
    <t>3.4782666666666673</t>
  </si>
  <si>
    <t>10:32:38 p. m.</t>
  </si>
  <si>
    <t>3.478146666666667</t>
  </si>
  <si>
    <t>10:31:35 p. m.</t>
  </si>
  <si>
    <t>10:26:37 p. m.</t>
  </si>
  <si>
    <t>3.4781350000000004</t>
  </si>
  <si>
    <t>10:24:58 p. m.</t>
  </si>
  <si>
    <t>3.4780549999999995</t>
  </si>
  <si>
    <t>Pristimantis brevifrons</t>
  </si>
  <si>
    <t>10:19:17 p. m.</t>
  </si>
  <si>
    <t>3.4779850000000003</t>
  </si>
  <si>
    <t>10:18:37 p. m.</t>
  </si>
  <si>
    <t>3.500348333333333</t>
  </si>
  <si>
    <t>Mar√≠a Camila Freyre</t>
  </si>
  <si>
    <t>10:16:57 p. m.</t>
  </si>
  <si>
    <t>3.500331666666667</t>
  </si>
  <si>
    <t>9:54:22 p. m.</t>
  </si>
  <si>
    <t>3.5000566666666666</t>
  </si>
  <si>
    <t>Despejado luna llena</t>
  </si>
  <si>
    <t>8:43:06 p. m.</t>
  </si>
  <si>
    <t>3.4995983333333336</t>
  </si>
  <si>
    <t>8:16:06 p. m.</t>
  </si>
  <si>
    <t>3.4995616666666667</t>
  </si>
  <si>
    <t>Revisar</t>
  </si>
  <si>
    <t>8:04:48 p. m.</t>
  </si>
  <si>
    <t>3.4995483333333333</t>
  </si>
  <si>
    <t>Yimmi Angulo</t>
  </si>
  <si>
    <t xml:space="preserve">Observado por Kevin L√≥pez </t>
  </si>
  <si>
    <t>7:56:59 p. m.</t>
  </si>
  <si>
    <t>Maria Camila Freyre</t>
  </si>
  <si>
    <t>9:40:16 p. m.</t>
  </si>
  <si>
    <t>9:23:29 p. m.</t>
  </si>
  <si>
    <t>3.4995066666666665</t>
  </si>
  <si>
    <t>9:07:44 p. m.</t>
  </si>
  <si>
    <t>3.4993383333333337</t>
  </si>
  <si>
    <t>11:50:58 p. m.</t>
  </si>
  <si>
    <t>3.5025033333333333</t>
  </si>
  <si>
    <t>11:58:30 p. m.</t>
  </si>
  <si>
    <t>3.502243333333333</t>
  </si>
  <si>
    <t>12:44:51 a. m.</t>
  </si>
  <si>
    <t>12:43:26 a. m.</t>
  </si>
  <si>
    <t>3.5431516666666663</t>
  </si>
  <si>
    <t>12:42:40 a. m.</t>
  </si>
  <si>
    <t>3.543171666666667</t>
  </si>
  <si>
    <t>12:21:50 a. m.</t>
  </si>
  <si>
    <t>3.543633333333333</t>
  </si>
  <si>
    <t xml:space="preserve">Yuliana ocampo </t>
  </si>
  <si>
    <t>11:29:22 a. m.</t>
  </si>
  <si>
    <t>3.579931666666667</t>
  </si>
  <si>
    <t>Bosque primario</t>
  </si>
  <si>
    <t>12:12:55 p. m.</t>
  </si>
  <si>
    <t>3.5781633333333334</t>
  </si>
  <si>
    <t xml:space="preserve">No se logra observar ninguna especie </t>
  </si>
  <si>
    <t>1:22:04 p. m.</t>
  </si>
  <si>
    <t>3.5775783333333333</t>
  </si>
  <si>
    <t>No se logra observar ninguna Especie</t>
  </si>
  <si>
    <t>1:26:41 p. m.</t>
  </si>
  <si>
    <t>3.577348333333333</t>
  </si>
  <si>
    <t>12:08:59 a. m.</t>
  </si>
  <si>
    <t>3.590528333333333</t>
  </si>
  <si>
    <t>9:32:25 a. m.</t>
  </si>
  <si>
    <t>3.5436733333333335</t>
  </si>
  <si>
    <t>Yuliana Ocampo</t>
  </si>
  <si>
    <t>9:18:30 a. m.</t>
  </si>
  <si>
    <t>3.544031666666667</t>
  </si>
  <si>
    <t>Andres De Los Rios Cortes</t>
  </si>
  <si>
    <t>10:14:21 a. m.</t>
  </si>
  <si>
    <t>3.5433216666666674</t>
  </si>
  <si>
    <t xml:space="preserve">No se logro observar ninguna especie </t>
  </si>
  <si>
    <t>11:28:30 a. m.</t>
  </si>
  <si>
    <t>3.5496333333333334</t>
  </si>
  <si>
    <t>No se encontro ninguna especie</t>
  </si>
  <si>
    <t>11:00:09 a. m.</t>
  </si>
  <si>
    <t>3.5505299999999997</t>
  </si>
  <si>
    <t>10:57:46 a. m.</t>
  </si>
  <si>
    <t>3.550683333333333</t>
  </si>
  <si>
    <t>12:37:13 p. m.</t>
  </si>
  <si>
    <t>3.5510483333333336</t>
  </si>
  <si>
    <t>12:22:55 p. m.</t>
  </si>
  <si>
    <t>3.550903333333333</t>
  </si>
  <si>
    <t>12:17:47 p. m.</t>
  </si>
  <si>
    <t>3.5508316666666664</t>
  </si>
  <si>
    <t>12:15:00 p. m.</t>
  </si>
  <si>
    <t>3.5508466666666663</t>
  </si>
  <si>
    <t>12:59:37 p. m.</t>
  </si>
  <si>
    <t>3.550481666666667</t>
  </si>
  <si>
    <t>12:55:23 p. m.</t>
  </si>
  <si>
    <t>3.5503816666666665</t>
  </si>
  <si>
    <t>1:27:51 p. m.</t>
  </si>
  <si>
    <t>3.552503333333333</t>
  </si>
  <si>
    <t>1:24:40 p. m.</t>
  </si>
  <si>
    <t>3.5526633333333337</t>
  </si>
  <si>
    <t>1:36:18 p. m.</t>
  </si>
  <si>
    <t>3.552963333333333</t>
  </si>
  <si>
    <t>No se logro observar ninguna especie</t>
  </si>
  <si>
    <t>1:48:26 p. m.</t>
  </si>
  <si>
    <t>3.5525416666666665</t>
  </si>
  <si>
    <t>2:04:00 p. m.</t>
  </si>
  <si>
    <t>Rhinella horribilis</t>
  </si>
  <si>
    <t>7:19:13 p. m.</t>
  </si>
  <si>
    <t>3.5510849999999996</t>
  </si>
  <si>
    <t>7:09:12 p. m.</t>
  </si>
  <si>
    <t>3.551213333333333</t>
  </si>
  <si>
    <t>7:01:56 p. m.</t>
  </si>
  <si>
    <t>3.5505816666666665</t>
  </si>
  <si>
    <t>6:45:48 p. m.</t>
  </si>
  <si>
    <t>3.550118333333333</t>
  </si>
  <si>
    <t>6:42:55 p. m.</t>
  </si>
  <si>
    <t>3.5502233333333333</t>
  </si>
  <si>
    <t xml:space="preserve">Yuliana Ocampo </t>
  </si>
  <si>
    <t>6:34:41 p. m.</t>
  </si>
  <si>
    <t>3.5502850000000006</t>
  </si>
  <si>
    <t>6:18:04 p. m.</t>
  </si>
  <si>
    <t>3.549526666666667</t>
  </si>
  <si>
    <t>6:15:51 p. m.</t>
  </si>
  <si>
    <t>3.5500016666666663</t>
  </si>
  <si>
    <t>6:09:56 p. m.</t>
  </si>
  <si>
    <t>3.5495433333333333</t>
  </si>
  <si>
    <t>8:28:57 p. m.</t>
  </si>
  <si>
    <t>3.5511516666666667</t>
  </si>
  <si>
    <t>8:27:48 p. m.</t>
  </si>
  <si>
    <t>8:12:57 p. m.</t>
  </si>
  <si>
    <t>3.551301666666667</t>
  </si>
  <si>
    <t>8:03:09 p. m.</t>
  </si>
  <si>
    <t>3.5511133333333333</t>
  </si>
  <si>
    <t>8:01:44 p. m.</t>
  </si>
  <si>
    <t>3.5511366666666664</t>
  </si>
  <si>
    <t>8:00:52 p. m.</t>
  </si>
  <si>
    <t>Luz Ester Restrepo</t>
  </si>
  <si>
    <t>9:06:47 p. m.</t>
  </si>
  <si>
    <t>9:04:26 p. m.</t>
  </si>
  <si>
    <t>3.5508100000000002</t>
  </si>
  <si>
    <t>Yuliana ocmpo</t>
  </si>
  <si>
    <t>8:58:32 p. m.</t>
  </si>
  <si>
    <t>3.5507899999999997</t>
  </si>
  <si>
    <t>Yuliana ocampo</t>
  </si>
  <si>
    <t>8:57:06 p. m.</t>
  </si>
  <si>
    <t>3.5507866666666663</t>
  </si>
  <si>
    <t>9:33:35 p. m.</t>
  </si>
  <si>
    <t>9:32:38 p. m.</t>
  </si>
  <si>
    <t>3.552563333333333</t>
  </si>
  <si>
    <t>Subarboreo 5-12 m</t>
  </si>
  <si>
    <t xml:space="preserve">Yuliana Alejandro </t>
  </si>
  <si>
    <t>9:29:38 p. m.</t>
  </si>
  <si>
    <t>10:07:22 p. m.</t>
  </si>
  <si>
    <t>3.552948333333333</t>
  </si>
  <si>
    <t xml:space="preserve">No se logra observar ninguna Especie </t>
  </si>
  <si>
    <t>11:00:53 p. m.</t>
  </si>
  <si>
    <t>3.552481666666667</t>
  </si>
  <si>
    <t>10:40:04 p. m.</t>
  </si>
  <si>
    <t>3.5523566666666664</t>
  </si>
  <si>
    <t>10:28:52 p. m.</t>
  </si>
  <si>
    <t>3.5525966666666666</t>
  </si>
  <si>
    <t>11:19:07 p. m.</t>
  </si>
  <si>
    <t>3.5526849999999994</t>
  </si>
  <si>
    <t>11:14:05 p. m.</t>
  </si>
  <si>
    <t>3.5526750000000002</t>
  </si>
  <si>
    <t>12:06:56 a. m.</t>
  </si>
  <si>
    <t>3.5433516666666662</t>
  </si>
  <si>
    <t>12:05:25 a. m.</t>
  </si>
  <si>
    <t>3.5434316666666668</t>
  </si>
  <si>
    <t>12:04:19 a. m.</t>
  </si>
  <si>
    <t>3.543358333333333</t>
  </si>
  <si>
    <t>11:32:40 p. m.</t>
  </si>
  <si>
    <t>3.5439966666666662</t>
  </si>
  <si>
    <t>9:37:53 a. m.</t>
  </si>
  <si>
    <t>3.5963133333333333</t>
  </si>
  <si>
    <t>9:31:14 a. m.</t>
  </si>
  <si>
    <t>3.5969483333333327</t>
  </si>
  <si>
    <t>10:32:06 a. m.</t>
  </si>
  <si>
    <t>3.5951766666666667</t>
  </si>
  <si>
    <t xml:space="preserve">No se logro Observar ninguna Especie </t>
  </si>
  <si>
    <t>10:39:53 a. m.</t>
  </si>
  <si>
    <t>3.5943066666666663</t>
  </si>
  <si>
    <t xml:space="preserve">No se logro observar ninguna Especie </t>
  </si>
  <si>
    <t>11:05:41 a. m.</t>
  </si>
  <si>
    <t>Stiven atoy</t>
  </si>
  <si>
    <t>10:59:40 a. m.</t>
  </si>
  <si>
    <t>3.5977283333333334</t>
  </si>
  <si>
    <t xml:space="preserve">Epipedobates boulengeri </t>
  </si>
  <si>
    <t>10:55:28 a. m.</t>
  </si>
  <si>
    <t>10:52:20 a. m.</t>
  </si>
  <si>
    <t>11:38:44 a. m.</t>
  </si>
  <si>
    <t>3.5957300000000005</t>
  </si>
  <si>
    <t>11:34:52 a. m.</t>
  </si>
  <si>
    <t>3.5963383333333336</t>
  </si>
  <si>
    <t>12:02:19 p. m.</t>
  </si>
  <si>
    <t>3.596726666666667</t>
  </si>
  <si>
    <t>Allobates talamancae</t>
  </si>
  <si>
    <t>12:28:38 p. m.</t>
  </si>
  <si>
    <t>3.5911466666666665</t>
  </si>
  <si>
    <t>7:31:08 p. m.</t>
  </si>
  <si>
    <t>3.5975800000000002</t>
  </si>
  <si>
    <t xml:space="preserve">Alejandro Nu√±ez </t>
  </si>
  <si>
    <t>7:23:05 p. m.</t>
  </si>
  <si>
    <t>8:05:15 p. m.</t>
  </si>
  <si>
    <t>8:03:05 p. m.</t>
  </si>
  <si>
    <t>3.5957966666666663</t>
  </si>
  <si>
    <t>8:39:36 p. m.</t>
  </si>
  <si>
    <t>3.594276666666667</t>
  </si>
  <si>
    <t>8:27:49 p. m.</t>
  </si>
  <si>
    <t>3.594643333333334</t>
  </si>
  <si>
    <t xml:space="preserve">Juvenil </t>
  </si>
  <si>
    <t>8:21:55 p. m.</t>
  </si>
  <si>
    <t>3.5948949999999997</t>
  </si>
  <si>
    <t>8:21:01 p. m.</t>
  </si>
  <si>
    <t>3.5948599999999997</t>
  </si>
  <si>
    <t xml:space="preserve">Se encuentra con mucha neblina </t>
  </si>
  <si>
    <t>9:16:11 p. m.</t>
  </si>
  <si>
    <t>3.5981833333333335</t>
  </si>
  <si>
    <t>9:11:57 p. m.</t>
  </si>
  <si>
    <t>3.597976666666667</t>
  </si>
  <si>
    <t>9:09:14 p. m.</t>
  </si>
  <si>
    <t>3.5977233333333336</t>
  </si>
  <si>
    <t>Se encuentra con heridas</t>
  </si>
  <si>
    <t>9:06:48 p. m.</t>
  </si>
  <si>
    <t>3.5977150000000004</t>
  </si>
  <si>
    <t>9:04:49 p. m.</t>
  </si>
  <si>
    <t>3.597416666666667</t>
  </si>
  <si>
    <t>10:53:33 p. m.</t>
  </si>
  <si>
    <t>3.596496666666667</t>
  </si>
  <si>
    <t>10:49:26 p. m.</t>
  </si>
  <si>
    <t>3.596541666666667</t>
  </si>
  <si>
    <t>10:48:25 p. m.</t>
  </si>
  <si>
    <t>Leptodactylus rhodomerus</t>
  </si>
  <si>
    <t>11:21:10 p. m.</t>
  </si>
  <si>
    <t>3.595778333333333</t>
  </si>
  <si>
    <t>11:09:37 p. m.</t>
  </si>
  <si>
    <t>3.595861666666667</t>
  </si>
  <si>
    <t>11:43:16 p. m.</t>
  </si>
  <si>
    <t>3.591026666666666</t>
  </si>
  <si>
    <t xml:space="preserve">Macho hembra </t>
  </si>
  <si>
    <t>6:16:58 p. m.</t>
  </si>
  <si>
    <t>3.5769066666666665</t>
  </si>
  <si>
    <t>7:28:26 p. m.</t>
  </si>
  <si>
    <t>3.5781816666666666</t>
  </si>
  <si>
    <t>7:22:45 p. m.</t>
  </si>
  <si>
    <t>Revisar fotos sebastian 0051hasta 0047</t>
  </si>
  <si>
    <t>7:20:48 p. m.</t>
  </si>
  <si>
    <t>3.5781583333333336</t>
  </si>
  <si>
    <t>7:19:01 p. m.</t>
  </si>
  <si>
    <t>7:12:28 p. m.</t>
  </si>
  <si>
    <t>3.5781666666666667</t>
  </si>
  <si>
    <t>7:10:37 p. m.</t>
  </si>
  <si>
    <t>3.5778633333333336</t>
  </si>
  <si>
    <t>7:06:22 p. m.</t>
  </si>
  <si>
    <t>3.5778549999999996</t>
  </si>
  <si>
    <t>6:59:30 p. m.</t>
  </si>
  <si>
    <t>3.5777500000000004</t>
  </si>
  <si>
    <t>6:53:33 p. m.</t>
  </si>
  <si>
    <t>Buscar fotos sebastian 0014 asta 0025</t>
  </si>
  <si>
    <t>8:31:36 p. m.</t>
  </si>
  <si>
    <t>8:11:24 p. m.</t>
  </si>
  <si>
    <t>8:05:08 p. m.</t>
  </si>
  <si>
    <t>3.578376666666667</t>
  </si>
  <si>
    <t>9:07:15 p. m.</t>
  </si>
  <si>
    <t xml:space="preserve">Llovia moderada donde no se vio Nunguna especie </t>
  </si>
  <si>
    <t>8:43:49 p. m.</t>
  </si>
  <si>
    <t>3.5794933333333336</t>
  </si>
  <si>
    <t>1:04:26 a. m.</t>
  </si>
  <si>
    <t>3.3495899999999996</t>
  </si>
  <si>
    <t>Corea</t>
  </si>
  <si>
    <t>Camino Villacarmelo 1</t>
  </si>
  <si>
    <t>Guillermo Pantoja</t>
  </si>
  <si>
    <t>1:02:19 a. m.</t>
  </si>
  <si>
    <t>3.349628333333334</t>
  </si>
  <si>
    <t>12:58:19 a. m.</t>
  </si>
  <si>
    <t>3.349546666666667</t>
  </si>
  <si>
    <t>12:56:18 a. m.</t>
  </si>
  <si>
    <t>3.3494716666666666</t>
  </si>
  <si>
    <t>12:48:37 a. m.</t>
  </si>
  <si>
    <t>3.3497516666666662</t>
  </si>
  <si>
    <t>Angie Alejandra Loaiza Lopez</t>
  </si>
  <si>
    <t>No identificada</t>
  </si>
  <si>
    <t>12:25:22 a. m.</t>
  </si>
  <si>
    <t>3.349548333333333</t>
  </si>
  <si>
    <t>12:22:04 a. m.</t>
  </si>
  <si>
    <t>3.349578333333333</t>
  </si>
  <si>
    <t>1:33:33 a. m.</t>
  </si>
  <si>
    <t>3.3496700000000006</t>
  </si>
  <si>
    <t>Cominal</t>
  </si>
  <si>
    <t xml:space="preserve">Se observan dos individuos, un macho y una hembra </t>
  </si>
  <si>
    <t>1:19:19 a. m.</t>
  </si>
  <si>
    <t>3.349851666666667</t>
  </si>
  <si>
    <t>1:17:31 a. m.</t>
  </si>
  <si>
    <t>3.3497683333333335</t>
  </si>
  <si>
    <t>1:13:46 a. m.</t>
  </si>
  <si>
    <t>3.349711666666667</t>
  </si>
  <si>
    <t>Leonardo Belalcazar Salcedo</t>
  </si>
  <si>
    <t>12:28:59 p. m.</t>
  </si>
  <si>
    <t>3.4883390496016653</t>
  </si>
  <si>
    <t>10:02:48 a. m.</t>
  </si>
  <si>
    <t>3.485179691111327</t>
  </si>
  <si>
    <t>10:38:09 a. m.</t>
  </si>
  <si>
    <t>3.487519454459033</t>
  </si>
  <si>
    <t>10:25:20 a. m.</t>
  </si>
  <si>
    <t>3.4863903314796563</t>
  </si>
  <si>
    <t>10:15:02 a. m.</t>
  </si>
  <si>
    <t>3.485876102904034</t>
  </si>
  <si>
    <t>12:38:42 p. m.</t>
  </si>
  <si>
    <t>3.4892378482594637</t>
  </si>
  <si>
    <t>6:35:38 p. m.</t>
  </si>
  <si>
    <t>3.4852035499370255</t>
  </si>
  <si>
    <t>Delia Maribel Cuspian</t>
  </si>
  <si>
    <t>12:45:18 p. m.</t>
  </si>
  <si>
    <t>3.4900722305061636</t>
  </si>
  <si>
    <t>6:12:13 p. m.</t>
  </si>
  <si>
    <t>5:32:03 p. m.</t>
  </si>
  <si>
    <t>3.4882166934246643</t>
  </si>
  <si>
    <t>Qda Frente Tokio Parte Baja</t>
  </si>
  <si>
    <t>6:58:38 p. m.</t>
  </si>
  <si>
    <t>3.485697496388599</t>
  </si>
  <si>
    <t>6:53:45 p. m.</t>
  </si>
  <si>
    <t>6:48:19 p. m.</t>
  </si>
  <si>
    <t>Rana de cristal con cola</t>
  </si>
  <si>
    <t>8:39:54 p. m.</t>
  </si>
  <si>
    <t>3.489290653192951</t>
  </si>
  <si>
    <t>7:17:02 p. m.</t>
  </si>
  <si>
    <t>3.4861963594429697</t>
  </si>
  <si>
    <t>7:27:44 p. m.</t>
  </si>
  <si>
    <t>3.487636782728304</t>
  </si>
  <si>
    <t>8:13:00 p. m.</t>
  </si>
  <si>
    <t>3.4882301717642585</t>
  </si>
  <si>
    <t>8:48:20 p. m.</t>
  </si>
  <si>
    <t>3.4896020365352687</t>
  </si>
  <si>
    <t>1:44:43 a. m.</t>
  </si>
  <si>
    <t>3.353533333333333</t>
  </si>
  <si>
    <t>Camino Corea</t>
  </si>
  <si>
    <t>1:39:57 a. m.</t>
  </si>
  <si>
    <t>Pi</t>
  </si>
  <si>
    <t>1:26:15 a. m.</t>
  </si>
  <si>
    <t>3.3533449999999996</t>
  </si>
  <si>
    <t>Ricardo Ocampo</t>
  </si>
  <si>
    <t>Revisa fotos</t>
  </si>
  <si>
    <t>1:50:54 a. m.</t>
  </si>
  <si>
    <t>3.3535299999999997</t>
  </si>
  <si>
    <t>3:47:48 a. m.</t>
  </si>
  <si>
    <t>3.3522716666666668</t>
  </si>
  <si>
    <t>3:40:54 a. m.</t>
  </si>
  <si>
    <t>2:23:54 a. m.</t>
  </si>
  <si>
    <t>3.3535933333333334</t>
  </si>
  <si>
    <t>2:18:42 a. m.</t>
  </si>
  <si>
    <t>3.3535749999999998</t>
  </si>
  <si>
    <t>2:15:12 a. m.</t>
  </si>
  <si>
    <t>3.353651666666667</t>
  </si>
  <si>
    <t>3:22:22 a. m.</t>
  </si>
  <si>
    <t>3.352778333333333</t>
  </si>
  <si>
    <t>3:17:20 a. m.</t>
  </si>
  <si>
    <t>3.3528699999999994</t>
  </si>
  <si>
    <t>3:10:52 a. m.</t>
  </si>
  <si>
    <t>3.3529883333333337</t>
  </si>
  <si>
    <t>3:06:11 a. m.</t>
  </si>
  <si>
    <t>3.3529766666666667</t>
  </si>
  <si>
    <t>2:59:28 a. m.</t>
  </si>
  <si>
    <t>3.352961666666667</t>
  </si>
  <si>
    <t>12:56:29 a. m.</t>
  </si>
  <si>
    <t>3.3539283333333336</t>
  </si>
  <si>
    <t>Antes Corea</t>
  </si>
  <si>
    <t>12:52:31 a. m.</t>
  </si>
  <si>
    <t>3.3539383333333337</t>
  </si>
  <si>
    <t>Pristimantis acatallelus</t>
  </si>
  <si>
    <t>12:49:53 a. m.</t>
  </si>
  <si>
    <t>3.3540349999999997</t>
  </si>
  <si>
    <t>12:44:23 a. m.</t>
  </si>
  <si>
    <t>3.3542333333333336</t>
  </si>
  <si>
    <t>12:37:54 a. m.</t>
  </si>
  <si>
    <t>2:54:18 a. m.</t>
  </si>
  <si>
    <t>2:51:20 a. m.</t>
  </si>
  <si>
    <t>2:48:04 a. m.</t>
  </si>
  <si>
    <t>3.3530466666666663</t>
  </si>
  <si>
    <t>7:44:07 p. m.</t>
  </si>
  <si>
    <t>Camino Villacarmelo 2</t>
  </si>
  <si>
    <t>Fotografias despues curculionido. Dos lineas laterales</t>
  </si>
  <si>
    <t>7:43:14 p. m.</t>
  </si>
  <si>
    <t>3.350556666666666</t>
  </si>
  <si>
    <t>7:26:40 p. m.</t>
  </si>
  <si>
    <t>3.350531666666667</t>
  </si>
  <si>
    <t>7:22:19 p. m.</t>
  </si>
  <si>
    <t>3.3507983333333335</t>
  </si>
  <si>
    <t>7:17:37 p. m.</t>
  </si>
  <si>
    <t>3.3508266666666664</t>
  </si>
  <si>
    <t>7:13:17 p. m.</t>
  </si>
  <si>
    <t>3.350598333333334</t>
  </si>
  <si>
    <t>7:10:14 p. m.</t>
  </si>
  <si>
    <t>7:06:33 p. m.</t>
  </si>
  <si>
    <t>3.3508250000000004</t>
  </si>
  <si>
    <t>7:04:39 p. m.</t>
  </si>
  <si>
    <t>7:02:39 p. m.</t>
  </si>
  <si>
    <t>3.3506349999999996</t>
  </si>
  <si>
    <t>6:58:48 p. m.</t>
  </si>
  <si>
    <t>3.3506933333333335</t>
  </si>
  <si>
    <t>6:57:07 p. m.</t>
  </si>
  <si>
    <t xml:space="preserve">Chivo </t>
  </si>
  <si>
    <t>6:56:21 p. m.</t>
  </si>
  <si>
    <t>6:49:56 p. m.</t>
  </si>
  <si>
    <t>11:25:43 p. m.</t>
  </si>
  <si>
    <t>3.349083333333333</t>
  </si>
  <si>
    <t>11:18:29 p. m.</t>
  </si>
  <si>
    <t>3.3490716666666667</t>
  </si>
  <si>
    <t>11:14:56 p. m.</t>
  </si>
  <si>
    <t>3.3491583333333335</t>
  </si>
  <si>
    <t>10:59:38 p. m.</t>
  </si>
  <si>
    <t>Canto pi pi</t>
  </si>
  <si>
    <t>10:46:52 p. m.</t>
  </si>
  <si>
    <t>3.349473333333333</t>
  </si>
  <si>
    <t>10:44:20 p. m.</t>
  </si>
  <si>
    <t>3.3494433333333338</t>
  </si>
  <si>
    <t>10:41:38 p. m.</t>
  </si>
  <si>
    <t>3.3494949999999997</t>
  </si>
  <si>
    <t>10:38:45 p. m.</t>
  </si>
  <si>
    <t>Amplexo</t>
  </si>
  <si>
    <t>10:35:53 p. m.</t>
  </si>
  <si>
    <t>10:33:47 p. m.</t>
  </si>
  <si>
    <t>10:32:03 p. m.</t>
  </si>
  <si>
    <t>3.3495816666666665</t>
  </si>
  <si>
    <t>10:29:47 p. m.</t>
  </si>
  <si>
    <t>3.349583333333334</t>
  </si>
  <si>
    <t>10:28:50 p. m.</t>
  </si>
  <si>
    <t>10:27:25 p. m.</t>
  </si>
  <si>
    <t>3.3495749999999997</t>
  </si>
  <si>
    <t>10:20:13 p. m.</t>
  </si>
  <si>
    <t>3.3496333333333332</t>
  </si>
  <si>
    <t>10:16:21 p. m.</t>
  </si>
  <si>
    <t>3.349258333333333</t>
  </si>
  <si>
    <t>Amplexo. Machos y 1 hembra</t>
  </si>
  <si>
    <t>10:04:56 p. m.</t>
  </si>
  <si>
    <t>3.349836666666667</t>
  </si>
  <si>
    <t>9:58:08 p. m.</t>
  </si>
  <si>
    <t>3.350013333333334</t>
  </si>
  <si>
    <t>9:45:42 p. m.</t>
  </si>
  <si>
    <t>9:39:08 p. m.</t>
  </si>
  <si>
    <t>3.3499316666666665</t>
  </si>
  <si>
    <t>9:32:53 p. m.</t>
  </si>
  <si>
    <t>3.3499216666666665</t>
  </si>
  <si>
    <t>9:28:58 p. m.</t>
  </si>
  <si>
    <t>3.3498583333333327</t>
  </si>
  <si>
    <t>9:19:55 p. m.</t>
  </si>
  <si>
    <t>9:14:28 p. m.</t>
  </si>
  <si>
    <t>3.350086666666667</t>
  </si>
  <si>
    <t>11:53:14 p. m.</t>
  </si>
  <si>
    <t>11:50:11 p. m.</t>
  </si>
  <si>
    <t>3.3498250000000005</t>
  </si>
  <si>
    <t>11:45:05 p. m.</t>
  </si>
  <si>
    <t>3.349503333333333</t>
  </si>
  <si>
    <t>11:40:34 p. m.</t>
  </si>
  <si>
    <t>9:08:09 p. m.</t>
  </si>
  <si>
    <t>3.350043333333333</t>
  </si>
  <si>
    <t>8:58:05 p. m.</t>
  </si>
  <si>
    <t>3.350073333333333</t>
  </si>
  <si>
    <t>8:52:03 p. m.</t>
  </si>
  <si>
    <t>3.3502383333333334</t>
  </si>
  <si>
    <t>Revisar fotos</t>
  </si>
  <si>
    <t>8:43:20 p. m.</t>
  </si>
  <si>
    <t>3.3502616666666665</t>
  </si>
  <si>
    <t>8:38:00 p. m.</t>
  </si>
  <si>
    <t>3.3502333333333336</t>
  </si>
  <si>
    <t>8:30:07 p. m.</t>
  </si>
  <si>
    <t>8:24:34 p. m.</t>
  </si>
  <si>
    <t>3.350378333333333</t>
  </si>
  <si>
    <t>8:23:41 p. m.</t>
  </si>
  <si>
    <t>8:16:33 p. m.</t>
  </si>
  <si>
    <t>3.350363333333333</t>
  </si>
  <si>
    <t>8:10:21 p. m.</t>
  </si>
  <si>
    <t>3.350451666666667</t>
  </si>
  <si>
    <t>Pipi</t>
  </si>
  <si>
    <t>9:35:07 a. m.</t>
  </si>
  <si>
    <t>3.499722333872519</t>
  </si>
  <si>
    <t>11:18:28 a. m.</t>
  </si>
  <si>
    <t>3.5027296761782534</t>
  </si>
  <si>
    <t>7:51:45 p. m.</t>
  </si>
  <si>
    <t>3.4777684631770307</t>
  </si>
  <si>
    <t>7:43:47 p. m.</t>
  </si>
  <si>
    <t>3.4775032065408022</t>
  </si>
  <si>
    <t>7:42:04 p. m.</t>
  </si>
  <si>
    <t>3.4773097087905747</t>
  </si>
  <si>
    <t>7:39:09 p. m.</t>
  </si>
  <si>
    <t>3.477275101616343</t>
  </si>
  <si>
    <t>7:38:21 p. m.</t>
  </si>
  <si>
    <t>3.4772026543384067</t>
  </si>
  <si>
    <t>8:37:29 a. m.</t>
  </si>
  <si>
    <t>3.5001464996129257</t>
  </si>
  <si>
    <t>10:48:32 a. m.</t>
  </si>
  <si>
    <t>3.5019288400581905</t>
  </si>
  <si>
    <t>No se pueden realizar los transectos. No se encontr√≥ sendero por ningun lado y al abrir trocha se enmontaba cada vez mas</t>
  </si>
  <si>
    <t>7:21:26 p. m.</t>
  </si>
  <si>
    <t>3.4769486379079964</t>
  </si>
  <si>
    <t>7:13:11 p. m.</t>
  </si>
  <si>
    <t>3.4768529755919255</t>
  </si>
  <si>
    <t>7:06:12 p. m.</t>
  </si>
  <si>
    <t>3.476648496485321</t>
  </si>
  <si>
    <t>6:59:08 p. m.</t>
  </si>
  <si>
    <t>3.4766124766683046</t>
  </si>
  <si>
    <t>6:52:59 p. m.</t>
  </si>
  <si>
    <t>3.4765750440342567</t>
  </si>
  <si>
    <t>6:41:26 p. m.</t>
  </si>
  <si>
    <t>3.476487265656168</t>
  </si>
  <si>
    <t>6:39:34 p. m.</t>
  </si>
  <si>
    <t>3.476437903233065</t>
  </si>
  <si>
    <t>6:35:06 p. m.</t>
  </si>
  <si>
    <t>3.476378318204651</t>
  </si>
  <si>
    <t>6:29:21 p. m.</t>
  </si>
  <si>
    <t>3.4763025475575606</t>
  </si>
  <si>
    <t>9:08:51 a. m.</t>
  </si>
  <si>
    <t>3.4992668375369194</t>
  </si>
  <si>
    <t>11:40:01 a. m.</t>
  </si>
  <si>
    <t>3.502363492517513</t>
  </si>
  <si>
    <t>9:00:22 p. m.</t>
  </si>
  <si>
    <t>3.480921164807448</t>
  </si>
  <si>
    <t>8:57:54 p. m.</t>
  </si>
  <si>
    <t>3.4806497320965297</t>
  </si>
  <si>
    <t>8:41:43 p. m.</t>
  </si>
  <si>
    <t>8:39:25 p. m.</t>
  </si>
  <si>
    <t>9:19:26 p. m.</t>
  </si>
  <si>
    <t>9:25:27 p. m.</t>
  </si>
  <si>
    <t>8:18:39 p. m.</t>
  </si>
  <si>
    <t>8:16:17 p. m.</t>
  </si>
  <si>
    <t>8:07:06 p. m.</t>
  </si>
  <si>
    <t>8:05:10 p. m.</t>
  </si>
  <si>
    <t>7:59:16 p. m.</t>
  </si>
  <si>
    <t>9:58:34 p. m.</t>
  </si>
  <si>
    <t>9:43:24 p. m.</t>
  </si>
  <si>
    <t>8:35:33 p. m.</t>
  </si>
  <si>
    <t>7:53:38 p. m.</t>
  </si>
  <si>
    <t>9:17:13 p. m.</t>
  </si>
  <si>
    <t>9:14:26 p. m.</t>
  </si>
  <si>
    <t>9:02:20 p. m.</t>
  </si>
  <si>
    <t>Verificar fotos</t>
  </si>
  <si>
    <t>11:41:44 p. m.</t>
  </si>
  <si>
    <t>11:21:03 p. m.</t>
  </si>
  <si>
    <t>11:10:50 p. m.</t>
  </si>
  <si>
    <t>7:19:37 p. m.</t>
  </si>
  <si>
    <t>12:16:56 a. m.</t>
  </si>
  <si>
    <t>12:15:16 a. m.</t>
  </si>
  <si>
    <t>11:57:11 p. m.</t>
  </si>
  <si>
    <t>10:12:00 p. m.</t>
  </si>
  <si>
    <t>10:06:24 p. m.</t>
  </si>
  <si>
    <t>9:57:52 p. m.</t>
  </si>
  <si>
    <t>Muy tuberculada, revisar fotos. Color cafe y verde</t>
  </si>
  <si>
    <t>9:43:44 p. m.</t>
  </si>
  <si>
    <t>9:49:27 p. m.</t>
  </si>
  <si>
    <t>9:37:57 p. m.</t>
  </si>
  <si>
    <t>9:36:06 p. m.</t>
  </si>
  <si>
    <t>8:43:38 p. m.</t>
  </si>
  <si>
    <t>8:40:50 p. m.</t>
  </si>
  <si>
    <t>7:25:33 p. m.</t>
  </si>
  <si>
    <t>9:47:27 p. m.</t>
  </si>
  <si>
    <t>Centrolene robledoi</t>
  </si>
  <si>
    <t xml:space="preserve">Revisar fotos Sebasti√°n </t>
  </si>
  <si>
    <t>8:27:06 p. m.</t>
  </si>
  <si>
    <t>8:14:01 p. m.</t>
  </si>
  <si>
    <t>Zacarias 1</t>
  </si>
  <si>
    <t>7:44:53 p. m.</t>
  </si>
  <si>
    <t>Pristimantis calcaratus</t>
  </si>
  <si>
    <t>Minas</t>
  </si>
  <si>
    <t>Lagunas</t>
  </si>
  <si>
    <t/>
  </si>
  <si>
    <t>Bosque Secundario</t>
  </si>
  <si>
    <t>Bosque Ripario</t>
  </si>
  <si>
    <t>Bosque Primario</t>
  </si>
  <si>
    <t>Bosque ribereño</t>
  </si>
  <si>
    <t>Pristimantis aff kelephus</t>
  </si>
  <si>
    <t>Pristimantis aff leptolophus</t>
  </si>
  <si>
    <t>Pristimantis capitonis</t>
  </si>
  <si>
    <t>Hyloscirtus larinopygion</t>
  </si>
  <si>
    <t>Pristimantis buckleyi</t>
  </si>
  <si>
    <t>Pristimantis myops</t>
  </si>
  <si>
    <t>Pristimantis aff quimbaya</t>
  </si>
  <si>
    <t>Pristimantis aff duende</t>
  </si>
  <si>
    <t>Centrolene buckleyi</t>
  </si>
  <si>
    <t>Pristimantis jubatus</t>
  </si>
  <si>
    <t>Pristimantis thectopternus</t>
  </si>
  <si>
    <t>Boana boans</t>
  </si>
  <si>
    <t>Smilisca phaeota</t>
  </si>
  <si>
    <t>Pristimantis phalarus</t>
  </si>
  <si>
    <t>Pristimantis juanchoi</t>
  </si>
  <si>
    <t>Pristimantis boulengeri</t>
  </si>
  <si>
    <t>Boana rosengbergi</t>
  </si>
  <si>
    <t>Colomascyrtus larinopygion</t>
  </si>
  <si>
    <t>Pristimantis myersi</t>
  </si>
  <si>
    <t>Pristimantis latidiscus</t>
  </si>
  <si>
    <t>Pristimantis labiosus</t>
  </si>
  <si>
    <t>Sachatamia ilex</t>
  </si>
  <si>
    <t>Gustavo Rodriguez</t>
  </si>
  <si>
    <t>Alvaro Fierro</t>
  </si>
  <si>
    <t>Oscar Cuellar</t>
  </si>
  <si>
    <t>Yimmy Angulo</t>
  </si>
  <si>
    <t>Oscar Martinez</t>
  </si>
  <si>
    <t>Carolina Burbano</t>
  </si>
  <si>
    <t>Hamilton Bermudez</t>
  </si>
  <si>
    <t>Oscar Matinez</t>
  </si>
  <si>
    <t>Carolina Gonzalez</t>
  </si>
  <si>
    <t>Nicole Tovar</t>
  </si>
  <si>
    <t>Burbano Carolina</t>
  </si>
  <si>
    <t>Roger Franco</t>
  </si>
  <si>
    <t>Álvaro Javier Fierro</t>
  </si>
  <si>
    <t>Jimmy Angulo</t>
  </si>
  <si>
    <t>Guillermo Guerrero</t>
  </si>
  <si>
    <t>Geovanny Marin</t>
  </si>
  <si>
    <t>Gustavo Gonzales</t>
  </si>
  <si>
    <t>Guillermo</t>
  </si>
  <si>
    <t>Álvaro Javier</t>
  </si>
  <si>
    <t>Álvaro Fierro</t>
  </si>
  <si>
    <t>álvaro Javier fierro</t>
  </si>
  <si>
    <t>Dannythza Mona</t>
  </si>
  <si>
    <t>álvaro Javier</t>
  </si>
  <si>
    <t>Eider Montaño</t>
  </si>
  <si>
    <t>alvaro Javier</t>
  </si>
  <si>
    <t>Dannythza moná</t>
  </si>
  <si>
    <t>Alvaro Javier</t>
  </si>
  <si>
    <t>Álvaro javier</t>
  </si>
  <si>
    <t>Dannythza Moná</t>
  </si>
  <si>
    <t>Avaro Javier</t>
  </si>
  <si>
    <t>Alvari Javier</t>
  </si>
  <si>
    <t>alvaro Fierro</t>
  </si>
  <si>
    <t>Alvaro Fiero</t>
  </si>
  <si>
    <t>Guillermo guerrero</t>
  </si>
  <si>
    <t>Dannythza mona</t>
  </si>
  <si>
    <t>Gustavo Rodriguez
Dannythza Mona
Guillermo Guerrero
Alvaro Fierro</t>
  </si>
  <si>
    <t>oscar cuellar</t>
  </si>
  <si>
    <t>Soldado</t>
  </si>
  <si>
    <t>soldado</t>
  </si>
  <si>
    <t>Kelly Perez</t>
  </si>
  <si>
    <t>Einar Huetio</t>
  </si>
  <si>
    <t>Joseph Lemos</t>
  </si>
  <si>
    <t>Andres Munoz</t>
  </si>
  <si>
    <t>Gustavo Rodríguez</t>
  </si>
  <si>
    <t>Rodríguez</t>
  </si>
  <si>
    <t>Óscar Cuéllar</t>
  </si>
  <si>
    <t>Guzmán</t>
  </si>
  <si>
    <t>Cristian Castaño</t>
  </si>
  <si>
    <t>Hernan Montoya</t>
  </si>
  <si>
    <t>Andrea Huesaquillo</t>
  </si>
  <si>
    <t>Danny Mora</t>
  </si>
  <si>
    <t>Luis Mamian</t>
  </si>
  <si>
    <t>Gustavo González</t>
  </si>
  <si>
    <t>Diana Murillo</t>
  </si>
  <si>
    <t>Andrea Guazaquillo</t>
  </si>
  <si>
    <t>Jhonatan Vanegas</t>
  </si>
  <si>
    <t>Jennifer chavez</t>
  </si>
  <si>
    <t>Leonardo Belalcazar</t>
  </si>
  <si>
    <t>Óscar Cuellar</t>
  </si>
  <si>
    <t>Otro</t>
  </si>
  <si>
    <t>Sebastian Ovalle</t>
  </si>
  <si>
    <t>Sebastian ovalle</t>
  </si>
  <si>
    <t>Aéreo</t>
  </si>
  <si>
    <t>Observacion</t>
  </si>
  <si>
    <t>Ganadería</t>
  </si>
  <si>
    <t>Erosión</t>
  </si>
  <si>
    <t>Residuos solidos</t>
  </si>
  <si>
    <t>Vías</t>
  </si>
  <si>
    <t>Procesos de remoción en masa</t>
  </si>
  <si>
    <t>Deforestación</t>
  </si>
  <si>
    <t>Captaciones de agua no reguladas</t>
  </si>
  <si>
    <t>pastos</t>
  </si>
  <si>
    <t>Palizada en quebrada</t>
  </si>
  <si>
    <t>pisoteo y estiércol de ganado</t>
  </si>
  <si>
    <t>erosión por pisoteo en senderos</t>
  </si>
  <si>
    <t>Camino pisoteo</t>
  </si>
  <si>
    <t>pastizal. pisoteo.</t>
  </si>
  <si>
    <t>pastizal</t>
  </si>
  <si>
    <t>Plástico</t>
  </si>
  <si>
    <t>plástico</t>
  </si>
  <si>
    <t>Plástico dentro de la quebrara, lado izquierdo aguas arriba</t>
  </si>
  <si>
    <t>Transecto 2</t>
  </si>
  <si>
    <t>tala selectiva en años anteriores</t>
  </si>
  <si>
    <t>infraestructura</t>
  </si>
  <si>
    <t>Infraestructura</t>
  </si>
  <si>
    <t>deslizamientos</t>
  </si>
  <si>
    <t>Deslizamiento</t>
  </si>
  <si>
    <t>Desagüe</t>
  </si>
  <si>
    <t>Desahue</t>
  </si>
  <si>
    <t>Bolsa plastica</t>
  </si>
  <si>
    <t>Bolsa plastica. lata de atún</t>
  </si>
  <si>
    <t>Bolsa de agua</t>
  </si>
  <si>
    <t>Bolsa. lata. bolsa de yogurt</t>
  </si>
  <si>
    <t>Tarro plastico.</t>
  </si>
  <si>
    <t>Llantas. tarro. manguera</t>
  </si>
  <si>
    <t>Manguera</t>
  </si>
  <si>
    <t>Bolsa. explosivos. manguera. bolsa de yogurt</t>
  </si>
  <si>
    <t>peso 1.38. LRC = 2.5</t>
  </si>
  <si>
    <t>Lata de atun</t>
  </si>
  <si>
    <t>3 Botellas plasticas</t>
  </si>
  <si>
    <t>Plastico</t>
  </si>
  <si>
    <t>Botella plastica</t>
  </si>
  <si>
    <t>Fotografia 8666-8677</t>
  </si>
  <si>
    <t>Fotografia 8706-8712</t>
  </si>
  <si>
    <t>P. sp5 ¿? Fotografia 8758-8770</t>
  </si>
  <si>
    <t>fotografia 8771-8784</t>
  </si>
  <si>
    <t>fotografia 8791-8798</t>
  </si>
  <si>
    <t>Foto 8749-8757</t>
  </si>
  <si>
    <t>cantando</t>
  </si>
  <si>
    <t>Foto 8017-8023</t>
  </si>
  <si>
    <t>Fotos 0118-0134</t>
  </si>
  <si>
    <t>Fotos 636-641</t>
  </si>
  <si>
    <t>Fotos 642-645</t>
  </si>
  <si>
    <t>Fotos 645-651</t>
  </si>
  <si>
    <t>Fotos 665-671</t>
  </si>
  <si>
    <t>Fotos 693-699</t>
  </si>
  <si>
    <t>Fotos 700-710</t>
  </si>
  <si>
    <t>Fotos 714-721</t>
  </si>
  <si>
    <t>Fotos 732-736</t>
  </si>
  <si>
    <t>Fotos 743-753</t>
  </si>
  <si>
    <t>Fotos 754-759</t>
  </si>
  <si>
    <t>Fotos 767-772</t>
  </si>
  <si>
    <t>Fotos 775-788 Amplexus</t>
  </si>
  <si>
    <t>Juvenil macho</t>
  </si>
  <si>
    <t>Fotos 0145-0156</t>
  </si>
  <si>
    <t>hembra</t>
  </si>
  <si>
    <t>registro auditivo, 6 aproximadamente cantando</t>
  </si>
  <si>
    <t>macho</t>
  </si>
  <si>
    <t>punto final</t>
  </si>
  <si>
    <t>Punto inicial</t>
  </si>
  <si>
    <t>llanta</t>
  </si>
  <si>
    <t>con postura</t>
  </si>
  <si>
    <t>punto inicial</t>
  </si>
  <si>
    <t>Punto de inicio</t>
  </si>
  <si>
    <t>potrero</t>
  </si>
  <si>
    <t>Plástico a ambos lados de la quebrada</t>
  </si>
  <si>
    <t>fin de transecto 1</t>
  </si>
  <si>
    <t>Alambre de púas y calambre dulce</t>
  </si>
  <si>
    <t>Alambre de púas</t>
  </si>
  <si>
    <t>Fin del transecto</t>
  </si>
  <si>
    <t>sobre Ciclantsceae</t>
  </si>
  <si>
    <t>punto final transecto</t>
  </si>
  <si>
    <t>punto de inicio</t>
  </si>
  <si>
    <t>punto inicial t2</t>
  </si>
  <si>
    <t>macho juvenil. punto inicial</t>
  </si>
  <si>
    <t>punto inicial t3 bosque Corea</t>
  </si>
  <si>
    <t>punto inicial t4</t>
  </si>
  <si>
    <t>punto final t1</t>
  </si>
  <si>
    <t>PUNTO INICIAL</t>
  </si>
  <si>
    <t>PUNTO FINAL T1</t>
  </si>
  <si>
    <t>PUNTO FINAL T3</t>
  </si>
  <si>
    <t>PUNTO INICIAL T2</t>
  </si>
  <si>
    <t>PUNTO FINAL T4</t>
  </si>
  <si>
    <t>PUNTO INICIAL T3</t>
  </si>
  <si>
    <t>juvenil</t>
  </si>
  <si>
    <t>PUNTO FINAL T2</t>
  </si>
  <si>
    <t>PUNTO FINAL T5</t>
  </si>
  <si>
    <t>transecto 1</t>
  </si>
  <si>
    <t>PUNTO UNICIAL T4</t>
  </si>
  <si>
    <t>PUNTO INICIAL T5</t>
  </si>
  <si>
    <t>pareja</t>
  </si>
  <si>
    <t>pf</t>
  </si>
  <si>
    <t>pi t4 Riqueza</t>
  </si>
  <si>
    <t>pf T4 Riqueza</t>
  </si>
  <si>
    <t>punto inicial t3</t>
  </si>
  <si>
    <t>tronco caído</t>
  </si>
  <si>
    <t>T2 pi Riqueza</t>
  </si>
  <si>
    <t>punto final t2</t>
  </si>
  <si>
    <t>Pf T3 Riqueza</t>
  </si>
  <si>
    <t>pf T2 murrapal</t>
  </si>
  <si>
    <t>pi t1</t>
  </si>
  <si>
    <t>pi T3 murrapal Desague</t>
  </si>
  <si>
    <t>P.f T3 Murrapal</t>
  </si>
  <si>
    <t>punto final t5</t>
  </si>
  <si>
    <t>punto inicial t5</t>
  </si>
  <si>
    <t>punto final t4</t>
  </si>
  <si>
    <t>pf T2 Zacarias y registro auditivo</t>
  </si>
  <si>
    <t>punto final T4 zacarias</t>
  </si>
  <si>
    <t>pi t4</t>
  </si>
  <si>
    <t>PI T2 Zacarias</t>
  </si>
  <si>
    <t>pf t1 zacarias</t>
  </si>
  <si>
    <t>pf T3 Zacarias</t>
  </si>
  <si>
    <t>pi T3</t>
  </si>
  <si>
    <t>PI T4</t>
  </si>
  <si>
    <t>pf T2 cruZ</t>
  </si>
  <si>
    <t>dsc 0031 a 34</t>
  </si>
  <si>
    <t>pi t2 cruz</t>
  </si>
  <si>
    <t>pi T3 Cruz</t>
  </si>
  <si>
    <t>PF t1 Cruz</t>
  </si>
  <si>
    <t>pi t1 la cruz</t>
  </si>
  <si>
    <t>pf t3 CruZ</t>
  </si>
  <si>
    <t>Foto 7090</t>
  </si>
  <si>
    <t>foto 7090</t>
  </si>
  <si>
    <t>auditivo</t>
  </si>
  <si>
    <t>Revisar foto 7116</t>
  </si>
  <si>
    <t>Cantando</t>
  </si>
  <si>
    <t>Cantando a borde de quebrada</t>
  </si>
  <si>
    <t>Sobre hoja de helecho</t>
  </si>
  <si>
    <t>A borde de quebrada</t>
  </si>
  <si>
    <t>Perchado sobre helecho</t>
  </si>
  <si>
    <t>Total general</t>
  </si>
  <si>
    <t>Zacarias 2</t>
  </si>
  <si>
    <t>T7</t>
  </si>
  <si>
    <t>T8</t>
  </si>
  <si>
    <t>Carretera 1</t>
  </si>
  <si>
    <t>Carretera 2</t>
  </si>
  <si>
    <t>El Feo</t>
  </si>
  <si>
    <t>La Cruz</t>
  </si>
  <si>
    <t>Cuenta de Nombre cientifico</t>
  </si>
  <si>
    <t>Anchicayá</t>
  </si>
  <si>
    <t>Gustavo Adolfo Rodríguez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</si>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</sst>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/mm/yyyy;@"/>
    <numFmt numFmtId="166" formatCode="[$-F400]h:mm:ss\ AM/PM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33" borderId="0" xfId="0" applyNumberFormat="1" applyFill="1"/>
    <xf numFmtId="0" fontId="0" fillId="33" borderId="0" xfId="0" applyFill="1"/>
    <xf numFmtId="0" fontId="0" fillId="33" borderId="0" xfId="0" quotePrefix="1" applyFill="1"/>
    <xf numFmtId="0" fontId="0" fillId="0" borderId="0" xfId="0" applyNumberFormat="1"/>
    <xf numFmtId="164" fontId="0" fillId="34" borderId="0" xfId="0" applyNumberFormat="1" applyFill="1"/>
    <xf numFmtId="0" fontId="0" fillId="34" borderId="0" xfId="0" applyFill="1"/>
    <xf numFmtId="0" fontId="19" fillId="34" borderId="0" xfId="0" applyFont="1" applyFill="1"/>
    <xf numFmtId="0" fontId="18" fillId="34" borderId="0" xfId="0" applyFont="1" applyFill="1"/>
    <xf numFmtId="0" fontId="20" fillId="34" borderId="0" xfId="0" applyFont="1" applyFill="1"/>
    <xf numFmtId="0" fontId="21" fillId="34" borderId="0" xfId="0" applyFont="1" applyFill="1"/>
    <xf numFmtId="0" fontId="19" fillId="35" borderId="0" xfId="0" applyFont="1" applyFill="1"/>
    <xf numFmtId="0" fontId="20" fillId="35" borderId="0" xfId="0" applyFont="1" applyFill="1"/>
    <xf numFmtId="0" fontId="18" fillId="35" borderId="0" xfId="0" applyFont="1" applyFill="1"/>
    <xf numFmtId="164" fontId="0" fillId="35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Sebastian Ovalle" refreshedDate="45978.946510069443" createdVersion="8" refreshedVersion="8" minRefreshableVersion="3" recordCount="1677" xr:uid="{3980EDC1-6351-1E46-84A1-8093AF20D899}">
  <cacheSource type="worksheet">
    <worksheetSource ref="A1:AB1048576" sheet="BD"/>
  </cacheSource>
  <cacheFields count="28">
    <cacheField name="Fecha de incio del muestreo" numFmtId="0">
      <sharedItems containsNonDate="0" containsDate="1" containsString="0" containsBlank="1" minDate="2017-09-19T00:00:00" maxDate="2025-10-25T00:00:00"/>
    </cacheField>
    <cacheField name="Fecha de finalizaci√≥n del Muestreo " numFmtId="0">
      <sharedItems containsNonDate="0" containsDate="1" containsString="0" containsBlank="1" minDate="2017-09-20T00:00:00" maxDate="2025-10-25T00:00:00"/>
    </cacheField>
    <cacheField name="Lider del Muestreo" numFmtId="0">
      <sharedItems containsBlank="1"/>
    </cacheField>
    <cacheField name="Hora de la Coordenada" numFmtId="0">
      <sharedItems containsDate="1" containsBlank="1" containsMixedTypes="1" minDate="1899-12-30T00:00:00" maxDate="1899-12-30T23:58:00"/>
    </cacheField>
    <cacheField name="X" numFmtId="0">
      <sharedItems containsString="0" containsBlank="1" containsNumber="1" minValue="-76.893038965661205" maxValue="-76.639403329999993"/>
    </cacheField>
    <cacheField name="Y" numFmtId="0">
      <sharedItems containsBlank="1" containsMixedTypes="1" containsNumber="1" minValue="3.3474444444444451" maxValue="3.5980850000000002"/>
    </cacheField>
    <cacheField name="Muestreo|A. Altitud (m.s.n.m)" numFmtId="0">
      <sharedItems containsString="0" containsBlank="1" containsNumber="1" containsInteger="1" minValue="1" maxValue="3990"/>
    </cacheField>
    <cacheField name="Muestreo|Ancho de quebrada (m)" numFmtId="0">
      <sharedItems containsBlank="1" containsMixedTypes="1" containsNumber="1" minValue="0" maxValue="50"/>
    </cacheField>
    <cacheField name="Muestreo|A√±o" numFmtId="0">
      <sharedItems containsString="0" containsBlank="1" containsNumber="1" containsInteger="1" minValue="2017" maxValue="2025" count="10">
        <n v="2025"/>
        <n v="2024"/>
        <n v="2017"/>
        <n v="2018"/>
        <n v="2019"/>
        <n v="2020"/>
        <n v="2021"/>
        <n v="2022"/>
        <n v="2023"/>
        <m/>
      </sharedItems>
    </cacheField>
    <cacheField name="Muestreo|B. Altura de dosel (m)" numFmtId="0">
      <sharedItems containsBlank="1" containsMixedTypes="1" containsNumber="1" minValue="0.3" maxValue="40"/>
    </cacheField>
    <cacheField name="Muestreo|Pendiente (grados)" numFmtId="0">
      <sharedItems containsBlank="1" containsMixedTypes="1" containsNumber="1" minValue="0" maxValue="90"/>
    </cacheField>
    <cacheField name="Muestreo|Presencia cuerpos de agua" numFmtId="0">
      <sharedItems containsNonDate="0" containsString="0" containsBlank="1"/>
    </cacheField>
    <cacheField name="Muestreo|Sectores" numFmtId="0">
      <sharedItems containsBlank="1" count="7">
        <s v="Anchicaya"/>
        <s v="Tokio"/>
        <s v="Corea"/>
        <s v="Minas"/>
        <s v="Anchicayá"/>
        <m/>
        <s v="Minas del Socorro" u="1"/>
      </sharedItems>
    </cacheField>
    <cacheField name="Muestreo|Se pudo realizar el transecto" numFmtId="0">
      <sharedItems containsBlank="1"/>
    </cacheField>
    <cacheField name="Muestreo|Transectos" numFmtId="0">
      <sharedItems containsBlank="1" count="16">
        <s v="T1"/>
        <s v="T2"/>
        <s v="T3"/>
        <s v="T4"/>
        <s v="T5"/>
        <s v="T8"/>
        <s v="T7"/>
        <s v="T6"/>
        <m/>
        <s v="rep8" u="1"/>
        <s v="rep7" u="1"/>
        <s v="rep1" u="1"/>
        <s v="rep2" u="1"/>
        <s v="rep3" u="1"/>
        <s v="rep4" u="1"/>
        <s v="rep5" u="1"/>
      </sharedItems>
    </cacheField>
    <cacheField name="Muestreo|Unidad muestreo" numFmtId="0">
      <sharedItems containsBlank="1" count="41">
        <s v="Riqueza"/>
        <s v="Carretera Qdas"/>
        <s v="La Loca"/>
        <s v="Represa Alto"/>
        <s v="Murrapal Represa"/>
        <s v="Murrapal"/>
        <s v="Camino Antenas"/>
        <s v="Qda Frente Tokio Parte Alta"/>
        <s v="Antenas"/>
        <s v="Kioto"/>
        <s v="Camino Villacarmelo 1"/>
        <s v="Cominal"/>
        <s v="Qda Frente Tokio Parte Baja"/>
        <s v="Camino Corea"/>
        <s v="Antes Corea"/>
        <s v="Camino Villacarmelo 2"/>
        <s v="Zacarias 1"/>
        <s v="El Feo"/>
        <s v="La Cruz"/>
        <s v="Zacarias 2"/>
        <s v="Lagunas"/>
        <s v="Carretera 1"/>
        <s v="Carretera 2"/>
        <m/>
        <s v="Carretera_1" u="1"/>
        <s v="Carretera_2" u="1"/>
        <s v="ElFeo" u="1"/>
        <s v="LaCruz" u="1"/>
        <s v="MurrapalRepresa" u="1"/>
        <s v="LaLoca" u="1"/>
        <s v="RepresaAlto" u="1"/>
        <s v="AntesCorea" u="1"/>
        <s v="CaminoCorea" u="1"/>
        <s v="CaminoVillacarmelo_1" u="1"/>
        <s v="CaminoVillacarmelo_2" u="1"/>
        <s v="CaminoAntenas" u="1"/>
        <s v="QdaFrenteTokio_ParteBaja" u="1"/>
        <s v="QdaFrenteTokio_ParteAlta" u="1"/>
        <s v="Zacarias_1" u="1"/>
        <s v="Zacarias_2" u="1"/>
        <s v="CarreteraQdas" u="1"/>
      </sharedItems>
    </cacheField>
    <cacheField name="Clima" numFmtId="0">
      <sharedItems containsBlank="1"/>
    </cacheField>
    <cacheField name="Cobertura vegetal" numFmtId="0">
      <sharedItems containsBlank="1"/>
    </cacheField>
    <cacheField name="Colector" numFmtId="0">
      <sharedItems containsBlank="1"/>
    </cacheField>
    <cacheField name="Estrato" numFmtId="0">
      <sharedItems containsBlank="1"/>
    </cacheField>
    <cacheField name="Nombre cientifico" numFmtId="0">
      <sharedItems containsBlank="1"/>
    </cacheField>
    <cacheField name="Numero de individuos" numFmtId="0">
      <sharedItems containsString="0" containsBlank="1" containsNumber="1" containsInteger="1" minValue="0" maxValue="26"/>
    </cacheField>
    <cacheField name="Observaciones" numFmtId="0">
      <sharedItems containsBlank="1"/>
    </cacheField>
    <cacheField name="Otras especies" numFmtId="0">
      <sharedItems containsBlank="1"/>
    </cacheField>
    <cacheField name="Otras presiones" numFmtId="0">
      <sharedItems containsBlank="1"/>
    </cacheField>
    <cacheField name="Presiones" numFmtId="0">
      <sharedItems containsBlank="1"/>
    </cacheField>
    <cacheField name="Sexo" numFmtId="0">
      <sharedItems containsBlank="1"/>
    </cacheField>
    <cacheField name="Tipo de regist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7">
  <r>
    <d v="2025-10-24T00:00:00"/>
    <d v="2025-10-24T00:00:00"/>
    <s v="Maria Camila Freyre Guaspud"/>
    <s v="9:13:17 a. m."/>
    <n v="-76.892338333333299"/>
    <n v="3.59496833333333"/>
    <n v="576"/>
    <m/>
    <x v="0"/>
    <n v="15"/>
    <n v="5"/>
    <m/>
    <x v="0"/>
    <s v="Completamente"/>
    <x v="0"/>
    <x v="0"/>
    <s v="Despejado"/>
    <s v="Bosque secundario"/>
    <m/>
    <m/>
    <s v="Ninguna"/>
    <m/>
    <m/>
    <m/>
    <m/>
    <s v="Ninguna"/>
    <m/>
    <m/>
  </r>
  <r>
    <d v="2025-10-24T00:00:00"/>
    <d v="2025-10-24T00:00:00"/>
    <s v="Maria Camila Freyre Guaspud"/>
    <s v="9:27:21 a. m."/>
    <n v="-76.892586666666602"/>
    <n v="3.59575333333333"/>
    <n v="570"/>
    <m/>
    <x v="0"/>
    <n v="25"/>
    <n v="5"/>
    <m/>
    <x v="0"/>
    <s v="Completamente"/>
    <x v="1"/>
    <x v="0"/>
    <s v="Despejado"/>
    <s v="Bosque secundario"/>
    <m/>
    <m/>
    <s v="Ninguna"/>
    <m/>
    <m/>
    <m/>
    <m/>
    <s v="Ninguna"/>
    <m/>
    <m/>
  </r>
  <r>
    <d v="2025-10-24T00:00:00"/>
    <d v="2025-10-24T00:00:00"/>
    <s v="Maria Camila Freyre Guaspud"/>
    <s v="9:49:05 a. m."/>
    <n v="-76.892835000000005"/>
    <n v="3.5974216666666599"/>
    <n v="621"/>
    <m/>
    <x v="0"/>
    <n v="25"/>
    <n v="6"/>
    <m/>
    <x v="0"/>
    <s v="Completamente"/>
    <x v="2"/>
    <x v="0"/>
    <s v="Despejado"/>
    <s v="Bosque secundario"/>
    <s v="John Sebastian Ovalle Talaga"/>
    <s v="Rasante &lt;0.3 m"/>
    <s v="Oophaga lehmanni"/>
    <n v="1"/>
    <m/>
    <m/>
    <m/>
    <s v="Ninguna"/>
    <s v="Indeterminado"/>
    <s v="Visual"/>
  </r>
  <r>
    <d v="2025-10-24T00:00:00"/>
    <d v="2025-10-24T00:00:00"/>
    <s v="Maria Camila Freyre Guaspud"/>
    <s v="10:12:48 a. m."/>
    <n v="-76.888818333333305"/>
    <n v="3.5969116666666601"/>
    <n v="550"/>
    <m/>
    <x v="0"/>
    <n v="35"/>
    <n v="1"/>
    <m/>
    <x v="0"/>
    <s v="Completamente"/>
    <x v="3"/>
    <x v="0"/>
    <s v="Despejado"/>
    <s v="Bosque secundario"/>
    <s v="Cristian David Benavides Tello"/>
    <s v="Rasante &lt;0.3 m"/>
    <s v="Smilisca phaeota"/>
    <n v="1"/>
    <s v="Juvenil"/>
    <m/>
    <m/>
    <s v="Vias"/>
    <s v="Indeterminado"/>
    <s v="Visual"/>
  </r>
  <r>
    <d v="2025-10-23T00:00:00"/>
    <d v="2025-10-23T00:00:00"/>
    <s v="Maria Camila Freyre Guaspud"/>
    <s v="9:51:41 a. m."/>
    <n v="-76.880971666666596"/>
    <n v="3.5962166666666602"/>
    <n v="574"/>
    <n v="2"/>
    <x v="0"/>
    <n v="15"/>
    <n v="10"/>
    <m/>
    <x v="0"/>
    <s v="Completamente"/>
    <x v="3"/>
    <x v="1"/>
    <s v="Despejado"/>
    <s v="Bosque ribere√±o"/>
    <m/>
    <s v="Herbaceo 0.3-1.5 m"/>
    <s v="Silverstoneia nubicola"/>
    <n v="2"/>
    <s v="Camila"/>
    <m/>
    <m/>
    <s v="Ninguna"/>
    <s v="Indeterminado"/>
    <s v="Visual"/>
  </r>
  <r>
    <d v="2025-10-23T00:00:00"/>
    <d v="2025-10-23T00:00:00"/>
    <s v="Maria Camila Freyre Guaspud"/>
    <s v="10:18:17 a. m."/>
    <n v="-76.881124999999997"/>
    <n v="3.5953916666666599"/>
    <n v="558"/>
    <m/>
    <x v="0"/>
    <n v="25"/>
    <n v="15"/>
    <m/>
    <x v="0"/>
    <s v="Completamente"/>
    <x v="4"/>
    <x v="1"/>
    <s v="Despejado"/>
    <s v="Bosque secundario"/>
    <m/>
    <m/>
    <s v="Ninguna"/>
    <n v="0"/>
    <m/>
    <m/>
    <m/>
    <s v="Vias"/>
    <m/>
    <m/>
  </r>
  <r>
    <d v="2025-10-23T00:00:00"/>
    <d v="2025-10-23T00:00:00"/>
    <s v="Maria Camila Freyre Guaspud"/>
    <s v="10:40:15 a. m."/>
    <n v="-76.883014999999901"/>
    <n v="3.5913633333333301"/>
    <n v="569"/>
    <n v="2"/>
    <x v="0"/>
    <n v="20"/>
    <n v="45"/>
    <m/>
    <x v="0"/>
    <s v="Completamente"/>
    <x v="0"/>
    <x v="1"/>
    <s v="Despejado"/>
    <s v="Bosque ribere√±o"/>
    <m/>
    <m/>
    <s v="Ninguna"/>
    <n v="0"/>
    <m/>
    <m/>
    <m/>
    <s v="Ninguna"/>
    <m/>
    <m/>
  </r>
  <r>
    <d v="2025-10-23T00:00:00"/>
    <d v="2025-10-23T00:00:00"/>
    <s v="Maria Camila Freyre Guaspud"/>
    <s v="11:26:29 a. m."/>
    <n v="-76.883438333333302"/>
    <n v="3.590605"/>
    <n v="580"/>
    <n v="2"/>
    <x v="0"/>
    <n v="15"/>
    <n v="40"/>
    <m/>
    <x v="0"/>
    <s v="Completamente"/>
    <x v="1"/>
    <x v="1"/>
    <s v="Despejado"/>
    <s v="Bosque ribere√±o"/>
    <m/>
    <m/>
    <s v="Ninguna"/>
    <n v="0"/>
    <m/>
    <m/>
    <m/>
    <s v="Ninguna"/>
    <m/>
    <m/>
  </r>
  <r>
    <d v="2025-10-23T00:00:00"/>
    <d v="2025-10-23T00:00:00"/>
    <s v="Maria Camila Freyre Guaspud"/>
    <s v="11:58:52 a. m."/>
    <n v="-76.884178333333296"/>
    <n v="3.59033333333333"/>
    <n v="580"/>
    <n v="5"/>
    <x v="0"/>
    <n v="35"/>
    <n v="25"/>
    <m/>
    <x v="0"/>
    <s v="Completamente"/>
    <x v="2"/>
    <x v="1"/>
    <s v="Despejado"/>
    <s v="Bosque ribere√±o"/>
    <m/>
    <m/>
    <s v="Ninguna"/>
    <n v="0"/>
    <s v="Se abri√≥ el camino y por ende no se encontr√≥ nada"/>
    <m/>
    <m/>
    <s v="Ninguna"/>
    <m/>
    <m/>
  </r>
  <r>
    <d v="2025-10-23T00:00:00"/>
    <d v="2025-10-23T00:00:00"/>
    <s v="Maria Camila Freyre Guaspud"/>
    <s v="6:48:10 p. m."/>
    <n v="-76.892703333333301"/>
    <n v="3.59666"/>
    <n v="600"/>
    <m/>
    <x v="0"/>
    <n v="15"/>
    <n v="5"/>
    <m/>
    <x v="0"/>
    <s v="Completamente"/>
    <x v="2"/>
    <x v="0"/>
    <s v="Nublado"/>
    <s v="Bosque secundario"/>
    <s v="John Sebastian Ovalle Talaga"/>
    <s v="Herbaceo 0.3-1.5 m"/>
    <s v="Oophaga lehmanni"/>
    <n v="2"/>
    <m/>
    <m/>
    <m/>
    <s v="Ninguna"/>
    <s v="Macho"/>
    <s v="Auditivo"/>
  </r>
  <r>
    <d v="2025-10-23T00:00:00"/>
    <d v="2025-10-23T00:00:00"/>
    <s v="Maria Camila Freyre Guaspud"/>
    <s v="6:45:00 p. m."/>
    <n v="-76.892716666666601"/>
    <n v="3.59679833333333"/>
    <n v="600"/>
    <m/>
    <x v="0"/>
    <n v="15"/>
    <n v="5"/>
    <m/>
    <x v="0"/>
    <s v="Completamente"/>
    <x v="2"/>
    <x v="0"/>
    <s v="Nublado"/>
    <s v="Bosque secundario"/>
    <s v="John Sebastian Ovalle Talaga"/>
    <s v="Rasante &lt;0.3 m"/>
    <s v="Centrolene savagei"/>
    <n v="1"/>
    <s v="Se encuentra muy delgada "/>
    <m/>
    <m/>
    <s v="Ninguna"/>
    <s v="Indeterminado"/>
    <s v="Visual"/>
  </r>
  <r>
    <d v="2025-10-23T00:00:00"/>
    <d v="2025-10-23T00:00:00"/>
    <s v="Maria Camila Freyre Guaspud"/>
    <s v="6:42:36 p. m."/>
    <n v="-76.892661666666598"/>
    <n v="3.5966983333333298"/>
    <n v="600"/>
    <m/>
    <x v="0"/>
    <n v="15"/>
    <n v="5"/>
    <m/>
    <x v="0"/>
    <s v="Completamente"/>
    <x v="2"/>
    <x v="0"/>
    <s v="Nublado"/>
    <s v="Bosque secundario"/>
    <s v="John Sebastian Ovalle Talaga"/>
    <s v="Rasante &lt;0.3 m"/>
    <s v="Pristimantis achatinus"/>
    <n v="1"/>
    <m/>
    <m/>
    <m/>
    <s v="Ninguna"/>
    <s v="Indeterminado"/>
    <s v="Visual"/>
  </r>
  <r>
    <d v="2025-10-23T00:00:00"/>
    <d v="2025-10-23T00:00:00"/>
    <s v="Maria Camila Freyre Guaspud"/>
    <s v="6:25:48 p. m."/>
    <n v="-76.892713333333305"/>
    <n v="3.5972016666666602"/>
    <n v="600"/>
    <m/>
    <x v="0"/>
    <n v="15"/>
    <n v="5"/>
    <m/>
    <x v="0"/>
    <s v="Completamente"/>
    <x v="2"/>
    <x v="0"/>
    <s v="Nublado"/>
    <s v="Bosque secundario"/>
    <s v="Cristian David Benavides Tello"/>
    <s v="Rasante &lt;0.3 m"/>
    <s v="Oophaga lehmanni"/>
    <n v="1"/>
    <m/>
    <m/>
    <m/>
    <s v="Ninguna"/>
    <s v="Indeterminado"/>
    <s v="Visual"/>
  </r>
  <r>
    <d v="2025-10-23T00:00:00"/>
    <d v="2025-10-23T00:00:00"/>
    <s v="Maria Camila Freyre Guaspud"/>
    <s v="7:26:28 p. m."/>
    <n v="-76.892344999999906"/>
    <n v="3.5953133333333298"/>
    <n v="561"/>
    <m/>
    <x v="0"/>
    <n v="15"/>
    <n v="5"/>
    <m/>
    <x v="0"/>
    <s v="Completamente"/>
    <x v="1"/>
    <x v="0"/>
    <s v="Parcialmente nublado"/>
    <s v="Bosque secundario"/>
    <s v="John Sebastian Ovalle Talaga"/>
    <s v="Herbaceo 0.3-1.5 m"/>
    <s v="Hyalinobatrachium aureoguttatum"/>
    <n v="10"/>
    <m/>
    <m/>
    <m/>
    <s v="Ninguna"/>
    <s v="Macho"/>
    <s v="Auditivo"/>
  </r>
  <r>
    <d v="2025-10-23T00:00:00"/>
    <d v="2025-10-23T00:00:00"/>
    <s v="Maria Camila Freyre Guaspud"/>
    <s v="7:24:25 p. m."/>
    <n v="-76.892253333333301"/>
    <n v="3.59523666666666"/>
    <n v="561"/>
    <m/>
    <x v="0"/>
    <n v="15"/>
    <n v="5"/>
    <m/>
    <x v="0"/>
    <s v="Completamente"/>
    <x v="1"/>
    <x v="0"/>
    <s v="Nublado"/>
    <s v="Bosque secundario"/>
    <m/>
    <s v="Herbaceo 0.3-1.5 m"/>
    <s v="Hyalinobatrachium aureoguttatum"/>
    <n v="4"/>
    <s v="Camila"/>
    <m/>
    <m/>
    <s v="Ninguna"/>
    <s v="Indeterminado"/>
    <s v="Visual"/>
  </r>
  <r>
    <d v="2025-10-23T00:00:00"/>
    <d v="2025-10-23T00:00:00"/>
    <s v="Maria Camila Freyre Guaspud"/>
    <s v="7:20:39 p. m."/>
    <n v="-76.892463333333296"/>
    <n v="3.59541166666666"/>
    <n v="561"/>
    <m/>
    <x v="0"/>
    <n v="15"/>
    <n v="5"/>
    <m/>
    <x v="0"/>
    <s v="Completamente"/>
    <x v="1"/>
    <x v="0"/>
    <s v="Nublado"/>
    <s v="Bosque secundario"/>
    <s v="John Sebastian Ovalle Talaga"/>
    <s v="Rasante &lt;0.3 m"/>
    <s v="Oophaga lehmanni"/>
    <n v="1"/>
    <m/>
    <m/>
    <m/>
    <s v="Ninguna"/>
    <s v="Macho"/>
    <s v="Auditivo"/>
  </r>
  <r>
    <d v="2025-10-23T00:00:00"/>
    <d v="2025-10-23T00:00:00"/>
    <s v="Maria Camila Freyre Guaspud"/>
    <s v="7:44:54 p. m."/>
    <n v="-76.891990000000007"/>
    <n v="3.5943249999999898"/>
    <n v="556"/>
    <m/>
    <x v="0"/>
    <n v="20"/>
    <n v="5"/>
    <m/>
    <x v="0"/>
    <s v="Completamente"/>
    <x v="0"/>
    <x v="0"/>
    <s v="Parcialmente nublado"/>
    <s v="Bosque secundario"/>
    <s v="John Sebastian Ovalle Talaga"/>
    <s v="Herbaceo 0.3-1.5 m"/>
    <s v="Pristimantis orpacobates"/>
    <n v="1"/>
    <m/>
    <m/>
    <m/>
    <s v="Ninguna"/>
    <s v="Indeterminado"/>
    <s v="Visual"/>
  </r>
  <r>
    <d v="2025-10-23T00:00:00"/>
    <d v="2025-10-23T00:00:00"/>
    <s v="Maria Camila Freyre Guaspud"/>
    <s v="8:21:32 p. m."/>
    <n v="-76.888705000000002"/>
    <n v="3.5970116666666598"/>
    <n v="549"/>
    <m/>
    <x v="0"/>
    <n v="10"/>
    <n v="2"/>
    <m/>
    <x v="0"/>
    <s v="Completamente"/>
    <x v="3"/>
    <x v="0"/>
    <s v="Parcialmente nublado"/>
    <s v="Bosque secundario"/>
    <m/>
    <s v="Rasante &lt;0.3 m"/>
    <s v="Pristimantis achatinus"/>
    <n v="4"/>
    <s v="Camila "/>
    <m/>
    <m/>
    <s v="Vias"/>
    <s v="Indeterminado"/>
    <s v="Visual"/>
  </r>
  <r>
    <d v="2025-10-23T00:00:00"/>
    <d v="2025-10-23T00:00:00"/>
    <s v="Maria Camila Freyre Guaspud"/>
    <s v="8:12:33 p. m."/>
    <n v="-76.889084999999994"/>
    <n v="3.5968433333333301"/>
    <n v="549"/>
    <m/>
    <x v="0"/>
    <n v="10"/>
    <n v="2"/>
    <m/>
    <x v="0"/>
    <s v="Completamente"/>
    <x v="3"/>
    <x v="0"/>
    <s v="Parcialmente nublado"/>
    <s v="Bosque secundario"/>
    <m/>
    <s v="Rasante &lt;0.3 m"/>
    <s v="Smilisca phaeota"/>
    <n v="5"/>
    <s v="Camila "/>
    <m/>
    <m/>
    <s v="Vias"/>
    <s v="Indeterminado"/>
    <s v="Visual"/>
  </r>
  <r>
    <d v="2025-10-23T00:00:00"/>
    <d v="2025-10-23T00:00:00"/>
    <s v="Maria Camila Freyre Guaspud"/>
    <s v="8:11:35 p. m."/>
    <n v="-76.889021666666594"/>
    <n v="3.5967950000000002"/>
    <n v="549"/>
    <m/>
    <x v="0"/>
    <n v="10"/>
    <n v="2"/>
    <m/>
    <x v="0"/>
    <s v="Completamente"/>
    <x v="3"/>
    <x v="0"/>
    <s v="Parcialmente nublado"/>
    <s v="Bosque secundario"/>
    <m/>
    <s v="Rasante &lt;0.3 m"/>
    <s v="Craugastor raniformis"/>
    <n v="5"/>
    <s v="Camila"/>
    <m/>
    <m/>
    <s v="Vias"/>
    <s v="Indeterminado"/>
    <s v="Visual"/>
  </r>
  <r>
    <d v="2025-10-23T00:00:00"/>
    <d v="2025-10-23T00:00:00"/>
    <s v="Maria Camila Freyre Guaspud"/>
    <s v="9:03:22 p. m."/>
    <n v="-76.881088333333295"/>
    <n v="3.5956183333333298"/>
    <n v="541"/>
    <m/>
    <x v="0"/>
    <n v="25"/>
    <n v="5"/>
    <m/>
    <x v="0"/>
    <s v="Completamente"/>
    <x v="4"/>
    <x v="1"/>
    <s v="Llovizna"/>
    <s v="Bosque secundario"/>
    <m/>
    <m/>
    <s v="Ninguna"/>
    <m/>
    <m/>
    <m/>
    <m/>
    <s v="Vias"/>
    <m/>
    <m/>
  </r>
  <r>
    <d v="2025-10-23T00:00:00"/>
    <d v="2025-10-23T00:00:00"/>
    <s v="Maria Camila Freyre Guaspud"/>
    <s v="9:24:11 p. m."/>
    <n v="-76.882429999999999"/>
    <n v="3.5914216666666601"/>
    <n v="592"/>
    <n v="2"/>
    <x v="0"/>
    <n v="15"/>
    <n v="45"/>
    <m/>
    <x v="0"/>
    <s v="Completamente"/>
    <x v="0"/>
    <x v="1"/>
    <s v="Llovizna"/>
    <s v="Bosque ribere√±o"/>
    <s v="John Sebastian Ovalle Talaga"/>
    <s v="Herbaceo 0.3-1.5 m"/>
    <s v="Pristimantis molybrignus"/>
    <n v="1"/>
    <s v="Revisar fotograf√≠as Camila celular "/>
    <m/>
    <m/>
    <s v="Ninguna"/>
    <s v="Indeterminado"/>
    <s v="Visual"/>
  </r>
  <r>
    <d v="2025-10-23T00:00:00"/>
    <d v="2025-10-23T00:00:00"/>
    <s v="Maria Camila Freyre Guaspud"/>
    <s v="10:06:59 p. m."/>
    <n v="-76.883544999999998"/>
    <n v="3.5903849999999902"/>
    <n v="619"/>
    <n v="3"/>
    <x v="0"/>
    <n v="15"/>
    <n v="10"/>
    <m/>
    <x v="0"/>
    <s v="Completamente"/>
    <x v="1"/>
    <x v="1"/>
    <s v="Llovizna"/>
    <s v="Bosque ribere√±o"/>
    <m/>
    <s v="Arbustivo 1.5-5 m"/>
    <s v="Hyloscirtus palmeri"/>
    <n v="1"/>
    <s v="Camial"/>
    <m/>
    <m/>
    <s v="Ninguna"/>
    <s v="Indeterminado"/>
    <s v="Visual"/>
  </r>
  <r>
    <d v="2025-10-23T00:00:00"/>
    <d v="2025-10-23T00:00:00"/>
    <s v="Maria Camila Freyre Guaspud"/>
    <s v="10:00:46 p. m."/>
    <n v="-76.883319999999998"/>
    <n v="3.5904400000000001"/>
    <n v="619"/>
    <n v="3"/>
    <x v="0"/>
    <n v="15"/>
    <n v="10"/>
    <m/>
    <x v="0"/>
    <s v="Completamente"/>
    <x v="1"/>
    <x v="1"/>
    <s v="Llovizna"/>
    <s v="Bosque ribere√±o"/>
    <m/>
    <s v="Arbustivo 1.5-5 m"/>
    <s v="Hyalinobatrachium aureoguttatum"/>
    <n v="2"/>
    <s v="Camila"/>
    <m/>
    <m/>
    <s v="Ninguna"/>
    <s v="Macho"/>
    <s v="Visual"/>
  </r>
  <r>
    <d v="2025-10-23T00:00:00"/>
    <d v="2025-10-23T00:00:00"/>
    <s v="Maria Camila Freyre Guaspud"/>
    <s v="9:50:57 p. m."/>
    <n v="-76.882819999999995"/>
    <n v="3.5905883333333302"/>
    <n v="619"/>
    <n v="3"/>
    <x v="0"/>
    <n v="15"/>
    <n v="10"/>
    <m/>
    <x v="0"/>
    <s v="Completamente"/>
    <x v="1"/>
    <x v="1"/>
    <s v="Llovizna"/>
    <s v="Bosque ribere√±o"/>
    <m/>
    <s v="Herbaceo 0.3-1.5 m"/>
    <s v="Hyalinobatrachium aureoguttatum"/>
    <n v="1"/>
    <s v="Camila"/>
    <m/>
    <m/>
    <s v="Ninguna"/>
    <s v="Macho"/>
    <s v="Auditivo"/>
  </r>
  <r>
    <d v="2025-10-23T00:00:00"/>
    <d v="2025-10-23T00:00:00"/>
    <s v="Maria Camila Freyre Guaspud"/>
    <s v="10:21:46 p. m."/>
    <n v="-76.884051666666593"/>
    <n v="3.5902483333333302"/>
    <n v="622"/>
    <n v="4"/>
    <x v="0"/>
    <n v="15"/>
    <n v="30"/>
    <m/>
    <x v="0"/>
    <s v="Completamente"/>
    <x v="2"/>
    <x v="1"/>
    <s v="Llovizna"/>
    <s v="Bosque ribere√±o"/>
    <m/>
    <m/>
    <s v="Ninguna"/>
    <m/>
    <m/>
    <m/>
    <m/>
    <s v="Ninguna"/>
    <m/>
    <m/>
  </r>
  <r>
    <d v="2025-10-22T00:00:00"/>
    <d v="2025-10-22T00:00:00"/>
    <s v="Maria Camila Freyre Guaspud"/>
    <s v="9:24:10 a. m."/>
    <n v="-76.880696666666594"/>
    <n v="3.57734666666666"/>
    <n v="646"/>
    <m/>
    <x v="0"/>
    <n v="15"/>
    <n v="0"/>
    <m/>
    <x v="0"/>
    <s v="Completamente"/>
    <x v="0"/>
    <x v="2"/>
    <s v="Despejado"/>
    <s v="Bosque secundario"/>
    <m/>
    <s v="Herbaceo 0.3-1.5 m"/>
    <s v="Oophaga lehmanni"/>
    <n v="1"/>
    <s v="Camila"/>
    <m/>
    <m/>
    <s v="Ninguna"/>
    <s v="Indeterminado"/>
    <s v="Visual"/>
  </r>
  <r>
    <d v="2025-10-22T00:00:00"/>
    <d v="2025-10-22T00:00:00"/>
    <s v="Maria Camila Freyre Guaspud"/>
    <s v="9:21:20 a. m."/>
    <n v="-76.880648333333298"/>
    <n v="3.5771983333333299"/>
    <n v="646"/>
    <m/>
    <x v="0"/>
    <n v="15"/>
    <n v="0"/>
    <m/>
    <x v="0"/>
    <s v="Completamente"/>
    <x v="0"/>
    <x v="2"/>
    <s v="Despejado"/>
    <s v="Bosque secundario"/>
    <m/>
    <s v="Rasante &lt;0.3 m"/>
    <s v="Pristimantis achatinus"/>
    <n v="1"/>
    <s v="Camila "/>
    <m/>
    <m/>
    <s v="Ninguna"/>
    <s v="Indeterminado"/>
    <s v="Visual"/>
  </r>
  <r>
    <d v="2025-10-22T00:00:00"/>
    <d v="2025-10-22T00:00:00"/>
    <s v="Maria Camila Freyre Guaspud"/>
    <s v="9:14:56 a. m."/>
    <n v="-76.880213333333302"/>
    <n v="3.5767533333333299"/>
    <n v="646"/>
    <m/>
    <x v="0"/>
    <n v="15"/>
    <n v="0"/>
    <m/>
    <x v="0"/>
    <s v="Completamente"/>
    <x v="0"/>
    <x v="2"/>
    <s v="Despejado"/>
    <s v="Bosque secundario"/>
    <s v="John Sebastian Ovalle Talaga"/>
    <s v="Herbaceo 0.3-1.5 m"/>
    <s v="Oophaga lehmanni"/>
    <n v="2"/>
    <m/>
    <m/>
    <m/>
    <s v="Ninguna"/>
    <s v="Macho"/>
    <s v="Auditivo"/>
  </r>
  <r>
    <d v="2025-10-22T00:00:00"/>
    <d v="2025-10-22T00:00:00"/>
    <s v="Maria Camila Freyre Guaspud"/>
    <s v="9:11:47 a. m."/>
    <n v="-76.880126666666598"/>
    <n v="3.5765099999999999"/>
    <n v="646"/>
    <m/>
    <x v="0"/>
    <n v="15"/>
    <n v="0"/>
    <m/>
    <x v="0"/>
    <s v="Completamente"/>
    <x v="0"/>
    <x v="2"/>
    <s v="Despejado"/>
    <s v="Bosque secundario"/>
    <s v="John Sebastian Ovalle Talaga"/>
    <s v="Herbaceo 0.3-1.5 m"/>
    <s v="Oophaga lehmanni"/>
    <n v="1"/>
    <m/>
    <m/>
    <m/>
    <s v="Ninguna"/>
    <s v="Macho"/>
    <s v="Auditivo"/>
  </r>
  <r>
    <d v="2025-10-22T00:00:00"/>
    <d v="2025-10-22T00:00:00"/>
    <s v="Maria Camila Freyre Guaspud"/>
    <s v="9:39:34 a. m."/>
    <n v="-76.880603333333298"/>
    <n v="3.5781733333333299"/>
    <n v="649"/>
    <m/>
    <x v="0"/>
    <n v="12"/>
    <n v="2"/>
    <m/>
    <x v="0"/>
    <s v="Completamente"/>
    <x v="1"/>
    <x v="2"/>
    <s v="Despejado"/>
    <s v="Bosque secundario"/>
    <m/>
    <m/>
    <s v="Ninguna"/>
    <n v="0"/>
    <m/>
    <m/>
    <m/>
    <s v="Ninguna"/>
    <m/>
    <m/>
  </r>
  <r>
    <d v="2025-10-22T00:00:00"/>
    <d v="2025-10-22T00:00:00"/>
    <s v="Maria Camila Freyre Guaspud"/>
    <s v="10:11:10 a. m."/>
    <n v="-76.880651666666594"/>
    <n v="3.57862833333333"/>
    <n v="678"/>
    <m/>
    <x v="0"/>
    <n v="30"/>
    <n v="50"/>
    <m/>
    <x v="0"/>
    <s v="Completamente"/>
    <x v="2"/>
    <x v="2"/>
    <s v="Despejado"/>
    <s v="Bosque secundario"/>
    <m/>
    <s v="Herbaceo 0.3-1.5 m"/>
    <s v="Oophaga lehmanni"/>
    <n v="2"/>
    <s v="Camila"/>
    <m/>
    <m/>
    <s v="Ninguna"/>
    <s v="Macho"/>
    <s v="Auditivo"/>
  </r>
  <r>
    <d v="2025-10-22T00:00:00"/>
    <d v="2025-10-22T00:00:00"/>
    <s v="Maria Camila Freyre Guaspud"/>
    <s v="10:05:04 a. m."/>
    <n v="-76.8807883333333"/>
    <n v="3.578525"/>
    <n v="678"/>
    <m/>
    <x v="0"/>
    <n v="30"/>
    <n v="50"/>
    <m/>
    <x v="0"/>
    <s v="Completamente"/>
    <x v="2"/>
    <x v="2"/>
    <s v="Despejado"/>
    <s v="Bosque ripario"/>
    <s v="John Sebastian Ovalle Talaga"/>
    <s v="Herbaceo 0.3-1.5 m"/>
    <s v="Oophaga lehmanni"/>
    <n v="1"/>
    <m/>
    <m/>
    <m/>
    <s v="Ninguna"/>
    <s v="Indeterminado"/>
    <s v="Visual"/>
  </r>
  <r>
    <d v="2025-10-22T00:00:00"/>
    <d v="2025-10-22T00:00:00"/>
    <s v="Maria Camila Freyre Guaspud"/>
    <s v="9:48:13 a. m."/>
    <n v="-76.881036666666603"/>
    <n v="3.5782583333333302"/>
    <n v="678"/>
    <m/>
    <x v="0"/>
    <n v="30"/>
    <n v="50"/>
    <m/>
    <x v="0"/>
    <s v="Completamente"/>
    <x v="2"/>
    <x v="2"/>
    <s v="Despejado"/>
    <s v="Bosque secundario"/>
    <s v="John Sebastian Ovalle Talaga"/>
    <s v="Herbaceo 0.3-1.5 m"/>
    <s v="Oophaga lehmanni"/>
    <n v="1"/>
    <m/>
    <m/>
    <m/>
    <s v="Ninguna"/>
    <s v="Indeterminado"/>
    <s v="Visual"/>
  </r>
  <r>
    <d v="2025-10-22T00:00:00"/>
    <d v="2025-10-22T00:00:00"/>
    <s v="Maria Camila Freyre Guaspud"/>
    <s v="10:31:45 a. m."/>
    <n v="-76.880451666666602"/>
    <n v="3.5794399999999902"/>
    <n v="655"/>
    <m/>
    <x v="0"/>
    <n v="10"/>
    <n v="50"/>
    <m/>
    <x v="0"/>
    <s v="Parcialmente"/>
    <x v="3"/>
    <x v="2"/>
    <s v="Despejado"/>
    <s v="Bosque secundario"/>
    <s v="John Sebastian Ovalle Talaga"/>
    <s v="Rasante &lt;0.3 m"/>
    <s v="Oophaga lehmanni"/>
    <n v="1"/>
    <m/>
    <m/>
    <m/>
    <s v="Ninguna"/>
    <s v="Macho"/>
    <s v="Auditivo"/>
  </r>
  <r>
    <d v="2025-10-22T00:00:00"/>
    <d v="2025-10-22T00:00:00"/>
    <s v="Maria Camila Freyre Guaspud"/>
    <s v="7:12:39 p. m."/>
    <n v="-76.879521666666605"/>
    <n v="3.5959316666666599"/>
    <n v="540"/>
    <n v="3"/>
    <x v="0"/>
    <n v="10"/>
    <n v="30"/>
    <m/>
    <x v="0"/>
    <s v="Completamente"/>
    <x v="3"/>
    <x v="1"/>
    <s v="Despejado"/>
    <s v="Bosque ribere√±o"/>
    <s v="Cristian David Benavides Tello"/>
    <s v="Herbaceo 0.3-1.5 m"/>
    <s v="Pristimantis orpacobates"/>
    <n v="1"/>
    <m/>
    <m/>
    <m/>
    <s v="Ninguna"/>
    <s v="Indeterminado"/>
    <s v="Visual"/>
  </r>
  <r>
    <d v="2025-10-21T00:00:00"/>
    <d v="2025-10-21T00:00:00"/>
    <s v="Maria Camila Freyre Guaspud"/>
    <s v="9:24:44 a. m."/>
    <n v="-76.878683333333299"/>
    <n v="3.544035"/>
    <n v="550"/>
    <n v="4"/>
    <x v="0"/>
    <n v="12"/>
    <n v="5"/>
    <m/>
    <x v="0"/>
    <s v="Completamente"/>
    <x v="0"/>
    <x v="3"/>
    <s v="Nublado"/>
    <s v="Bosque ribere√±o"/>
    <m/>
    <s v="Rasante &lt;0.3 m"/>
    <s v="Rhaebo haematiticus"/>
    <n v="2"/>
    <s v="Camila"/>
    <m/>
    <m/>
    <s v="Ninguna"/>
    <s v="Indeterminado"/>
    <s v="Visual"/>
  </r>
  <r>
    <d v="2025-10-21T00:00:00"/>
    <d v="2025-10-21T00:00:00"/>
    <s v="Maria Camila Freyre Guaspud"/>
    <s v="9:52:26 a. m."/>
    <n v="-76.877955"/>
    <n v="3.5435583333333298"/>
    <n v="550"/>
    <m/>
    <x v="0"/>
    <n v="15"/>
    <n v="30"/>
    <m/>
    <x v="0"/>
    <s v="Completamente"/>
    <x v="1"/>
    <x v="3"/>
    <s v="Nublado"/>
    <s v="Bosque secundario"/>
    <m/>
    <s v="Rasante &lt;0.3 m"/>
    <s v="Craugastor raniformis"/>
    <n v="1"/>
    <s v="Camila"/>
    <m/>
    <m/>
    <s v="Vias"/>
    <s v="Indeterminado"/>
    <s v="Visual"/>
  </r>
  <r>
    <d v="2025-10-21T00:00:00"/>
    <d v="2025-10-21T00:00:00"/>
    <s v="Maria Camila Freyre Guaspud"/>
    <s v="9:50:30 a. m."/>
    <n v="-76.878065000000007"/>
    <n v="3.5436366666666599"/>
    <n v="550"/>
    <m/>
    <x v="0"/>
    <n v="15"/>
    <n v="30"/>
    <m/>
    <x v="0"/>
    <s v="Completamente"/>
    <x v="1"/>
    <x v="3"/>
    <s v="Nublado"/>
    <s v="Bosque secundario"/>
    <m/>
    <s v="Rasante &lt;0.3 m"/>
    <s v="Rhaebo haematiticus"/>
    <n v="4"/>
    <s v="Camila "/>
    <m/>
    <m/>
    <s v="Vias"/>
    <s v="Indeterminado"/>
    <s v="Visual"/>
  </r>
  <r>
    <d v="2025-10-21T00:00:00"/>
    <d v="2025-10-21T00:00:00"/>
    <s v="Maria Camila Freyre Guaspud"/>
    <s v="9:49:43 a. m."/>
    <n v="-76.878083333333294"/>
    <n v="3.5436200000000002"/>
    <n v="550"/>
    <m/>
    <x v="0"/>
    <n v="15"/>
    <n v="30"/>
    <m/>
    <x v="0"/>
    <s v="Completamente"/>
    <x v="1"/>
    <x v="3"/>
    <s v="Nublado"/>
    <s v="Bosque secundario"/>
    <m/>
    <s v="Rasante &lt;0.3 m"/>
    <s v="Craugastor longirostris"/>
    <n v="1"/>
    <s v="Camila"/>
    <m/>
    <m/>
    <s v="Vias"/>
    <s v="Indeterminado"/>
    <s v="Visual"/>
  </r>
  <r>
    <d v="2025-10-21T00:00:00"/>
    <d v="2025-10-21T00:00:00"/>
    <s v="Maria Camila Freyre Guaspud"/>
    <s v="10:26:30 a. m."/>
    <n v="-76.890486666666604"/>
    <n v="3.5508266666666599"/>
    <n v="656"/>
    <n v="9"/>
    <x v="0"/>
    <n v="10"/>
    <n v="10"/>
    <m/>
    <x v="0"/>
    <s v="No se pudo realizar"/>
    <x v="0"/>
    <x v="4"/>
    <s v="Llovizna"/>
    <s v="Bosque ribere√±o"/>
    <m/>
    <s v="Rasante &lt;0.3 m"/>
    <s v="Rhaebo haematiticus"/>
    <n v="2"/>
    <s v="Camila"/>
    <m/>
    <m/>
    <s v="Ninguna"/>
    <s v="Indeterminado"/>
    <s v="Visual"/>
  </r>
  <r>
    <d v="2025-10-21T00:00:00"/>
    <d v="2025-10-21T00:00:00"/>
    <s v="Maria Camila Freyre Guaspud"/>
    <s v="10:44:49 a. m."/>
    <n v="-76.889661666666598"/>
    <n v="3.5507550000000001"/>
    <n v="656"/>
    <m/>
    <x v="0"/>
    <n v="6"/>
    <m/>
    <m/>
    <x v="0"/>
    <s v="Completamente"/>
    <x v="1"/>
    <x v="4"/>
    <s v="Llovizna"/>
    <s v="Bosque ribere√±o"/>
    <m/>
    <s v="Rasante &lt;0.3 m"/>
    <s v="Craugastor raniformis"/>
    <n v="2"/>
    <s v="Camila"/>
    <m/>
    <m/>
    <s v="Vias"/>
    <s v="Indeterminado"/>
    <s v="Visual"/>
  </r>
  <r>
    <d v="2025-10-21T00:00:00"/>
    <d v="2025-10-21T00:00:00"/>
    <s v="Maria Camila Freyre Guaspud"/>
    <s v="10:37:14 a. m."/>
    <n v="-76.889814999999999"/>
    <n v="3.5506266666666599"/>
    <n v="656"/>
    <m/>
    <x v="0"/>
    <n v="6"/>
    <m/>
    <m/>
    <x v="0"/>
    <s v="Completamente"/>
    <x v="1"/>
    <x v="4"/>
    <s v="Llovizna"/>
    <s v="Bosque ripario"/>
    <m/>
    <s v="Rasante &lt;0.3 m"/>
    <s v="Craugastor raniformis"/>
    <n v="5"/>
    <s v="Camila"/>
    <m/>
    <m/>
    <s v="Vias"/>
    <s v="Indeterminado"/>
    <s v="Visual"/>
  </r>
  <r>
    <d v="2025-10-21T00:00:00"/>
    <d v="2025-10-21T00:00:00"/>
    <s v="Maria Camila Freyre Guaspud"/>
    <s v="10:35:25 a. m."/>
    <n v="-76.889963333333299"/>
    <s v="3.550748333333333"/>
    <n v="656"/>
    <m/>
    <x v="0"/>
    <n v="6"/>
    <m/>
    <m/>
    <x v="0"/>
    <s v="Completamente"/>
    <x v="1"/>
    <x v="4"/>
    <s v="Llovizna"/>
    <s v="Bosque ribere√±o"/>
    <m/>
    <s v="Rasante &lt;0.3 m"/>
    <s v="Rhaebo haematiticus"/>
    <n v="10"/>
    <s v="Camila"/>
    <m/>
    <m/>
    <s v="Vias"/>
    <s v="Indeterminado"/>
    <s v="Visual"/>
  </r>
  <r>
    <d v="2025-10-21T00:00:00"/>
    <d v="2025-10-21T00:00:00"/>
    <s v="Maria Camila Freyre Guaspud"/>
    <s v="11:02:24 a. m."/>
    <n v="-76.887591666666594"/>
    <s v="3.5505716666666665"/>
    <n v="656"/>
    <m/>
    <x v="0"/>
    <n v="15"/>
    <n v="5"/>
    <m/>
    <x v="0"/>
    <s v="Completamente"/>
    <x v="2"/>
    <x v="4"/>
    <s v="Llovizna"/>
    <s v="Bosque secundario"/>
    <m/>
    <s v="Rasante &lt;0.3 m"/>
    <s v="Craugastor raniformis"/>
    <n v="1"/>
    <s v="Camila"/>
    <m/>
    <m/>
    <s v="Vias"/>
    <s v="Indeterminado"/>
    <s v="Visual"/>
  </r>
  <r>
    <d v="2025-10-21T00:00:00"/>
    <d v="2025-10-21T00:00:00"/>
    <s v="Maria Camila Freyre Guaspud"/>
    <s v="11:00:40 a. m."/>
    <n v="-76.887853333333297"/>
    <s v="3.5506716666666667"/>
    <n v="656"/>
    <m/>
    <x v="0"/>
    <n v="15"/>
    <n v="5"/>
    <m/>
    <x v="0"/>
    <s v="Completamente"/>
    <x v="2"/>
    <x v="4"/>
    <s v="Llovizna"/>
    <s v="Bosque secundario"/>
    <m/>
    <s v="Rasante &lt;0.3 m"/>
    <s v="Rhaebo haematiticus"/>
    <n v="1"/>
    <s v="Camila"/>
    <m/>
    <m/>
    <s v="Vias"/>
    <s v="Indeterminado"/>
    <s v="Visual"/>
  </r>
  <r>
    <d v="2025-10-21T00:00:00"/>
    <d v="2025-10-21T00:00:00"/>
    <s v="Maria Camila Freyre Guaspud"/>
    <s v="11:14:17 a. m."/>
    <n v="-76.883229999999998"/>
    <s v="3.5525833333333328"/>
    <n v="566"/>
    <m/>
    <x v="0"/>
    <n v="15"/>
    <n v="5"/>
    <m/>
    <x v="0"/>
    <s v="Completamente"/>
    <x v="2"/>
    <x v="5"/>
    <s v="Llovizna"/>
    <s v="Bosque secundario"/>
    <s v="John Sebastian Ovalle Talaga"/>
    <s v="Rasante &lt;0.3 m"/>
    <s v="Craugastor raniformis"/>
    <n v="1"/>
    <m/>
    <m/>
    <m/>
    <s v="Vias"/>
    <s v="Indeterminado"/>
    <s v="Visual"/>
  </r>
  <r>
    <d v="2025-10-21T00:00:00"/>
    <d v="2025-10-21T00:00:00"/>
    <s v="Maria Camila Freyre Guaspud"/>
    <s v="11:52:29 a. m."/>
    <n v="-76.880373333333296"/>
    <s v="3.552843333333333"/>
    <n v="654"/>
    <m/>
    <x v="0"/>
    <n v="10"/>
    <n v="10"/>
    <m/>
    <x v="0"/>
    <s v="Completamente"/>
    <x v="0"/>
    <x v="5"/>
    <s v="Nublado"/>
    <s v="Bosque secundario"/>
    <m/>
    <m/>
    <s v="Ninguna"/>
    <n v="0"/>
    <m/>
    <m/>
    <m/>
    <s v="Vias"/>
    <m/>
    <m/>
  </r>
  <r>
    <d v="2025-10-21T00:00:00"/>
    <d v="2025-10-21T00:00:00"/>
    <s v="Maria Camila Freyre Guaspud"/>
    <s v="11:45:05 a. m."/>
    <n v="-76.881858333333298"/>
    <n v="3.55254"/>
    <n v="654"/>
    <m/>
    <x v="0"/>
    <n v="10"/>
    <n v="5"/>
    <m/>
    <x v="0"/>
    <s v="Completamente"/>
    <x v="1"/>
    <x v="5"/>
    <s v="Nublado"/>
    <s v="Bosque secundario"/>
    <m/>
    <m/>
    <s v="Ninguna"/>
    <n v="0"/>
    <m/>
    <m/>
    <m/>
    <s v="Vias"/>
    <m/>
    <m/>
  </r>
  <r>
    <d v="2025-10-21T00:00:00"/>
    <d v="2025-10-21T00:00:00"/>
    <s v="Maria Camila Freyre Guaspud"/>
    <s v="11:36:57 a. m."/>
    <n v="-76.882459999999995"/>
    <s v="3.552926666666666"/>
    <n v="564"/>
    <n v="1"/>
    <x v="0"/>
    <n v="10"/>
    <n v="1"/>
    <m/>
    <x v="0"/>
    <s v="Completamente"/>
    <x v="3"/>
    <x v="5"/>
    <s v="Llovizna"/>
    <s v="Bosque ripario"/>
    <m/>
    <m/>
    <s v="Ninguna"/>
    <n v="0"/>
    <m/>
    <m/>
    <s v="Construcci√≥n de canal"/>
    <s v="Otra"/>
    <m/>
    <m/>
  </r>
  <r>
    <d v="2025-10-21T00:00:00"/>
    <d v="2025-10-21T00:00:00"/>
    <s v="Maria Camila Freyre Guaspud"/>
    <s v="7:51:01 p. m."/>
    <n v="-76.878579999999999"/>
    <s v="3.5433399999999997"/>
    <n v="565"/>
    <n v="4"/>
    <x v="0"/>
    <n v="10"/>
    <n v="5"/>
    <m/>
    <x v="0"/>
    <s v="Completamente"/>
    <x v="0"/>
    <x v="3"/>
    <s v="Despejado"/>
    <s v="Bosque ribere√±o"/>
    <m/>
    <s v="Rasante &lt;0.3 m"/>
    <s v="Sachatamia orejuela "/>
    <n v="1"/>
    <s v="Camila"/>
    <m/>
    <m/>
    <s v="Ninguna"/>
    <s v="Indeterminado"/>
    <s v="Visual"/>
  </r>
  <r>
    <d v="2025-10-21T00:00:00"/>
    <d v="2025-10-21T00:00:00"/>
    <s v="Maria Camila Freyre Guaspud"/>
    <s v="7:42:49 p. m."/>
    <n v="-76.878549999999905"/>
    <s v="3.543253333333333"/>
    <n v="565"/>
    <n v="4"/>
    <x v="0"/>
    <n v="10"/>
    <n v="5"/>
    <m/>
    <x v="0"/>
    <s v="Completamente"/>
    <x v="0"/>
    <x v="3"/>
    <s v="Despejado"/>
    <s v="Bosque ribere√±o"/>
    <s v="Oscar Fernando Quinonez Moreno"/>
    <s v="Rasante &lt;0.3 m"/>
    <s v="Rhaebo haematiticus"/>
    <n v="2"/>
    <m/>
    <m/>
    <m/>
    <s v="Ninguna"/>
    <s v="Indeterminado"/>
    <s v="Visual"/>
  </r>
  <r>
    <d v="2025-10-21T00:00:00"/>
    <d v="2025-10-21T00:00:00"/>
    <s v="Maria Camila Freyre Guaspud"/>
    <s v="7:33:06 p. m."/>
    <n v="-76.878681666666594"/>
    <s v="3.5435266666666667"/>
    <n v="565"/>
    <n v="4"/>
    <x v="0"/>
    <n v="10"/>
    <n v="5"/>
    <m/>
    <x v="0"/>
    <s v="Completamente"/>
    <x v="0"/>
    <x v="3"/>
    <s v="Despejado"/>
    <s v="Bosque ribere√±o"/>
    <m/>
    <s v="Herbaceo 0.3-1.5 m"/>
    <s v="Hyloscirtus palmeri"/>
    <n v="1"/>
    <s v="Camila"/>
    <m/>
    <m/>
    <s v="Ninguna"/>
    <s v="Indeterminado"/>
    <s v="Visual"/>
  </r>
  <r>
    <d v="2025-10-21T00:00:00"/>
    <d v="2025-10-21T00:00:00"/>
    <s v="Maria Camila Freyre Guaspud"/>
    <s v="7:31:38 p. m."/>
    <n v="-76.878716666666605"/>
    <s v="3.543586666666667"/>
    <n v="565"/>
    <n v="4"/>
    <x v="0"/>
    <n v="10"/>
    <n v="5"/>
    <m/>
    <x v="0"/>
    <s v="Completamente"/>
    <x v="0"/>
    <x v="3"/>
    <s v="Despejado"/>
    <s v="Bosque ribere√±o"/>
    <m/>
    <s v="Arbustivo 1.5-5 m"/>
    <s v="Hyalinobatrachium aureoguttatum"/>
    <n v="2"/>
    <s v="Camila"/>
    <m/>
    <m/>
    <s v="Ninguna"/>
    <s v="Indeterminado"/>
    <s v="Visual"/>
  </r>
  <r>
    <d v="2025-10-21T00:00:00"/>
    <d v="2025-10-21T00:00:00"/>
    <s v="Maria Camila Freyre Guaspud"/>
    <s v="7:29:33 p. m."/>
    <n v="-76.878729999999905"/>
    <s v="3.5436866666666664"/>
    <n v="565"/>
    <n v="4"/>
    <x v="0"/>
    <n v="10"/>
    <n v="5"/>
    <m/>
    <x v="0"/>
    <s v="Completamente"/>
    <x v="0"/>
    <x v="3"/>
    <s v="Despejado"/>
    <s v="Bosque ripario"/>
    <s v="John Sebastian Ovalle Talaga"/>
    <s v="Rasante &lt;0.3 m"/>
    <s v="Craugastor raniformis"/>
    <n v="3"/>
    <m/>
    <m/>
    <m/>
    <s v="Ninguna"/>
    <s v="Indeterminado"/>
    <s v="Visual"/>
  </r>
  <r>
    <d v="2025-10-21T00:00:00"/>
    <d v="2025-10-21T00:00:00"/>
    <s v="Maria Camila Freyre Guaspud"/>
    <s v="7:20:02 p. m."/>
    <n v="-76.878561666666599"/>
    <s v="3.543851666666667"/>
    <n v="565"/>
    <n v="4"/>
    <x v="0"/>
    <n v="10"/>
    <n v="5"/>
    <m/>
    <x v="0"/>
    <s v="Completamente"/>
    <x v="0"/>
    <x v="3"/>
    <s v="Despejado"/>
    <s v="Bosque ribere√±o"/>
    <s v="John Sebastian Ovalle Talaga"/>
    <s v="Herbaceo 0.3-1.5 m"/>
    <s v="Rhaebo haematiticus"/>
    <n v="1"/>
    <m/>
    <m/>
    <m/>
    <s v="Ninguna"/>
    <s v="Indeterminado"/>
    <s v="Visual"/>
  </r>
  <r>
    <d v="2025-10-21T00:00:00"/>
    <d v="2025-10-21T00:00:00"/>
    <s v="Maria Camila Freyre Guaspud"/>
    <s v="7:18:13 p. m."/>
    <n v="-76.878594999999905"/>
    <s v="3.5438883333333338"/>
    <n v="565"/>
    <n v="4"/>
    <x v="0"/>
    <n v="10"/>
    <n v="5"/>
    <m/>
    <x v="0"/>
    <s v="Completamente"/>
    <x v="0"/>
    <x v="3"/>
    <s v="Despejado"/>
    <s v="Bosque ribere√±o"/>
    <s v="John Sebastian Ovalle Talaga"/>
    <m/>
    <s v="Hyalinobatrachium aureoguttatum"/>
    <n v="20"/>
    <m/>
    <m/>
    <m/>
    <s v="Ninguna"/>
    <s v="Indeterminado"/>
    <s v="Auditivo, Visual"/>
  </r>
  <r>
    <d v="2025-10-21T00:00:00"/>
    <d v="2025-10-21T00:00:00"/>
    <s v="Maria Camila Freyre Guaspud"/>
    <s v="7:17:18 p. m."/>
    <n v="-76.878533333333294"/>
    <s v="3.543861666666667"/>
    <n v="565"/>
    <n v="4"/>
    <x v="0"/>
    <n v="10"/>
    <n v="5"/>
    <m/>
    <x v="0"/>
    <s v="Completamente"/>
    <x v="0"/>
    <x v="3"/>
    <s v="Despejado"/>
    <s v="Bosque ribere√±o"/>
    <s v="John Sebastian Ovalle Talaga"/>
    <s v="Herbaceo 0.3-1.5 m"/>
    <s v="Rhaebo haematiticus"/>
    <n v="1"/>
    <m/>
    <m/>
    <m/>
    <s v="Ninguna"/>
    <s v="Indeterminado"/>
    <s v="Visual"/>
  </r>
  <r>
    <d v="2025-10-21T00:00:00"/>
    <d v="2025-10-21T00:00:00"/>
    <s v="Maria Camila Freyre Guaspud"/>
    <s v="7:02:52 p. m."/>
    <n v="-76.878271666666606"/>
    <s v="3.5438566666666667"/>
    <n v="565"/>
    <n v="4"/>
    <x v="0"/>
    <n v="10"/>
    <n v="5"/>
    <m/>
    <x v="0"/>
    <s v="Completamente"/>
    <x v="0"/>
    <x v="3"/>
    <s v="Despejado"/>
    <s v="Bosque ribere√±o"/>
    <s v="John Sebastian Ovalle Talaga"/>
    <s v="Arbustivo 1.5-5 m"/>
    <s v="Hyalinobatrachium aureoguttatum"/>
    <n v="15"/>
    <s v="En amplexo, cantando y con huevos"/>
    <m/>
    <m/>
    <s v="Ninguna"/>
    <s v="Hembra"/>
    <s v="Auditivo, Visual"/>
  </r>
  <r>
    <d v="2025-10-21T00:00:00"/>
    <d v="2025-10-21T00:00:00"/>
    <s v="Maria Camila Freyre Guaspud"/>
    <s v="8:12:59 p. m."/>
    <n v="-76.877558333333297"/>
    <s v="3.5432050000000004"/>
    <n v="562"/>
    <m/>
    <x v="0"/>
    <n v="15"/>
    <n v="10"/>
    <m/>
    <x v="0"/>
    <s v="Completamente"/>
    <x v="1"/>
    <x v="3"/>
    <s v="Despejado"/>
    <s v="Bosque secundario"/>
    <m/>
    <s v="Rasante &lt;0.3 m"/>
    <s v="Craugastor raniformis"/>
    <n v="1"/>
    <s v="Camila"/>
    <m/>
    <m/>
    <s v="Vias"/>
    <s v="Indeterminado"/>
    <s v="Visual"/>
  </r>
  <r>
    <d v="2025-10-21T00:00:00"/>
    <d v="2025-10-21T00:00:00"/>
    <s v="Maria Camila Freyre Guaspud"/>
    <s v="8:39:43 p. m."/>
    <n v="-76.890339999999995"/>
    <s v="3.550768333333334"/>
    <n v="661"/>
    <n v="8"/>
    <x v="0"/>
    <n v="15"/>
    <n v="10"/>
    <m/>
    <x v="0"/>
    <s v="Parcialmente"/>
    <x v="0"/>
    <x v="4"/>
    <s v="Despejado"/>
    <s v="Bosque ripario"/>
    <m/>
    <s v="Herbaceo 0.3-1.5 m"/>
    <s v="Sachatamia orejuela "/>
    <n v="10"/>
    <s v="Camila "/>
    <m/>
    <m/>
    <s v="Ninguna"/>
    <s v="Indeterminado"/>
    <s v="Visual"/>
  </r>
  <r>
    <d v="2025-10-21T00:00:00"/>
    <d v="2025-10-21T00:00:00"/>
    <s v="Maria Camila Freyre Guaspud"/>
    <s v="9:22:30 p. m."/>
    <n v="-76.889454999999998"/>
    <s v="3.550688333333333"/>
    <n v="673"/>
    <m/>
    <x v="0"/>
    <n v="15"/>
    <n v="3"/>
    <m/>
    <x v="0"/>
    <s v="Completamente"/>
    <x v="1"/>
    <x v="4"/>
    <s v="Nublado"/>
    <s v="Bosque secundario"/>
    <m/>
    <s v="Rasante &lt;0.3 m"/>
    <s v="Craugastor raniformis"/>
    <n v="2"/>
    <s v="Camila"/>
    <m/>
    <m/>
    <s v="Vias"/>
    <s v="Indeterminado"/>
    <s v="Visual"/>
  </r>
  <r>
    <d v="2025-10-21T00:00:00"/>
    <d v="2025-10-21T00:00:00"/>
    <s v="Maria Camila Freyre Guaspud"/>
    <s v="9:21:34 p. m."/>
    <n v="-76.889556666666607"/>
    <s v="3.5507583333333335"/>
    <n v="673"/>
    <m/>
    <x v="0"/>
    <n v="15"/>
    <n v="3"/>
    <m/>
    <x v="0"/>
    <s v="Completamente"/>
    <x v="1"/>
    <x v="4"/>
    <s v="Despejado"/>
    <s v="Bosque secundario"/>
    <m/>
    <s v="Rasante &lt;0.3 m"/>
    <s v="Smilisca phaeota"/>
    <n v="3"/>
    <s v="Amplexo camilo"/>
    <m/>
    <m/>
    <s v="Vias"/>
    <s v="Macho"/>
    <s v="Visual"/>
  </r>
  <r>
    <d v="2025-10-21T00:00:00"/>
    <d v="2025-10-21T00:00:00"/>
    <s v="Maria Camila Freyre Guaspud"/>
    <s v="9:17:28 p. m."/>
    <n v="-76.889666666666599"/>
    <s v="3.550698333333333"/>
    <n v="673"/>
    <m/>
    <x v="0"/>
    <n v="15"/>
    <n v="3"/>
    <m/>
    <x v="0"/>
    <s v="Completamente"/>
    <x v="1"/>
    <x v="4"/>
    <s v="Despejado"/>
    <s v="Bosque secundario"/>
    <m/>
    <s v="Rasante &lt;0.3 m"/>
    <s v="Smilisca phaeota"/>
    <n v="1"/>
    <s v="Camila"/>
    <m/>
    <m/>
    <s v="Vias"/>
    <s v="Indeterminado"/>
    <s v="Visual"/>
  </r>
  <r>
    <d v="2025-10-21T00:00:00"/>
    <d v="2025-10-21T00:00:00"/>
    <s v="Maria Camila Freyre Guaspud"/>
    <s v="9:15:35 p. m."/>
    <n v="-76.889826666666593"/>
    <s v="3.5507083333333336"/>
    <n v="673"/>
    <m/>
    <x v="0"/>
    <n v="15"/>
    <n v="3"/>
    <m/>
    <x v="0"/>
    <s v="Completamente"/>
    <x v="1"/>
    <x v="4"/>
    <s v="Despejado"/>
    <s v="Bosque secundario"/>
    <m/>
    <s v="Rasante &lt;0.3 m"/>
    <s v="Rhaebo haematiticus"/>
    <n v="1"/>
    <s v="Camila"/>
    <m/>
    <m/>
    <s v="Vias"/>
    <s v="Indeterminado"/>
    <s v="Visual"/>
  </r>
  <r>
    <d v="2025-10-21T00:00:00"/>
    <d v="2025-10-21T00:00:00"/>
    <s v="Maria Camila Freyre Guaspud"/>
    <s v="9:14:42 p. m."/>
    <n v="-76.889873333333298"/>
    <s v="3.5507983333333337"/>
    <n v="673"/>
    <m/>
    <x v="0"/>
    <n v="15"/>
    <n v="3"/>
    <m/>
    <x v="0"/>
    <s v="Completamente"/>
    <x v="1"/>
    <x v="4"/>
    <s v="Despejado"/>
    <s v="Bosque secundario"/>
    <m/>
    <s v="Rasante &lt;0.3 m"/>
    <s v="Hyloscirtus palmeri"/>
    <n v="1"/>
    <s v="Camila"/>
    <m/>
    <m/>
    <s v="Vias"/>
    <s v="Indeterminado"/>
    <s v="Visual"/>
  </r>
  <r>
    <d v="2025-10-21T00:00:00"/>
    <d v="2025-10-21T00:00:00"/>
    <s v="Maria Camila Freyre Guaspud"/>
    <s v="9:08:45 p. m."/>
    <n v="-76.890059999999906"/>
    <s v="3.5508250000000006"/>
    <n v="673"/>
    <m/>
    <x v="0"/>
    <n v="15"/>
    <n v="3"/>
    <m/>
    <x v="0"/>
    <s v="Completamente"/>
    <x v="1"/>
    <x v="4"/>
    <s v="Despejado"/>
    <s v="Bosque secundario"/>
    <m/>
    <s v="Rasante &lt;0.3 m"/>
    <s v="Espadarana prosoblepon"/>
    <n v="6"/>
    <s v="Camila "/>
    <m/>
    <m/>
    <s v="Vias"/>
    <s v="Indeterminado"/>
    <s v="Visual"/>
  </r>
  <r>
    <d v="2025-10-21T00:00:00"/>
    <d v="2025-10-21T00:00:00"/>
    <s v="Maria Camila Freyre Guaspud"/>
    <s v="9:03:34 p. m."/>
    <n v="-76.890226666666607"/>
    <s v="3.550746666666667"/>
    <n v="673"/>
    <m/>
    <x v="0"/>
    <n v="15"/>
    <n v="3"/>
    <m/>
    <x v="0"/>
    <s v="Completamente"/>
    <x v="1"/>
    <x v="4"/>
    <s v="Despejado"/>
    <s v="Bosque secundario"/>
    <m/>
    <s v="Rasante &lt;0.3 m"/>
    <s v="Hyalinobatrachium aureoguttatum"/>
    <n v="1"/>
    <s v="Camila"/>
    <m/>
    <m/>
    <s v="Vias"/>
    <s v="Indeterminado"/>
    <s v="Visual"/>
  </r>
  <r>
    <d v="2025-10-21T00:00:00"/>
    <d v="2025-10-21T00:00:00"/>
    <s v="Maria Camila Freyre Guaspud"/>
    <s v="9:02:42 p. m."/>
    <n v="-76.890211666666602"/>
    <s v="3.5507766666666667"/>
    <n v="673"/>
    <m/>
    <x v="0"/>
    <n v="15"/>
    <n v="3"/>
    <m/>
    <x v="0"/>
    <s v="Completamente"/>
    <x v="1"/>
    <x v="4"/>
    <s v="Despejado"/>
    <s v="Bosque secundario"/>
    <m/>
    <s v="Rasante &lt;0.3 m"/>
    <s v="Espadarana prosoblepon"/>
    <n v="2"/>
    <s v="Camila"/>
    <m/>
    <m/>
    <s v="Vias"/>
    <s v="Indeterminado"/>
    <s v="Visual"/>
  </r>
  <r>
    <d v="2025-10-21T00:00:00"/>
    <d v="2025-10-21T00:00:00"/>
    <s v="Maria Camila Freyre Guaspud"/>
    <s v="9:39:42 p. m."/>
    <n v="-76.888016666666601"/>
    <s v="3.5506849999999996"/>
    <n v="683"/>
    <m/>
    <x v="0"/>
    <n v="10"/>
    <n v="5"/>
    <m/>
    <x v="0"/>
    <s v="Completamente"/>
    <x v="2"/>
    <x v="4"/>
    <s v="Despejado"/>
    <s v="Bosque secundario"/>
    <m/>
    <s v="Rasante &lt;0.3 m"/>
    <s v="Craugastor raniformis"/>
    <n v="1"/>
    <s v="Camila"/>
    <m/>
    <m/>
    <s v="Vias"/>
    <s v="Indeterminado"/>
    <s v="Visual"/>
  </r>
  <r>
    <d v="2025-10-21T00:00:00"/>
    <d v="2025-10-21T00:00:00"/>
    <s v="Maria Camila Freyre Guaspud"/>
    <s v="9:32:49 p. m."/>
    <n v="-76.888448333333301"/>
    <s v="3.5503216666666666"/>
    <n v="683"/>
    <m/>
    <x v="0"/>
    <n v="10"/>
    <n v="5"/>
    <m/>
    <x v="0"/>
    <s v="Completamente"/>
    <x v="2"/>
    <x v="4"/>
    <s v="Despejado"/>
    <s v="Bosque secundario"/>
    <m/>
    <s v="Herbaceo 0.3-1.5 m"/>
    <s v="Espadarana prosoblepon"/>
    <n v="6"/>
    <s v="Camila juvenil "/>
    <m/>
    <m/>
    <s v="Vias"/>
    <s v="Indeterminado"/>
    <s v="Visual"/>
  </r>
  <r>
    <d v="2025-10-21T00:00:00"/>
    <d v="2025-10-21T00:00:00"/>
    <s v="Maria Camila Freyre Guaspud"/>
    <s v="9:31:56 p. m."/>
    <n v="-76.888456666666599"/>
    <s v="3.5503066666666663"/>
    <n v="683"/>
    <m/>
    <x v="0"/>
    <n v="10"/>
    <n v="5"/>
    <m/>
    <x v="0"/>
    <s v="Completamente"/>
    <x v="2"/>
    <x v="4"/>
    <s v="Despejado"/>
    <s v="Bosque secundario"/>
    <m/>
    <s v="Rasante &lt;0.3 m"/>
    <s v="Smilisca phaeota"/>
    <n v="3"/>
    <s v="Camila "/>
    <m/>
    <m/>
    <s v="Vias"/>
    <s v="Indeterminado"/>
    <s v="Auditivo"/>
  </r>
  <r>
    <d v="2025-10-21T00:00:00"/>
    <d v="2025-10-21T00:00:00"/>
    <s v="Maria Camila Freyre Guaspud"/>
    <s v="10:08:41 p. m."/>
    <n v="-76.882499999999993"/>
    <n v="3.5524800000000001"/>
    <n v="664"/>
    <m/>
    <x v="0"/>
    <n v="20"/>
    <n v="10"/>
    <m/>
    <x v="0"/>
    <s v="Completamente"/>
    <x v="2"/>
    <x v="5"/>
    <s v="Despejado"/>
    <s v="Bosque secundario"/>
    <m/>
    <s v="Rasante &lt;0.3 m"/>
    <s v="Smilisca phaeota"/>
    <n v="1"/>
    <s v="Camila"/>
    <m/>
    <m/>
    <s v="Vias"/>
    <s v="Indeterminado"/>
    <s v="Visual"/>
  </r>
  <r>
    <d v="2025-10-21T00:00:00"/>
    <d v="2025-10-21T00:00:00"/>
    <s v="Maria Camila Freyre Guaspud"/>
    <s v="10:04:32 p. m."/>
    <n v="-76.883065000000002"/>
    <s v="3.5525716666666662"/>
    <n v="664"/>
    <m/>
    <x v="0"/>
    <n v="20"/>
    <n v="10"/>
    <m/>
    <x v="0"/>
    <s v="Completamente"/>
    <x v="2"/>
    <x v="5"/>
    <s v="Despejado"/>
    <s v="Bosque secundario"/>
    <m/>
    <s v="Rasante &lt;0.3 m"/>
    <s v="Smilisca phaeota"/>
    <n v="2"/>
    <s v="Camila "/>
    <m/>
    <m/>
    <s v="Vias"/>
    <s v="Indeterminado"/>
    <s v="Visual"/>
  </r>
  <r>
    <d v="2025-10-21T00:00:00"/>
    <d v="2025-10-21T00:00:00"/>
    <s v="Maria Camila Freyre Guaspud"/>
    <s v="10:03:47 p. m."/>
    <n v="-76.883094999999997"/>
    <n v="3.55246"/>
    <n v="664"/>
    <m/>
    <x v="0"/>
    <n v="20"/>
    <n v="10"/>
    <m/>
    <x v="0"/>
    <s v="Completamente"/>
    <x v="2"/>
    <x v="5"/>
    <s v="Despejado"/>
    <s v="Bosque secundario"/>
    <m/>
    <s v="Rasante &lt;0.3 m"/>
    <s v="Pristimantis achatinus"/>
    <n v="3"/>
    <s v="Camila "/>
    <m/>
    <m/>
    <s v="Vias"/>
    <s v="Indeterminado"/>
    <s v="Visual"/>
  </r>
  <r>
    <d v="2025-10-21T00:00:00"/>
    <d v="2025-10-21T00:00:00"/>
    <s v="Maria Camila Freyre Guaspud"/>
    <s v="10:01:54 p. m."/>
    <n v="-76.883139999999997"/>
    <n v="3.5524499999999999"/>
    <n v="664"/>
    <m/>
    <x v="0"/>
    <n v="20"/>
    <n v="10"/>
    <m/>
    <x v="0"/>
    <s v="Completamente"/>
    <x v="2"/>
    <x v="5"/>
    <s v="Despejado"/>
    <s v="Bosque secundario"/>
    <s v="John Sebastian Ovalle Talaga"/>
    <s v="Arbustivo 1.5-5 m"/>
    <s v="Espadarana prosoblepon"/>
    <n v="1"/>
    <m/>
    <m/>
    <m/>
    <s v="Vias"/>
    <s v="Indeterminado"/>
    <s v="Visual"/>
  </r>
  <r>
    <d v="2025-10-21T00:00:00"/>
    <d v="2025-10-21T00:00:00"/>
    <s v="Maria Camila Freyre Guaspud"/>
    <s v="9:54:24 p. m."/>
    <n v="-76.883371666666605"/>
    <s v="3.5525283333333335"/>
    <n v="664"/>
    <m/>
    <x v="0"/>
    <n v="20"/>
    <n v="10"/>
    <m/>
    <x v="0"/>
    <s v="Completamente"/>
    <x v="2"/>
    <x v="5"/>
    <s v="Despejado"/>
    <s v="Bosque secundario"/>
    <s v="Cristian David Benavides Tello"/>
    <s v="Arbustivo 1.5-5 m"/>
    <s v="Espadarana prosoblepon"/>
    <n v="1"/>
    <m/>
    <m/>
    <m/>
    <s v="Vias"/>
    <s v="Indeterminado"/>
    <s v="Visual"/>
  </r>
  <r>
    <d v="2025-10-21T00:00:00"/>
    <d v="2025-10-21T00:00:00"/>
    <s v="Maria Camila Freyre Guaspud"/>
    <s v="10:42:43 p. m."/>
    <n v="-76.882535000000004"/>
    <s v="3.5527299999999995"/>
    <n v="621"/>
    <n v="1"/>
    <x v="0"/>
    <n v="15"/>
    <n v="0"/>
    <m/>
    <x v="0"/>
    <s v="Completamente"/>
    <x v="3"/>
    <x v="5"/>
    <s v="Despejado"/>
    <s v="Bosque ribere√±o"/>
    <s v="John Sebastian Ovalle Talaga"/>
    <s v="Arbustivo 1.5-5 m"/>
    <s v="Smilisca phaeota"/>
    <n v="1"/>
    <m/>
    <m/>
    <s v="Construcci√≥n de canal"/>
    <s v="Otra"/>
    <s v="Indeterminado"/>
    <s v="Visual"/>
  </r>
  <r>
    <d v="2025-10-21T00:00:00"/>
    <d v="2025-10-21T00:00:00"/>
    <s v="Maria Camila Freyre Guaspud"/>
    <s v="10:40:05 p. m."/>
    <n v="-76.882486666666594"/>
    <s v="3.5526150000000003"/>
    <n v="621"/>
    <n v="1"/>
    <x v="0"/>
    <n v="15"/>
    <n v="0"/>
    <m/>
    <x v="0"/>
    <s v="Completamente"/>
    <x v="3"/>
    <x v="5"/>
    <s v="Despejado"/>
    <s v="Bosque ribere√±o"/>
    <m/>
    <s v="Rasante &lt;0.3 m"/>
    <s v="Craugastor raniformis"/>
    <n v="1"/>
    <s v="Camila"/>
    <m/>
    <s v="Construcci√≥n del canal"/>
    <s v="Otra"/>
    <s v="Indeterminado"/>
    <s v="Visual"/>
  </r>
  <r>
    <d v="2025-10-21T00:00:00"/>
    <d v="2025-10-21T00:00:00"/>
    <s v="Maria Camila Freyre Guaspud"/>
    <s v="10:37:37 p. m."/>
    <n v="-76.882511666666602"/>
    <n v="3.5527850000000001"/>
    <n v="621"/>
    <n v="1"/>
    <x v="0"/>
    <n v="15"/>
    <n v="0"/>
    <m/>
    <x v="0"/>
    <s v="Completamente"/>
    <x v="3"/>
    <x v="5"/>
    <s v="Despejado"/>
    <s v="Bosque ribere√±o"/>
    <s v="John Sebastian Ovalle Talaga"/>
    <s v="Herbaceo 0.3-1.5 m"/>
    <s v="Smilisca phaeota"/>
    <n v="1"/>
    <m/>
    <m/>
    <s v="Construcci√≥n de canal"/>
    <s v="Otra"/>
    <s v="Indeterminado"/>
    <s v="Visual"/>
  </r>
  <r>
    <d v="2025-10-21T00:00:00"/>
    <d v="2025-10-21T00:00:00"/>
    <s v="Maria Camila Freyre Guaspud"/>
    <s v="10:15:03 p. m."/>
    <n v="-76.882424999999998"/>
    <s v="3.552598333333333"/>
    <n v="621"/>
    <n v="1"/>
    <x v="0"/>
    <n v="15"/>
    <n v="0"/>
    <m/>
    <x v="0"/>
    <s v="Completamente"/>
    <x v="3"/>
    <x v="5"/>
    <s v="Despejado"/>
    <s v="Bosque ribere√±o"/>
    <m/>
    <s v="Herbaceo 0.3-1.5 m"/>
    <s v="Agalychnis spurrelli"/>
    <n v="7"/>
    <s v="Camila"/>
    <m/>
    <s v="Construcci√≥n de canal"/>
    <s v="Otra"/>
    <s v="Indeterminado"/>
    <s v="Visual"/>
  </r>
  <r>
    <d v="2025-10-21T00:00:00"/>
    <d v="2025-10-21T00:00:00"/>
    <s v="Maria Camila Freyre Guaspud"/>
    <s v="10:13:49 p. m."/>
    <n v="-76.88252"/>
    <s v="3.5525749999999996"/>
    <n v="621"/>
    <n v="1"/>
    <x v="0"/>
    <n v="15"/>
    <n v="0"/>
    <m/>
    <x v="0"/>
    <s v="Completamente"/>
    <x v="3"/>
    <x v="5"/>
    <s v="Despejado"/>
    <s v="Bosque ribere√±o"/>
    <m/>
    <s v="Herbaceo 0.3-1.5 m"/>
    <s v="Boana picturata"/>
    <n v="1"/>
    <s v="Camila"/>
    <m/>
    <s v="Construcci√≥n de canal"/>
    <s v="Otra"/>
    <s v="Indeterminado"/>
    <s v="Visual"/>
  </r>
  <r>
    <d v="2025-10-21T00:00:00"/>
    <d v="2025-10-21T00:00:00"/>
    <s v="Maria Camila Freyre Guaspud"/>
    <s v="10:58:18 p. m."/>
    <n v="-76.882316666666597"/>
    <s v="3.5524100000000005"/>
    <n v="590"/>
    <m/>
    <x v="0"/>
    <n v="25"/>
    <n v="10"/>
    <m/>
    <x v="0"/>
    <s v="Completamente"/>
    <x v="1"/>
    <x v="5"/>
    <s v="Despejado"/>
    <s v="Bosque secundario"/>
    <m/>
    <s v="Rasante &lt;0.3 m"/>
    <s v="Smilisca phaeota"/>
    <n v="1"/>
    <s v="Camila"/>
    <m/>
    <m/>
    <s v="Vias"/>
    <s v="Indeterminado"/>
    <s v="Visual"/>
  </r>
  <r>
    <d v="2025-10-21T00:00:00"/>
    <d v="2025-10-21T00:00:00"/>
    <s v="Maria Camila Freyre Guaspud"/>
    <s v="11:14:30 p. m."/>
    <n v="-76.880621666666599"/>
    <s v="3.552693333333334"/>
    <n v="588"/>
    <m/>
    <x v="0"/>
    <n v="25"/>
    <n v="15"/>
    <m/>
    <x v="0"/>
    <s v="Completamente"/>
    <x v="0"/>
    <x v="5"/>
    <s v="Despejado"/>
    <s v="Bosque secundario"/>
    <m/>
    <s v="Rasante &lt;0.3 m"/>
    <s v="Rhaebo haematiticus"/>
    <n v="3"/>
    <s v="Camila"/>
    <m/>
    <m/>
    <s v="Vias"/>
    <s v="Indeterminado"/>
    <s v="Visual"/>
  </r>
  <r>
    <d v="2025-10-21T00:00:00"/>
    <d v="2025-10-21T00:00:00"/>
    <s v="Maria Camila Freyre Guaspud"/>
    <s v="11:10:27 p. m."/>
    <n v="-76.880814999999998"/>
    <s v="3.552651666666667"/>
    <n v="588"/>
    <m/>
    <x v="0"/>
    <n v="25"/>
    <n v="15"/>
    <m/>
    <x v="0"/>
    <s v="Completamente"/>
    <x v="0"/>
    <x v="5"/>
    <s v="Despejado"/>
    <s v="Bosque secundario"/>
    <s v="John Sebastian Ovalle Talaga"/>
    <s v="Rasante &lt;0.3 m"/>
    <s v="Craugastor raniformis"/>
    <n v="2"/>
    <m/>
    <m/>
    <m/>
    <s v="Vias"/>
    <s v="Indeterminado"/>
    <s v="Visual"/>
  </r>
  <r>
    <d v="2025-10-20T00:00:00"/>
    <d v="2025-10-20T00:00:00"/>
    <s v="John Sebastian Ovalle Talaga"/>
    <s v="7:58:36 p. m."/>
    <n v="-76.880714999999995"/>
    <s v="3.5772033333333333"/>
    <n v="630"/>
    <m/>
    <x v="0"/>
    <n v="20"/>
    <n v="3"/>
    <m/>
    <x v="0"/>
    <s v="Completamente"/>
    <x v="0"/>
    <x v="2"/>
    <s v="Llovizna"/>
    <s v="Bosque secundario"/>
    <m/>
    <s v="Herbaceo 0.3-1.5 m"/>
    <s v="Diasporus gularis"/>
    <n v="1"/>
    <s v="Camila revisar"/>
    <m/>
    <m/>
    <s v="Ninguna"/>
    <s v="Indeterminado"/>
    <s v="Visual"/>
  </r>
  <r>
    <d v="2025-10-20T00:00:00"/>
    <d v="2025-10-20T00:00:00"/>
    <s v="John Sebastian Ovalle Talaga"/>
    <s v="7:47:24 p. m."/>
    <n v="-76.880679999999998"/>
    <s v="3.577318333333333"/>
    <n v="630"/>
    <m/>
    <x v="0"/>
    <n v="20"/>
    <n v="3"/>
    <m/>
    <x v="0"/>
    <s v="Completamente"/>
    <x v="0"/>
    <x v="2"/>
    <s v="Llovizna"/>
    <s v="Bosque secundario"/>
    <s v="John Sebastian Ovalle Talaga"/>
    <s v="Herbaceo 0.3-1.5 m"/>
    <s v="Otra"/>
    <n v="1"/>
    <s v="Camila"/>
    <s v="Pristimantis sp revisar fotos despu√©s bolitoglosa Nikon Sebas "/>
    <m/>
    <s v="Ninguna"/>
    <s v="Indeterminado"/>
    <s v="Visual"/>
  </r>
  <r>
    <d v="2025-10-20T00:00:00"/>
    <d v="2025-10-20T00:00:00"/>
    <s v="John Sebastian Ovalle Talaga"/>
    <s v="7:35:55 p. m."/>
    <n v="-76.880519999999905"/>
    <s v="3.5771149999999996"/>
    <n v="630"/>
    <m/>
    <x v="0"/>
    <n v="20"/>
    <n v="3"/>
    <m/>
    <x v="0"/>
    <s v="Completamente"/>
    <x v="0"/>
    <x v="2"/>
    <s v="Despejado"/>
    <s v="Bosque secundario"/>
    <s v="John Sebastian Ovalle Talaga"/>
    <s v="Herbaceo 0.3-1.5 m"/>
    <s v="Bolitoglossa biseriata"/>
    <n v="1"/>
    <m/>
    <m/>
    <m/>
    <s v="Ninguna"/>
    <s v="Indeterminado"/>
    <s v="Visual"/>
  </r>
  <r>
    <d v="2025-10-20T00:00:00"/>
    <d v="2025-10-20T00:00:00"/>
    <s v="Maria Camila Freyre Guaspud"/>
    <s v="9:43:04 p. m."/>
    <n v="-76.880331666666606"/>
    <n v="3.5793050000000002"/>
    <n v="648"/>
    <n v="6"/>
    <x v="0"/>
    <n v="20"/>
    <n v="10"/>
    <m/>
    <x v="0"/>
    <s v="Parcialmente"/>
    <x v="3"/>
    <x v="2"/>
    <s v="Llovizna"/>
    <s v="Bosque secundario"/>
    <m/>
    <s v="Rasante &lt;0.3 m"/>
    <s v="Pristimantis afrox"/>
    <n v="1"/>
    <s v="Camila "/>
    <s v="Pristimantis aff afrox"/>
    <m/>
    <s v="Ninguna"/>
    <s v="Indeterminado"/>
    <s v="Visual"/>
  </r>
  <r>
    <d v="2025-10-20T00:00:00"/>
    <d v="2025-10-20T00:00:00"/>
    <s v="Maria Camila Freyre Guaspud"/>
    <s v="9:35:33 p. m."/>
    <n v="-76.880373333333296"/>
    <s v="3.579258333333333"/>
    <n v="648"/>
    <n v="6"/>
    <x v="0"/>
    <n v="20"/>
    <n v="10"/>
    <m/>
    <x v="0"/>
    <s v="Parcialmente"/>
    <x v="3"/>
    <x v="2"/>
    <s v="Llovizna"/>
    <s v="Bosque secundario"/>
    <m/>
    <s v="Herbaceo 0.3-1.5 m"/>
    <s v="Oophaga lehmanni"/>
    <n v="3"/>
    <s v="Camila"/>
    <m/>
    <m/>
    <s v="Ninguna"/>
    <s v="Indeterminado"/>
    <s v="Auditivo, Visual"/>
  </r>
  <r>
    <d v="2025-10-20T00:00:00"/>
    <d v="2025-10-20T00:00:00"/>
    <s v="Maria Camila Freyre Guaspud"/>
    <s v="8:40:28 p. m."/>
    <n v="-76.880701666666596"/>
    <s v="3.578213333333333"/>
    <n v="648"/>
    <n v="6"/>
    <x v="0"/>
    <n v="20"/>
    <n v="10"/>
    <m/>
    <x v="0"/>
    <s v="Completamente"/>
    <x v="1"/>
    <x v="2"/>
    <s v="Despejado"/>
    <s v="Bosque secundario"/>
    <s v="John Sebastian Ovalle Talaga"/>
    <s v="Herbaceo 0.3-1.5 m"/>
    <s v="Pristimantis platychilus"/>
    <n v="3"/>
    <m/>
    <s v="Pristimantis revisar foto camila aff"/>
    <m/>
    <s v="Ninguna"/>
    <s v="Indeterminado"/>
    <s v="Visual"/>
  </r>
  <r>
    <d v="2025-10-20T00:00:00"/>
    <d v="2025-10-20T00:00:00"/>
    <s v="Maria Camila Freyre Guaspud"/>
    <s v="8:31:43 p. m."/>
    <n v="-76.880865"/>
    <s v="3.5779866666666664"/>
    <n v="648"/>
    <n v="6"/>
    <x v="0"/>
    <n v="20"/>
    <n v="10"/>
    <m/>
    <x v="0"/>
    <s v="Completamente"/>
    <x v="1"/>
    <x v="2"/>
    <s v="Despejado"/>
    <s v="Bosque secundario"/>
    <m/>
    <s v="Herbaceo 0.3-1.5 m"/>
    <s v="Craugastor raniformis"/>
    <n v="1"/>
    <s v="Camila"/>
    <m/>
    <m/>
    <s v="Ninguna"/>
    <s v="Indeterminado"/>
    <s v="Visual"/>
  </r>
  <r>
    <d v="2025-10-20T00:00:00"/>
    <d v="2025-10-20T00:00:00"/>
    <s v="Maria Camila Freyre Guaspud"/>
    <s v="8:27:30 p. m."/>
    <n v="-76.880853333333306"/>
    <s v="3.5778283333333327"/>
    <n v="648"/>
    <n v="6"/>
    <x v="0"/>
    <n v="20"/>
    <n v="10"/>
    <m/>
    <x v="0"/>
    <s v="Completamente"/>
    <x v="1"/>
    <x v="2"/>
    <s v="Despejado"/>
    <s v="Bosque secundario"/>
    <m/>
    <s v="Herbaceo 0.3-1.5 m"/>
    <s v="Pristimantis palmeri"/>
    <n v="1"/>
    <s v="Camila"/>
    <m/>
    <m/>
    <s v="Ninguna"/>
    <s v="Indeterminado"/>
    <s v="Visual"/>
  </r>
  <r>
    <d v="2025-10-20T00:00:00"/>
    <d v="2025-10-20T00:00:00"/>
    <s v="Maria Camila Freyre Guaspud"/>
    <s v="9:15:54 p. m."/>
    <n v="-76.880683333333295"/>
    <s v="3.5786249999999997"/>
    <n v="648"/>
    <n v="6"/>
    <x v="0"/>
    <n v="20"/>
    <n v="10"/>
    <m/>
    <x v="0"/>
    <s v="Completamente"/>
    <x v="2"/>
    <x v="2"/>
    <s v="Llovizna"/>
    <s v="Bosque secundario"/>
    <s v="John Sebastian Ovalle Talaga"/>
    <s v="Herbaceo 0.3-1.5 m"/>
    <s v="Oophaga lehmanni"/>
    <n v="3"/>
    <m/>
    <m/>
    <m/>
    <s v="Ninguna"/>
    <s v="Indeterminado"/>
    <s v="Visual"/>
  </r>
  <r>
    <d v="2025-10-20T00:00:00"/>
    <d v="2025-10-20T00:00:00"/>
    <s v="Maria Camila Freyre Guaspud"/>
    <s v="9:08:58 p. m."/>
    <n v="-76.880688333333296"/>
    <s v="3.5786249999999997"/>
    <n v="648"/>
    <n v="6"/>
    <x v="0"/>
    <n v="20"/>
    <n v="10"/>
    <m/>
    <x v="0"/>
    <s v="Completamente"/>
    <x v="2"/>
    <x v="2"/>
    <s v="Llovizna"/>
    <s v="Bosque ribere√±o"/>
    <m/>
    <s v="Herbaceo 0.3-1.5 m"/>
    <s v="Pristimantis palmeri"/>
    <n v="1"/>
    <s v="Camila "/>
    <m/>
    <m/>
    <s v="Ninguna"/>
    <s v="Indeterminado"/>
    <s v="Visual"/>
  </r>
  <r>
    <d v="2025-10-20T00:00:00"/>
    <d v="2025-10-20T00:00:00"/>
    <s v="Maria Camila Freyre Guaspud"/>
    <s v="9:07:09 p. m."/>
    <n v="-76.880891666666599"/>
    <s v="3.5784999999999996"/>
    <n v="648"/>
    <n v="6"/>
    <x v="0"/>
    <n v="20"/>
    <n v="10"/>
    <m/>
    <x v="0"/>
    <s v="Completamente"/>
    <x v="2"/>
    <x v="2"/>
    <s v="Despejado"/>
    <s v="Bosque ripario"/>
    <s v="John Sebastian Ovalle Talaga"/>
    <s v="Herbaceo 0.3-1.5 m"/>
    <s v="Rhaebo haematiticus"/>
    <n v="1"/>
    <m/>
    <m/>
    <m/>
    <s v="Otra"/>
    <s v="Indeterminado"/>
    <s v="Visual"/>
  </r>
  <r>
    <d v="2025-10-09T00:00:00"/>
    <d v="2025-10-09T00:00:00"/>
    <s v="Gustavo Adolfo Rodr√≠guez"/>
    <s v="1:08:30 a. m."/>
    <n v="-76.723808333333295"/>
    <s v="3.484116666666667"/>
    <n v="2042"/>
    <m/>
    <x v="0"/>
    <n v="18"/>
    <n v="50"/>
    <m/>
    <x v="1"/>
    <s v="Completamente"/>
    <x v="1"/>
    <x v="6"/>
    <s v="Parcialmente nublado"/>
    <s v="Bosque secundario"/>
    <m/>
    <s v="Herbaceo 0.3-1.5 m"/>
    <s v="Ninguna"/>
    <n v="1"/>
    <s v="Kevin L√≥pez "/>
    <m/>
    <m/>
    <s v="Ninguna"/>
    <s v="Indeterminado"/>
    <s v="Visual"/>
  </r>
  <r>
    <d v="2025-10-09T00:00:00"/>
    <d v="2025-10-09T00:00:00"/>
    <s v="Gustavo Adolfo Rodr√≠guez"/>
    <s v="12:57:36 a. m."/>
    <n v="-76.723583333333295"/>
    <s v="3.4835866666666666"/>
    <n v="2042"/>
    <m/>
    <x v="0"/>
    <n v="18"/>
    <n v="50"/>
    <m/>
    <x v="1"/>
    <s v="Completamente"/>
    <x v="1"/>
    <x v="6"/>
    <s v="Parcialmente nublado"/>
    <s v="Bosque secundario"/>
    <m/>
    <s v="Herbaceo 0.3-1.5 m"/>
    <s v="Pristimantis erythropleura"/>
    <n v="1"/>
    <s v="Kevin L√≥pez "/>
    <m/>
    <m/>
    <s v="Ninguna"/>
    <s v="Indeterminado"/>
    <s v="Visual"/>
  </r>
  <r>
    <d v="2025-10-09T00:00:00"/>
    <d v="2025-10-09T00:00:00"/>
    <s v="Gustavo Adolfo Rodr√≠guez"/>
    <s v="1:24:58 a. m."/>
    <n v="-76.723216666666602"/>
    <s v="3.4841116666666663"/>
    <n v="2000"/>
    <m/>
    <x v="0"/>
    <n v="5"/>
    <n v="5"/>
    <m/>
    <x v="1"/>
    <s v="Completamente"/>
    <x v="2"/>
    <x v="6"/>
    <s v="Parcialmente nublado"/>
    <s v="Bosque secundario"/>
    <m/>
    <s v="Herbaceo 0.3-1.5 m"/>
    <s v="Pristimantis palmeri"/>
    <n v="1"/>
    <s v="Mar√≠a Camila Freyre "/>
    <m/>
    <m/>
    <s v="Ninguna"/>
    <s v="Indeterminado"/>
    <s v="Visual"/>
  </r>
  <r>
    <d v="2025-10-09T00:00:00"/>
    <d v="2025-10-09T00:00:00"/>
    <s v="Gustavo Adolfo Rodr√≠guez"/>
    <s v="1:22:28 a. m."/>
    <n v="-76.723471666666597"/>
    <s v="3.4842899999999997"/>
    <n v="2000"/>
    <m/>
    <x v="0"/>
    <n v="5"/>
    <n v="5"/>
    <m/>
    <x v="1"/>
    <s v="Completamente"/>
    <x v="2"/>
    <x v="6"/>
    <s v="Parcialmente nublado"/>
    <s v="Arbustal"/>
    <m/>
    <s v="Herbaceo 0.3-1.5 m"/>
    <s v="Pristimantis erythropleura"/>
    <n v="1"/>
    <s v="Kevin L√≥pez "/>
    <m/>
    <m/>
    <s v="Ganaderia"/>
    <s v="Hembra"/>
    <s v="Visual"/>
  </r>
  <r>
    <d v="2025-10-09T00:00:00"/>
    <d v="2025-10-09T00:00:00"/>
    <s v="Gustavo Adolfo Rodr√≠guez"/>
    <s v="1:19:05 a. m."/>
    <n v="-76.723563333333303"/>
    <s v="3.4847483333333336"/>
    <n v="2000"/>
    <m/>
    <x v="0"/>
    <n v="5"/>
    <n v="5"/>
    <m/>
    <x v="1"/>
    <s v="Completamente"/>
    <x v="2"/>
    <x v="6"/>
    <s v="Parcialmente nublado"/>
    <s v="Arbustal"/>
    <m/>
    <s v="Herbaceo 0.3-1.5 m"/>
    <s v="Pristimantis erythropleura"/>
    <n v="2"/>
    <s v="Kevin L√≥pez "/>
    <m/>
    <m/>
    <s v="Ganaderia"/>
    <s v="Indeterminado"/>
    <s v="Auditivo"/>
  </r>
  <r>
    <d v="2025-10-09T00:00:00"/>
    <d v="2025-10-09T00:00:00"/>
    <s v="Gustavo Adolfo Rodr√≠guez"/>
    <s v="1:43:42 a. m."/>
    <n v="-76.721604999999997"/>
    <s v="3.4848133333333333"/>
    <n v="1992"/>
    <m/>
    <x v="0"/>
    <n v="15"/>
    <n v="20"/>
    <m/>
    <x v="1"/>
    <s v="Completamente"/>
    <x v="3"/>
    <x v="6"/>
    <s v="Parcialmente nublado"/>
    <s v="Bosque secundario"/>
    <m/>
    <s v="Herbaceo 0.3-1.5 m"/>
    <s v="Pristimantis palmeri"/>
    <n v="1"/>
    <s v="Mar√≠a Camila Freyre "/>
    <m/>
    <m/>
    <s v="Ganaderia"/>
    <s v="Indeterminado"/>
    <s v="Visual"/>
  </r>
  <r>
    <d v="2025-10-09T00:00:00"/>
    <d v="2025-10-09T00:00:00"/>
    <s v="Gustavo Adolfo Rodr√≠guez"/>
    <s v="1:43:42 a. m."/>
    <n v="-76.721604999999997"/>
    <s v="3.4848133333333333"/>
    <n v="1992"/>
    <m/>
    <x v="0"/>
    <n v="15"/>
    <n v="20"/>
    <m/>
    <x v="1"/>
    <s v="Completamente"/>
    <x v="3"/>
    <x v="6"/>
    <s v="Parcialmente nublado"/>
    <s v="Bosque secundario"/>
    <m/>
    <s v="Herbaceo 0.3-1.5 m"/>
    <s v="Pristimantis erythropleura"/>
    <n v="1"/>
    <s v="Kevin L√≥pez "/>
    <m/>
    <m/>
    <s v="Ninguna"/>
    <s v="Indeterminado"/>
    <s v="Visual"/>
  </r>
  <r>
    <d v="2025-10-09T00:00:00"/>
    <d v="2025-10-09T00:00:00"/>
    <s v="Gustavo Adolfo Rodr√≠guez"/>
    <s v="1:39:25 a. m."/>
    <n v="-76.721885"/>
    <s v="3.4845483333333336"/>
    <n v="1992"/>
    <m/>
    <x v="0"/>
    <n v="15"/>
    <n v="20"/>
    <m/>
    <x v="1"/>
    <s v="Completamente"/>
    <x v="3"/>
    <x v="6"/>
    <s v="Parcialmente nublado"/>
    <s v="Bosque secundario"/>
    <m/>
    <s v="Herbaceo 0.3-1.5 m"/>
    <s v="Pristimantis palmeri"/>
    <n v="1"/>
    <s v="Mar√≠a Camila Freyre "/>
    <m/>
    <m/>
    <s v="Ganaderia"/>
    <s v="Macho"/>
    <s v="Visual"/>
  </r>
  <r>
    <d v="2025-10-09T00:00:00"/>
    <d v="2025-10-09T00:00:00"/>
    <s v="Gustavo Adolfo Rodr√≠guez"/>
    <s v="1:38:16 a. m."/>
    <n v="-76.721905000000007"/>
    <s v="3.4845116666666662"/>
    <n v="1992"/>
    <m/>
    <x v="0"/>
    <n v="15"/>
    <n v="20"/>
    <m/>
    <x v="1"/>
    <s v="Completamente"/>
    <x v="3"/>
    <x v="6"/>
    <s v="Parcialmente nublado"/>
    <s v="Bosque secundario"/>
    <m/>
    <s v="Herbaceo 0.3-1.5 m"/>
    <s v="Pristimantis erythropleura"/>
    <n v="2"/>
    <s v="Kevin L√≥pez "/>
    <m/>
    <m/>
    <s v="Ganaderia"/>
    <s v="Hembra"/>
    <s v="Visual"/>
  </r>
  <r>
    <d v="2025-10-09T00:00:00"/>
    <d v="2025-10-09T00:00:00"/>
    <s v="Gustavo Adolfo Rodr√≠guez"/>
    <s v="1:35:57 a. m."/>
    <n v="-76.722006666666601"/>
    <s v="3.484493333333333"/>
    <n v="1992"/>
    <m/>
    <x v="0"/>
    <n v="15"/>
    <n v="20"/>
    <m/>
    <x v="1"/>
    <s v="Completamente"/>
    <x v="3"/>
    <x v="6"/>
    <s v="Parcialmente nublado"/>
    <s v="Bosque secundario"/>
    <m/>
    <s v="Herbaceo 0.3-1.5 m"/>
    <s v="Hypodactylus mantipus"/>
    <n v="1"/>
    <s v="Kevin L√≥pez "/>
    <m/>
    <m/>
    <s v="Ganaderia"/>
    <s v="Indeterminado"/>
    <s v="Auditivo"/>
  </r>
  <r>
    <d v="2025-10-09T00:00:00"/>
    <d v="2025-10-09T00:00:00"/>
    <s v="Gustavo Adolfo Rodr√≠guez"/>
    <s v="1:35:57 a. m."/>
    <n v="-76.722006666666601"/>
    <s v="3.484493333333333"/>
    <n v="1992"/>
    <m/>
    <x v="0"/>
    <n v="15"/>
    <n v="20"/>
    <m/>
    <x v="1"/>
    <s v="Completamente"/>
    <x v="3"/>
    <x v="6"/>
    <s v="Parcialmente nublado"/>
    <s v="Bosque secundario"/>
    <m/>
    <s v="Herbaceo 0.3-1.5 m"/>
    <s v="Pristimantis palmeri"/>
    <n v="1"/>
    <s v="Kevin L√≥pez "/>
    <m/>
    <m/>
    <s v="Ninguna"/>
    <s v="Indeterminado"/>
    <s v="Visual"/>
  </r>
  <r>
    <d v="2025-10-09T00:00:00"/>
    <d v="2025-10-09T00:00:00"/>
    <s v="Gustavo Adolfo Rodr√≠guez"/>
    <s v="6:31:54 p. m."/>
    <n v="-76.718909999999994"/>
    <n v="3.4874849999999999"/>
    <n v="1909"/>
    <m/>
    <x v="0"/>
    <n v="5"/>
    <n v="10"/>
    <m/>
    <x v="1"/>
    <s v="Completamente"/>
    <x v="4"/>
    <x v="7"/>
    <s v="Nublado"/>
    <s v="Potrero"/>
    <m/>
    <s v="Rasante &lt;0.3 m"/>
    <s v="Dendropsophus columbianus"/>
    <n v="1"/>
    <s v="Kevin Lopez"/>
    <m/>
    <m/>
    <s v="Ganaderia"/>
    <s v="Macho"/>
    <s v="Auditivo"/>
  </r>
  <r>
    <d v="2025-10-09T00:00:00"/>
    <d v="2025-10-09T00:00:00"/>
    <s v="Gustavo Adolfo Rodr√≠guez"/>
    <s v="6:31:54 p. m."/>
    <n v="-76.718909999999994"/>
    <n v="3.4874849999999999"/>
    <n v="1909"/>
    <m/>
    <x v="0"/>
    <n v="5"/>
    <n v="10"/>
    <m/>
    <x v="1"/>
    <s v="Completamente"/>
    <x v="4"/>
    <x v="7"/>
    <s v="Nublado"/>
    <s v="Potrero"/>
    <m/>
    <s v="Arbustivo 1.5-5 m"/>
    <s v="Pristimantis erythropleura"/>
    <n v="2"/>
    <s v="Kevin Lopez"/>
    <m/>
    <m/>
    <s v="Ganaderia"/>
    <s v="Macho"/>
    <s v="Auditivo"/>
  </r>
  <r>
    <d v="2025-10-09T00:00:00"/>
    <d v="2025-10-09T00:00:00"/>
    <s v="Gustavo Adolfo Rodr√≠guez"/>
    <s v="11:01:20 p. m."/>
    <n v="-76.718778333333304"/>
    <n v="3.4849649999999999"/>
    <n v="1917"/>
    <n v="2"/>
    <x v="0"/>
    <n v="18"/>
    <n v="20"/>
    <m/>
    <x v="1"/>
    <s v="Completamente"/>
    <x v="1"/>
    <x v="7"/>
    <s v="Llovizna"/>
    <s v="Bosque secundario"/>
    <m/>
    <s v="Arbustivo 1.5-5 m"/>
    <s v="Centrolene savagei"/>
    <n v="1"/>
    <s v="Kevin L√≥pez "/>
    <m/>
    <m/>
    <s v="Procesos de remocion en masa"/>
    <s v="Hembra"/>
    <s v="Visual"/>
  </r>
  <r>
    <d v="2025-10-09T00:00:00"/>
    <d v="2025-10-09T00:00:00"/>
    <s v="Gustavo Adolfo Rodr√≠guez"/>
    <s v="12:15:44 a. m."/>
    <n v="-76.723285000000004"/>
    <s v="3.480318333333333"/>
    <n v="2091"/>
    <m/>
    <x v="0"/>
    <n v="25"/>
    <n v="30"/>
    <m/>
    <x v="1"/>
    <s v="Completamente"/>
    <x v="4"/>
    <x v="8"/>
    <s v="Llovizna"/>
    <s v="Bosque secundario"/>
    <s v="Gustavo Adolfo Rodriguez"/>
    <s v="Herbaceo 0.3-1.5 m"/>
    <s v="Pristimantis molybrignus"/>
    <n v="1"/>
    <m/>
    <m/>
    <m/>
    <s v="Ninguna"/>
    <s v="Indeterminado"/>
    <s v="Visual"/>
  </r>
  <r>
    <d v="2025-10-09T00:00:00"/>
    <d v="2025-10-09T00:00:00"/>
    <s v="Gustavo Adolfo Rodr√≠guez"/>
    <s v="12:48:13 a. m."/>
    <n v="-76.723201666666597"/>
    <s v="3.4830916666666667"/>
    <n v="2053"/>
    <m/>
    <x v="0"/>
    <n v="15"/>
    <n v="20"/>
    <m/>
    <x v="1"/>
    <s v="Completamente"/>
    <x v="0"/>
    <x v="6"/>
    <s v="Nublado"/>
    <s v="Bosque secundario"/>
    <m/>
    <s v="Arbustivo 1.5-5 m"/>
    <s v="Pristimantis palmeri"/>
    <n v="1"/>
    <s v="Mar√≠a Camila Freyre "/>
    <m/>
    <m/>
    <s v="Ninguna"/>
    <s v="Indeterminado"/>
    <s v="Visual"/>
  </r>
  <r>
    <d v="2025-10-09T00:00:00"/>
    <d v="2025-10-09T00:00:00"/>
    <s v="Gustavo Adolfo Rodr√≠guez"/>
    <s v="12:43:06 a. m."/>
    <n v="-76.723036666666601"/>
    <s v="3.4827850000000002"/>
    <n v="2053"/>
    <m/>
    <x v="0"/>
    <n v="15"/>
    <n v="20"/>
    <m/>
    <x v="1"/>
    <s v="Completamente"/>
    <x v="0"/>
    <x v="6"/>
    <s v="Parcialmente nublado"/>
    <s v="Bosque secundario"/>
    <m/>
    <s v="Herbaceo 0.3-1.5 m"/>
    <s v="Pristimantis palmeri"/>
    <n v="2"/>
    <s v="Amplexo Kevin L√≥pez "/>
    <m/>
    <m/>
    <s v="Ninguna"/>
    <s v="Indeterminado"/>
    <s v="Visual"/>
  </r>
  <r>
    <d v="2025-10-09T00:00:00"/>
    <d v="2025-10-09T00:00:00"/>
    <s v="Gustavo Adolfo Rodr√≠guez"/>
    <s v="12:39:21 a. m."/>
    <n v="-76.723011666666594"/>
    <s v="3.4827250000000003"/>
    <n v="2053"/>
    <m/>
    <x v="0"/>
    <n v="15"/>
    <n v="20"/>
    <m/>
    <x v="1"/>
    <s v="Completamente"/>
    <x v="0"/>
    <x v="6"/>
    <s v="Nublado"/>
    <s v="Bosque secundario"/>
    <m/>
    <s v="Arbustivo 1.5-5 m"/>
    <s v="Pristimantis palmeri"/>
    <n v="2"/>
    <s v="Mar√≠a Camila Freyre  Kevin L√≥pez "/>
    <m/>
    <m/>
    <s v="Ninguna"/>
    <s v="Hembra"/>
    <s v="Visual"/>
  </r>
  <r>
    <d v="2025-10-09T00:00:00"/>
    <d v="2025-10-09T00:00:00"/>
    <s v="Gustavo Adolfo Rodr√≠guez"/>
    <s v="7:30:28 p. m."/>
    <n v="-76.717743333333303"/>
    <n v="3.486205"/>
    <n v="1908"/>
    <m/>
    <x v="0"/>
    <n v="6"/>
    <n v="20"/>
    <m/>
    <x v="1"/>
    <s v="Completamente"/>
    <x v="3"/>
    <x v="7"/>
    <s v="Llovizna"/>
    <s v="Arbustal"/>
    <m/>
    <s v="Arbustivo 1.5-5 m"/>
    <s v="Pristimantis erythropleura"/>
    <n v="1"/>
    <s v="Kevin L√≥pez "/>
    <m/>
    <m/>
    <s v="Ganaderia"/>
    <s v="Macho"/>
    <s v="Auditivo"/>
  </r>
  <r>
    <d v="2025-10-09T00:00:00"/>
    <d v="2025-10-09T00:00:00"/>
    <s v="Gustavo Adolfo Rodr√≠guez"/>
    <s v="9:12:20 p. m."/>
    <n v="-76.718018333333305"/>
    <s v="3.485243333333333"/>
    <n v="1898"/>
    <m/>
    <x v="0"/>
    <n v="15"/>
    <n v="20"/>
    <m/>
    <x v="1"/>
    <s v="Completamente"/>
    <x v="2"/>
    <x v="7"/>
    <s v="Llovizna"/>
    <s v="Bosque secundario"/>
    <m/>
    <s v="Arbustivo 1.5-5 m"/>
    <s v="Pristimantis gracilis"/>
    <n v="1"/>
    <s v="Kevin L√≥pez "/>
    <m/>
    <m/>
    <s v="Ninguna"/>
    <s v="Indeterminado"/>
    <s v="Visual"/>
  </r>
  <r>
    <d v="2025-10-09T00:00:00"/>
    <d v="2025-10-09T00:00:00"/>
    <s v="Gustavo Adolfo Rodr√≠guez"/>
    <s v="8:50:42 p. m."/>
    <n v="-76.717903333333297"/>
    <s v="3.4850833333333338"/>
    <n v="1898"/>
    <m/>
    <x v="0"/>
    <n v="15"/>
    <n v="20"/>
    <m/>
    <x v="1"/>
    <s v="Completamente"/>
    <x v="2"/>
    <x v="7"/>
    <s v="Llovizna"/>
    <s v="Arbustal"/>
    <m/>
    <s v="Herbaceo 0.3-1.5 m"/>
    <s v="Pristimantis alius"/>
    <n v="1"/>
    <s v="Kevin L√≥pez "/>
    <m/>
    <m/>
    <s v="Ganaderia"/>
    <s v="Indeterminado"/>
    <s v="Visual"/>
  </r>
  <r>
    <d v="2025-10-09T00:00:00"/>
    <d v="2025-10-09T00:00:00"/>
    <s v="Gustavo Adolfo Rodr√≠guez"/>
    <s v="8:20:30 p. m."/>
    <n v="-76.717776666666595"/>
    <n v="3.4852150000000002"/>
    <n v="1898"/>
    <m/>
    <x v="0"/>
    <n v="15"/>
    <n v="20"/>
    <m/>
    <x v="1"/>
    <s v="Completamente"/>
    <x v="2"/>
    <x v="7"/>
    <s v="Llovizna"/>
    <s v="Arbustal"/>
    <m/>
    <s v="Herbaceo 0.3-1.5 m"/>
    <s v="Pristimantis palmeri"/>
    <n v="1"/>
    <s v="Kevin L√≥pez "/>
    <m/>
    <m/>
    <s v="Ganaderia"/>
    <s v="Indeterminado"/>
    <s v="Visual"/>
  </r>
  <r>
    <d v="2025-10-09T00:00:00"/>
    <d v="2025-10-09T00:00:00"/>
    <s v="Gustavo Adolfo Rodr√≠guez"/>
    <s v="8:14:08 p. m."/>
    <n v="-76.717901666666606"/>
    <s v="3.485388333333333"/>
    <n v="1898"/>
    <m/>
    <x v="0"/>
    <n v="15"/>
    <n v="20"/>
    <m/>
    <x v="1"/>
    <s v="Completamente"/>
    <x v="2"/>
    <x v="7"/>
    <s v="Nublado"/>
    <s v="Arbustal"/>
    <m/>
    <s v="Arbustivo 1.5-5 m"/>
    <s v="Pristimantis alius"/>
    <n v="1"/>
    <s v="Mar√≠a Camila Freyre "/>
    <m/>
    <m/>
    <s v="Ganaderia"/>
    <s v="Indeterminado"/>
    <s v="Visual"/>
  </r>
  <r>
    <d v="2025-10-09T00:00:00"/>
    <d v="2025-10-09T00:00:00"/>
    <s v="Gustavo Adolfo Rodr√≠guez"/>
    <s v="8:14:08 p. m."/>
    <n v="-76.717901666666606"/>
    <s v="3.485388333333333"/>
    <n v="1898"/>
    <m/>
    <x v="0"/>
    <n v="15"/>
    <n v="20"/>
    <m/>
    <x v="1"/>
    <s v="Completamente"/>
    <x v="2"/>
    <x v="7"/>
    <s v="Llovizna"/>
    <s v="Arbustal"/>
    <m/>
    <s v="Arbustivo 1.5-5 m"/>
    <s v="Pristimantis molybrignus"/>
    <n v="1"/>
    <s v="Revisar (colectada) W cabeza  Foto Kevin 0568   Mar√≠a Camila Freyre "/>
    <m/>
    <m/>
    <s v="Ganaderia"/>
    <s v="Indeterminado"/>
    <s v="Visual"/>
  </r>
  <r>
    <d v="2025-10-09T00:00:00"/>
    <d v="2025-10-09T00:00:00"/>
    <s v="Gustavo Adolfo Rodr√≠guez"/>
    <s v="7:59:39 p. m."/>
    <n v="-76.717848333333293"/>
    <s v="3.4853216666666667"/>
    <n v="1898"/>
    <m/>
    <x v="0"/>
    <n v="15"/>
    <n v="20"/>
    <m/>
    <x v="1"/>
    <s v="Completamente"/>
    <x v="2"/>
    <x v="7"/>
    <s v="Llovizna"/>
    <s v="Arbustal"/>
    <m/>
    <s v="Arbustivo 1.5-5 m"/>
    <s v="Pristimantis erythropleura"/>
    <n v="1"/>
    <s v="Kevin L√≥pez "/>
    <m/>
    <m/>
    <s v="Ganaderia"/>
    <s v="Macho"/>
    <s v="Visual"/>
  </r>
  <r>
    <d v="2025-10-09T00:00:00"/>
    <d v="2025-10-09T00:00:00"/>
    <s v="Gustavo Adolfo Rodr√≠guez"/>
    <s v="7:56:13 p. m."/>
    <n v="-76.717889999999997"/>
    <s v="3.485476666666667"/>
    <n v="1898"/>
    <m/>
    <x v="0"/>
    <n v="15"/>
    <n v="20"/>
    <m/>
    <x v="1"/>
    <s v="Completamente"/>
    <x v="2"/>
    <x v="7"/>
    <s v="Llovizna"/>
    <s v="Arbustal"/>
    <m/>
    <s v="Arbustivo 1.5-5 m"/>
    <s v="Pristimantis erythropleura"/>
    <n v="1"/>
    <s v="Kevin L√≥pez "/>
    <m/>
    <m/>
    <s v="Ganaderia"/>
    <s v="Macho"/>
    <s v="Visual"/>
  </r>
  <r>
    <d v="2025-10-09T00:00:00"/>
    <d v="2025-10-09T00:00:00"/>
    <s v="Gustavo Adolfo Rodr√≠guez"/>
    <s v="7:48:10 p. m."/>
    <n v="-76.717789999999994"/>
    <s v="3.4855983333333334"/>
    <n v="1898"/>
    <m/>
    <x v="0"/>
    <n v="15"/>
    <n v="20"/>
    <m/>
    <x v="1"/>
    <s v="Completamente"/>
    <x v="2"/>
    <x v="7"/>
    <s v="Llovizna"/>
    <s v="Arbustal"/>
    <m/>
    <s v="Arbustivo 1.5-5 m"/>
    <s v="Pristimantis erythropleura"/>
    <n v="1"/>
    <s v="Kevin L√≥pez "/>
    <m/>
    <m/>
    <s v="Ganaderia"/>
    <s v="Macho"/>
    <s v="Visual"/>
  </r>
  <r>
    <d v="2025-10-08T00:00:00"/>
    <d v="2025-10-08T00:00:00"/>
    <s v="Gustavo Adolfo Rodr√≠guez"/>
    <s v="10:12:38 p. m."/>
    <n v="-76.722663333333301"/>
    <s v="3.4777500000000003"/>
    <n v="2125"/>
    <m/>
    <x v="0"/>
    <n v="20"/>
    <n v="20"/>
    <m/>
    <x v="1"/>
    <s v="Completamente"/>
    <x v="1"/>
    <x v="8"/>
    <s v="Llovizna"/>
    <s v="Bosque secundario"/>
    <m/>
    <s v="Herbaceo 0.3-1.5 m"/>
    <s v="Pristimantis molybrignus"/>
    <n v="1"/>
    <s v="Kevin L√≥pez "/>
    <m/>
    <m/>
    <s v="Ninguna"/>
    <s v="Indeterminado"/>
    <s v="Visual"/>
  </r>
  <r>
    <d v="2025-10-08T00:00:00"/>
    <d v="2025-10-08T00:00:00"/>
    <s v="Gustavo Adolfo Rodr√≠guez"/>
    <s v="10:09:26 p. m."/>
    <n v="-76.722706666666596"/>
    <s v="3.477731666666667"/>
    <n v="2125"/>
    <m/>
    <x v="0"/>
    <n v="20"/>
    <n v="20"/>
    <m/>
    <x v="1"/>
    <s v="Completamente"/>
    <x v="1"/>
    <x v="8"/>
    <s v="Llovizna"/>
    <s v="Bosque secundario"/>
    <m/>
    <s v="Herbaceo 0.3-1.5 m"/>
    <s v="Pristimantis molybrignus"/>
    <n v="1"/>
    <s v="Mar√≠a Camila Freyre "/>
    <m/>
    <m/>
    <s v="Ninguna"/>
    <s v="Indeterminado"/>
    <s v="Visual"/>
  </r>
  <r>
    <d v="2025-10-08T00:00:00"/>
    <d v="2025-10-08T00:00:00"/>
    <s v="Gustavo Adolfo Rodr√≠guez"/>
    <s v="9:56:44 p. m."/>
    <n v="-76.722446666666599"/>
    <s v="3.477533333333333"/>
    <n v="2125"/>
    <m/>
    <x v="0"/>
    <n v="20"/>
    <n v="20"/>
    <m/>
    <x v="1"/>
    <s v="Completamente"/>
    <x v="1"/>
    <x v="8"/>
    <s v="Llovizna"/>
    <m/>
    <m/>
    <s v="Herbaceo 0.3-1.5 m"/>
    <s v="Pristimantis silverstonei"/>
    <n v="1"/>
    <s v="Mar√≠a Camila Freyre "/>
    <m/>
    <m/>
    <s v="Ninguna"/>
    <s v="Indeterminado"/>
    <s v="Visual"/>
  </r>
  <r>
    <d v="2025-10-08T00:00:00"/>
    <d v="2025-10-08T00:00:00"/>
    <s v="Gustavo Adolfo Rodr√≠guez"/>
    <s v="9:45:06 p. m."/>
    <n v="-76.722446666666599"/>
    <s v="3.477421666666667"/>
    <n v="2125"/>
    <m/>
    <x v="0"/>
    <n v="20"/>
    <n v="20"/>
    <m/>
    <x v="1"/>
    <s v="Completamente"/>
    <x v="1"/>
    <x v="8"/>
    <s v="Llovizna"/>
    <s v="Bosque secundario"/>
    <s v="Gustavo Adolfo Rodriguez"/>
    <s v="Arbustivo 1.5-5 m"/>
    <s v="Bolitoglossa walkeri"/>
    <n v="1"/>
    <m/>
    <m/>
    <m/>
    <s v="Ninguna"/>
    <s v="Indeterminado"/>
    <s v="Visual"/>
  </r>
  <r>
    <d v="2025-10-08T00:00:00"/>
    <d v="2025-10-08T00:00:00"/>
    <s v="Gustavo Adolfo Rodr√≠guez"/>
    <s v="9:45:06 p. m."/>
    <n v="-76.722446666666599"/>
    <s v="3.477421666666667"/>
    <n v="2125"/>
    <m/>
    <x v="0"/>
    <n v="20"/>
    <n v="20"/>
    <m/>
    <x v="1"/>
    <s v="Completamente"/>
    <x v="1"/>
    <x v="8"/>
    <s v="Llovizna"/>
    <s v="Bosque secundario"/>
    <s v="Cristian David Benavides Tello"/>
    <s v="Herbaceo 0.3-1.5 m"/>
    <s v="Pristimantis silverstonei"/>
    <n v="1"/>
    <m/>
    <m/>
    <m/>
    <s v="Ninguna"/>
    <s v="Indeterminado"/>
    <s v="Visual"/>
  </r>
  <r>
    <d v="2025-10-08T00:00:00"/>
    <d v="2025-10-08T00:00:00"/>
    <s v="Gustavo Adolfo Rodr√≠guez"/>
    <s v="9:35:11 p. m."/>
    <n v="-76.722461666666604"/>
    <s v="3.4773316666666667"/>
    <n v="2125"/>
    <m/>
    <x v="0"/>
    <n v="20"/>
    <n v="20"/>
    <m/>
    <x v="1"/>
    <s v="Completamente"/>
    <x v="1"/>
    <x v="8"/>
    <s v="Llovizna"/>
    <s v="Bosque secundario"/>
    <m/>
    <s v="Herbaceo 0.3-1.5 m"/>
    <s v="Otra"/>
    <n v="1"/>
    <s v="Foto Cami ing 1996 Mar√≠a Camila Freyre "/>
    <s v="Pristimantis sp"/>
    <m/>
    <s v="Ninguna"/>
    <s v="Indeterminado"/>
    <s v="Visual"/>
  </r>
  <r>
    <d v="2025-10-08T00:00:00"/>
    <d v="2025-10-08T00:00:00"/>
    <s v="Gustavo Adolfo Rodr√≠guez"/>
    <s v="9:26:35 p. m."/>
    <n v="-76.722443333333302"/>
    <s v="3.4773950000000005"/>
    <n v="2125"/>
    <m/>
    <x v="0"/>
    <n v="20"/>
    <n v="20"/>
    <m/>
    <x v="1"/>
    <s v="Completamente"/>
    <x v="1"/>
    <x v="8"/>
    <s v="Llovizna"/>
    <s v="Bosque secundario"/>
    <m/>
    <s v="Herbaceo 0.3-1.5 m"/>
    <s v="Pristimantis gracilis"/>
    <n v="1"/>
    <s v="Mar√≠a Camila Freyre "/>
    <m/>
    <m/>
    <s v="Ninguna"/>
    <s v="Indeterminado"/>
    <s v="Visual"/>
  </r>
  <r>
    <d v="2025-10-08T00:00:00"/>
    <d v="2025-10-08T00:00:00"/>
    <s v="Gustavo Adolfo Rodr√≠guez"/>
    <s v="9:13:24 p. m."/>
    <n v="-76.722351666666597"/>
    <s v="3.4772616666666663"/>
    <n v="2125"/>
    <m/>
    <x v="0"/>
    <n v="20"/>
    <n v="20"/>
    <m/>
    <x v="1"/>
    <s v="Completamente"/>
    <x v="1"/>
    <x v="8"/>
    <s v="Llovizna"/>
    <s v="Bosque secundario"/>
    <m/>
    <s v="Herbaceo 0.3-1.5 m"/>
    <s v="Pristimantis molybrignus"/>
    <n v="1"/>
    <s v="Mar√≠a Camila Freyre "/>
    <m/>
    <m/>
    <s v="Ninguna"/>
    <s v="Indeterminado"/>
    <s v="Visual"/>
  </r>
  <r>
    <d v="2025-10-08T00:00:00"/>
    <d v="2025-10-08T00:00:00"/>
    <s v="Gustavo Adolfo Rodr√≠guez"/>
    <s v="9:11:24 p. m."/>
    <n v="-76.722333333333296"/>
    <n v="3.4772349999999999"/>
    <n v="2125"/>
    <m/>
    <x v="0"/>
    <n v="20"/>
    <n v="20"/>
    <m/>
    <x v="1"/>
    <s v="Completamente"/>
    <x v="1"/>
    <x v="8"/>
    <s v="Llovizna"/>
    <s v="Bosque secundario"/>
    <m/>
    <s v="Herbaceo 0.3-1.5 m"/>
    <s v="Pristimantis molybrignus"/>
    <n v="1"/>
    <s v="Kevin L√≥pez "/>
    <m/>
    <m/>
    <s v="Ninguna"/>
    <s v="Indeterminado"/>
    <s v="Visual"/>
  </r>
  <r>
    <d v="2025-10-08T00:00:00"/>
    <d v="2025-10-08T00:00:00"/>
    <s v="Gustavo Adolfo Rodr√≠guez"/>
    <s v="9:10:06 p. m."/>
    <n v="-76.722323333333307"/>
    <n v="3.4771999999999998"/>
    <n v="2125"/>
    <m/>
    <x v="0"/>
    <n v="20"/>
    <n v="20"/>
    <m/>
    <x v="1"/>
    <s v="Completamente"/>
    <x v="1"/>
    <x v="8"/>
    <s v="Llovizna"/>
    <s v="Bosque secundario"/>
    <m/>
    <s v="Herbaceo 0.3-1.5 m"/>
    <s v="Pristimantis alius"/>
    <n v="1"/>
    <s v="Mar√≠a Camila Freyre "/>
    <m/>
    <m/>
    <s v="Ninguna"/>
    <s v="Indeterminado"/>
    <s v="Visual"/>
  </r>
  <r>
    <d v="2025-10-08T00:00:00"/>
    <d v="2025-10-09T00:00:00"/>
    <s v="Gustavo Adolfo Rodr√≠guez"/>
    <s v="12:05:00 a. m."/>
    <n v="-76.723228333333296"/>
    <s v="3.4800383333333333"/>
    <n v="2100"/>
    <m/>
    <x v="0"/>
    <n v="25"/>
    <n v="40"/>
    <m/>
    <x v="1"/>
    <s v="Completamente"/>
    <x v="3"/>
    <x v="8"/>
    <s v="Llovizna"/>
    <s v="Bosque secundario"/>
    <m/>
    <s v="Arbustivo 1.5-5 m"/>
    <s v="Pristimantis molybrignus"/>
    <n v="2"/>
    <s v="Kevin L√≥pez Mar√≠a Camila Freyre "/>
    <m/>
    <m/>
    <s v="Ninguna"/>
    <s v="Hembra"/>
    <s v="Visual"/>
  </r>
  <r>
    <d v="2025-10-08T00:00:00"/>
    <d v="2025-10-09T00:00:00"/>
    <s v="Gustavo Adolfo Rodr√≠guez"/>
    <s v="12:01:46 a. m."/>
    <n v="-76.723134999999999"/>
    <s v="3.479921666666667"/>
    <n v="2100"/>
    <m/>
    <x v="0"/>
    <n v="25"/>
    <n v="40"/>
    <m/>
    <x v="1"/>
    <s v="Completamente"/>
    <x v="3"/>
    <x v="8"/>
    <s v="Llovizna"/>
    <s v="Bosque secundario"/>
    <m/>
    <s v="Herbaceo 0.3-1.5 m"/>
    <s v="Ninguna"/>
    <n v="1"/>
    <s v="Kevin L√≥pez "/>
    <m/>
    <m/>
    <s v="Ninguna"/>
    <s v="Indeterminado"/>
    <s v="Visual"/>
  </r>
  <r>
    <d v="2025-10-08T00:00:00"/>
    <d v="2025-10-09T00:00:00"/>
    <s v="Gustavo Adolfo Rodr√≠guez"/>
    <s v="12:01:46 a. m."/>
    <n v="-76.723134999999999"/>
    <s v="3.479921666666667"/>
    <n v="2100"/>
    <m/>
    <x v="0"/>
    <n v="25"/>
    <n v="40"/>
    <m/>
    <x v="1"/>
    <s v="Completamente"/>
    <x v="3"/>
    <x v="8"/>
    <s v="Llovizna"/>
    <s v="Bosque secundario"/>
    <m/>
    <s v="Herbaceo 0.3-1.5 m"/>
    <s v="Pristimantis alius"/>
    <n v="1"/>
    <s v="Mar√≠a Camila Freyre "/>
    <m/>
    <m/>
    <s v="Ninguna"/>
    <s v="Indeterminado"/>
    <s v="Visual"/>
  </r>
  <r>
    <d v="2025-10-08T00:00:00"/>
    <d v="2025-10-09T00:00:00"/>
    <s v="Gustavo Adolfo Rodr√≠guez"/>
    <s v="11:53:11 p. m."/>
    <n v="-76.723141666666606"/>
    <s v="3.4797116666666663"/>
    <n v="2100"/>
    <m/>
    <x v="0"/>
    <n v="25"/>
    <n v="40"/>
    <m/>
    <x v="1"/>
    <s v="Completamente"/>
    <x v="3"/>
    <x v="8"/>
    <s v="Llovizna"/>
    <s v="Bosque secundario"/>
    <m/>
    <s v="Herbaceo 0.3-1.5 m"/>
    <s v="Pristimantis molybrignus"/>
    <n v="1"/>
    <s v="Kevin L√≥pez "/>
    <m/>
    <m/>
    <s v="Ninguna"/>
    <s v="Indeterminado"/>
    <s v="Visual"/>
  </r>
  <r>
    <d v="2025-10-08T00:00:00"/>
    <d v="2025-10-09T00:00:00"/>
    <s v="Gustavo Adolfo Rodr√≠guez"/>
    <s v="11:48:03 p. m."/>
    <n v="-76.723086666666603"/>
    <s v="3.479643333333333"/>
    <n v="2100"/>
    <m/>
    <x v="0"/>
    <n v="25"/>
    <n v="40"/>
    <m/>
    <x v="1"/>
    <s v="Completamente"/>
    <x v="3"/>
    <x v="8"/>
    <s v="Llovizna"/>
    <s v="Bosque secundario"/>
    <m/>
    <s v="Herbaceo 0.3-1.5 m"/>
    <s v="Pristimantis molybrignus"/>
    <n v="1"/>
    <s v="Mar√≠a Camila Freyre "/>
    <m/>
    <m/>
    <s v="Ninguna"/>
    <s v="Indeterminado"/>
    <s v="Visual"/>
  </r>
  <r>
    <d v="2025-10-08T00:00:00"/>
    <d v="2025-10-09T00:00:00"/>
    <s v="Gustavo Adolfo Rodr√≠guez"/>
    <s v="11:40:47 p. m."/>
    <n v="-76.723011666666594"/>
    <s v="3.4791800000000004"/>
    <n v="2100"/>
    <m/>
    <x v="0"/>
    <n v="25"/>
    <n v="40"/>
    <m/>
    <x v="1"/>
    <s v="Completamente"/>
    <x v="3"/>
    <x v="8"/>
    <s v="Llovizna"/>
    <s v="Bosque secundario"/>
    <m/>
    <s v="Herbaceo 0.3-1.5 m"/>
    <s v="Pristimantis erythropleura"/>
    <n v="1"/>
    <s v="Kevin L√≥pez "/>
    <m/>
    <m/>
    <s v="Ninguna"/>
    <s v="Indeterminado"/>
    <s v="Auditivo"/>
  </r>
  <r>
    <d v="2025-10-08T00:00:00"/>
    <d v="2025-10-09T00:00:00"/>
    <s v="Gustavo Adolfo Rodr√≠guez"/>
    <s v="11:40:47 p. m."/>
    <n v="-76.723011666666594"/>
    <s v="3.4791800000000004"/>
    <n v="2100"/>
    <m/>
    <x v="0"/>
    <n v="25"/>
    <n v="40"/>
    <m/>
    <x v="1"/>
    <s v="Completamente"/>
    <x v="3"/>
    <x v="8"/>
    <s v="Llovizna"/>
    <s v="Bosque secundario"/>
    <s v="Cristian David Benavides Tello"/>
    <s v="Arbustivo 1.5-5 m"/>
    <s v="Pristimantis gracilis"/>
    <n v="2"/>
    <m/>
    <m/>
    <m/>
    <s v="Ninguna"/>
    <s v="Indeterminado"/>
    <s v="Visual"/>
  </r>
  <r>
    <d v="2025-10-08T00:00:00"/>
    <d v="2025-10-09T00:00:00"/>
    <s v="Gustavo Adolfo Rodr√≠guez"/>
    <s v="11:40:47 p. m."/>
    <n v="-76.723011666666594"/>
    <s v="3.4791800000000004"/>
    <n v="2100"/>
    <m/>
    <x v="0"/>
    <n v="25"/>
    <n v="40"/>
    <m/>
    <x v="1"/>
    <s v="Completamente"/>
    <x v="3"/>
    <x v="8"/>
    <s v="Llovizna"/>
    <s v="Bosque secundario"/>
    <m/>
    <s v="Herbaceo 0.3-1.5 m"/>
    <s v="Pristimantis molybrignus"/>
    <n v="1"/>
    <s v="Mar√≠a Camila Freyre "/>
    <m/>
    <m/>
    <s v="Ninguna"/>
    <s v="Indeterminado"/>
    <s v="Visual"/>
  </r>
  <r>
    <d v="2025-10-08T00:00:00"/>
    <d v="2025-10-08T00:00:00"/>
    <s v="Gustavo Adolfo Rodr√≠guez"/>
    <s v="12:43:41 a. m."/>
    <n v="-76.722800000000007"/>
    <s v="3.503006666666667"/>
    <n v="1826"/>
    <m/>
    <x v="0"/>
    <n v="10"/>
    <n v="15"/>
    <m/>
    <x v="1"/>
    <s v="Completamente"/>
    <x v="2"/>
    <x v="9"/>
    <s v="Parcialmente nublado luna llena"/>
    <s v="Bosque secundario"/>
    <m/>
    <s v="Herbaceo 0.3-1.5 m"/>
    <s v="Pristimantis molybrignus"/>
    <n v="1"/>
    <s v="Kevin L√≥pez "/>
    <m/>
    <m/>
    <s v="Ninguna"/>
    <s v="Indeterminado"/>
    <s v="Visual"/>
  </r>
  <r>
    <d v="2025-10-08T00:00:00"/>
    <d v="2025-10-08T00:00:00"/>
    <s v="Gustavo Adolfo Rodr√≠guez"/>
    <s v="12:33:46 a. m."/>
    <n v="-76.722409999999996"/>
    <s v="3.5027383333333337"/>
    <n v="1826"/>
    <m/>
    <x v="0"/>
    <n v="10"/>
    <n v="15"/>
    <m/>
    <x v="1"/>
    <s v="Completamente"/>
    <x v="2"/>
    <x v="9"/>
    <s v="Parcialmente nublado luna llena"/>
    <m/>
    <m/>
    <s v="Arbustivo 1.5-5 m"/>
    <s v="Pristimantis molybrignus"/>
    <n v="1"/>
    <s v="Kevin L√≥pez "/>
    <m/>
    <m/>
    <s v="Ganaderia"/>
    <s v="Indeterminado"/>
    <s v="Visual"/>
  </r>
  <r>
    <d v="2025-10-08T00:00:00"/>
    <d v="2025-10-08T00:00:00"/>
    <s v="Gustavo Adolfo Rodr√≠guez"/>
    <s v="8:57:02 p. m."/>
    <n v="-76.722318333333305"/>
    <s v="3.4770466666666664"/>
    <n v="2129"/>
    <m/>
    <x v="0"/>
    <n v="25"/>
    <n v="30"/>
    <m/>
    <x v="1"/>
    <s v="Parcialmente"/>
    <x v="0"/>
    <x v="8"/>
    <s v="Llovizna"/>
    <s v="Bosque secundario"/>
    <s v="Cristian David Benavides Tello"/>
    <s v="Herbaceo 0.3-1.5 m"/>
    <s v="Pristimantis alius"/>
    <n v="1"/>
    <m/>
    <m/>
    <m/>
    <s v="Ninguna"/>
    <s v="Macho"/>
    <s v="Visual"/>
  </r>
  <r>
    <d v="2025-10-08T00:00:00"/>
    <d v="2025-10-08T00:00:00"/>
    <s v="Gustavo Adolfo Rodr√≠guez"/>
    <s v="8:50:55 p. m."/>
    <n v="-76.722218333333302"/>
    <s v="3.476976666666667"/>
    <n v="2129"/>
    <m/>
    <x v="0"/>
    <n v="25"/>
    <n v="30"/>
    <m/>
    <x v="1"/>
    <s v="Parcialmente"/>
    <x v="0"/>
    <x v="8"/>
    <s v="Llovizna"/>
    <s v="Bosque secundario"/>
    <m/>
    <s v="Herbaceo 0.3-1.5 m"/>
    <s v="Pristimantis molybrignus"/>
    <n v="1"/>
    <s v="Kevin L√≥pez "/>
    <m/>
    <m/>
    <s v="Ninguna"/>
    <s v="Hembra"/>
    <s v="Visual"/>
  </r>
  <r>
    <d v="2025-10-08T00:00:00"/>
    <d v="2025-10-08T00:00:00"/>
    <s v="Gustavo Adolfo Rodr√≠guez"/>
    <s v="8:47:46 p. m."/>
    <n v="-76.722203333333297"/>
    <s v="3.4769599999999996"/>
    <n v="2129"/>
    <m/>
    <x v="0"/>
    <n v="25"/>
    <n v="30"/>
    <m/>
    <x v="1"/>
    <s v="Parcialmente"/>
    <x v="0"/>
    <x v="8"/>
    <s v="Llovizna"/>
    <m/>
    <m/>
    <s v="Herbaceo 0.3-1.5 m"/>
    <s v="Bolitoglossa walkeri"/>
    <n v="1"/>
    <s v="Kevin L√≥pez "/>
    <m/>
    <m/>
    <m/>
    <s v="Indeterminado"/>
    <s v="Visual"/>
  </r>
  <r>
    <d v="2025-10-08T00:00:00"/>
    <d v="2025-10-08T00:00:00"/>
    <s v="Gustavo Adolfo Rodr√≠guez"/>
    <s v="8:47:46 p. m."/>
    <n v="-76.722203333333297"/>
    <s v="3.4769599999999996"/>
    <n v="2129"/>
    <m/>
    <x v="0"/>
    <n v="25"/>
    <n v="30"/>
    <m/>
    <x v="1"/>
    <s v="Parcialmente"/>
    <x v="0"/>
    <x v="8"/>
    <s v="Llovizna"/>
    <s v="Bosque secundario"/>
    <m/>
    <s v="Rasante &lt;0.3 m"/>
    <s v="Hypodactylus mantipus"/>
    <n v="1"/>
    <s v="Kevin L√≥pez "/>
    <m/>
    <m/>
    <s v="Ninguna"/>
    <s v="Indeterminado"/>
    <s v="Visual"/>
  </r>
  <r>
    <d v="2025-10-08T00:00:00"/>
    <d v="2025-10-08T00:00:00"/>
    <s v="Gustavo Adolfo Rodr√≠guez"/>
    <s v="8:31:43 p. m."/>
    <n v="-76.722174999999993"/>
    <s v="3.4768483333333338"/>
    <n v="2129"/>
    <m/>
    <x v="0"/>
    <n v="25"/>
    <n v="30"/>
    <m/>
    <x v="1"/>
    <s v="Parcialmente"/>
    <x v="0"/>
    <x v="8"/>
    <s v="Llovizna"/>
    <m/>
    <m/>
    <s v="Herbaceo 0.3-1.5 m"/>
    <s v="Pristimantis alius"/>
    <n v="2"/>
    <s v="Kevin L√≥pez  Revisar foto Cami Canon "/>
    <m/>
    <m/>
    <s v="Ninguna"/>
    <s v="Indeterminado"/>
    <s v="Visual"/>
  </r>
  <r>
    <d v="2025-10-08T00:00:00"/>
    <d v="2025-10-08T00:00:00"/>
    <s v="Gustavo Adolfo Rodr√≠guez"/>
    <s v="8:31:43 p. m."/>
    <n v="-76.722174999999993"/>
    <s v="3.4768483333333338"/>
    <n v="2129"/>
    <m/>
    <x v="0"/>
    <n v="25"/>
    <n v="30"/>
    <m/>
    <x v="1"/>
    <s v="Parcialmente"/>
    <x v="0"/>
    <x v="8"/>
    <s v="Llovizna"/>
    <s v="Bosque secundario"/>
    <m/>
    <s v="Herbaceo 0.3-1.5 m"/>
    <s v="Pristimantis gracilis"/>
    <n v="1"/>
    <s v="Revisar foto Kevin 0453"/>
    <m/>
    <m/>
    <s v="Ninguna"/>
    <s v="Hembra"/>
    <s v="Visual"/>
  </r>
  <r>
    <d v="2025-10-08T00:00:00"/>
    <d v="2025-10-08T00:00:00"/>
    <s v="Gustavo Adolfo Rodr√≠guez"/>
    <s v="8:31:43 p. m."/>
    <n v="-76.722174999999993"/>
    <s v="3.4768483333333338"/>
    <n v="2129"/>
    <m/>
    <x v="0"/>
    <n v="25"/>
    <n v="30"/>
    <m/>
    <x v="1"/>
    <s v="Parcialmente"/>
    <x v="0"/>
    <x v="8"/>
    <s v="Nublado"/>
    <s v="Bosque secundario"/>
    <m/>
    <s v="Arbustivo 1.5-5 m"/>
    <s v="Bolitoglossa walkeri"/>
    <n v="1"/>
    <s v="Kevin L√≥pez  Revisar foto Kevin 0456"/>
    <m/>
    <m/>
    <s v="Ninguna"/>
    <s v="Indeterminado"/>
    <s v="Visual"/>
  </r>
  <r>
    <d v="2025-10-08T00:00:00"/>
    <d v="2025-10-08T00:00:00"/>
    <s v="Gustavo Adolfo Rodr√≠guez"/>
    <s v="11:19:13 p. m."/>
    <n v="-76.722899999999996"/>
    <s v="3.479071666666667"/>
    <n v="2117"/>
    <m/>
    <x v="0"/>
    <n v="25"/>
    <n v="20"/>
    <m/>
    <x v="1"/>
    <s v="Completamente"/>
    <x v="2"/>
    <x v="8"/>
    <s v="Despejado"/>
    <s v="Bosque secundario"/>
    <m/>
    <s v="Herbaceo 0.3-1.5 m"/>
    <s v="Bolitoglossa walkeri"/>
    <n v="1"/>
    <s v="Mar√≠a Camila Freyre "/>
    <m/>
    <m/>
    <s v="Ninguna"/>
    <s v="Indeterminado"/>
    <s v="Visual"/>
  </r>
  <r>
    <d v="2025-10-08T00:00:00"/>
    <d v="2025-10-08T00:00:00"/>
    <s v="Gustavo Adolfo Rodr√≠guez"/>
    <s v="11:19:13 p. m."/>
    <n v="-76.722899999999996"/>
    <s v="3.479071666666667"/>
    <n v="2117"/>
    <m/>
    <x v="0"/>
    <n v="25"/>
    <n v="20"/>
    <m/>
    <x v="1"/>
    <s v="Completamente"/>
    <x v="2"/>
    <x v="8"/>
    <s v="Despejado"/>
    <s v="Bosque secundario"/>
    <s v="Cristian David Benavides Tello"/>
    <s v="Arbustivo 1.5-5 m"/>
    <s v="Pristimantis molybrignus"/>
    <n v="3"/>
    <m/>
    <m/>
    <m/>
    <s v="Ninguna"/>
    <s v="Indeterminado"/>
    <s v="Visual"/>
  </r>
  <r>
    <d v="2025-10-08T00:00:00"/>
    <d v="2025-10-08T00:00:00"/>
    <s v="Gustavo Adolfo Rodr√≠guez"/>
    <s v="11:06:57 p. m."/>
    <n v="-76.722803333333303"/>
    <s v="3.4786750000000004"/>
    <n v="2117"/>
    <m/>
    <x v="0"/>
    <n v="25"/>
    <n v="20"/>
    <m/>
    <x v="1"/>
    <s v="Completamente"/>
    <x v="2"/>
    <x v="8"/>
    <s v="Llovizna"/>
    <s v="Bosque secundario"/>
    <m/>
    <s v="Arbustivo 1.5-5 m"/>
    <s v="Pristimantis molybrignus"/>
    <n v="1"/>
    <s v="Kevin L√≥pez "/>
    <m/>
    <m/>
    <s v="Ninguna"/>
    <s v="Indeterminado"/>
    <s v="Visual"/>
  </r>
  <r>
    <d v="2025-10-08T00:00:00"/>
    <d v="2025-10-08T00:00:00"/>
    <s v="Gustavo Adolfo Rodr√≠guez"/>
    <s v="11:06:57 p. m."/>
    <n v="-76.722803333333303"/>
    <s v="3.4786750000000004"/>
    <n v="2117"/>
    <m/>
    <x v="0"/>
    <n v="25"/>
    <n v="20"/>
    <m/>
    <x v="1"/>
    <s v="Completamente"/>
    <x v="2"/>
    <x v="8"/>
    <s v="Llovizna"/>
    <s v="Bosque secundario"/>
    <m/>
    <s v="Arbustivo 1.5-5 m"/>
    <s v="Ninguna"/>
    <n v="1"/>
    <s v="Kevin L√≥pez "/>
    <m/>
    <m/>
    <s v="Ninguna"/>
    <s v="Indeterminado"/>
    <s v="Visual"/>
  </r>
  <r>
    <d v="2025-10-08T00:00:00"/>
    <d v="2025-10-08T00:00:00"/>
    <s v="Gustavo Adolfo Rodr√≠guez"/>
    <s v="10:46:44 p. m."/>
    <n v="-76.722821666666604"/>
    <s v="3.478323333333334"/>
    <n v="2117"/>
    <m/>
    <x v="0"/>
    <n v="25"/>
    <n v="20"/>
    <m/>
    <x v="1"/>
    <s v="Completamente"/>
    <x v="2"/>
    <x v="8"/>
    <s v="Llovizna"/>
    <s v="Bosque secundario"/>
    <s v="Cristian David Benavides Tello"/>
    <s v="Rasante &lt;0.3 m"/>
    <s v="Hypodactylus mantipus"/>
    <n v="1"/>
    <m/>
    <m/>
    <m/>
    <s v="Ninguna"/>
    <s v="Indeterminado"/>
    <s v="Visual"/>
  </r>
  <r>
    <d v="2025-10-08T00:00:00"/>
    <d v="2025-10-08T00:00:00"/>
    <s v="Gustavo Adolfo Rodr√≠guez"/>
    <s v="10:39:53 p. m."/>
    <n v="-76.722740000000002"/>
    <s v="3.4782849999999996"/>
    <n v="2117"/>
    <m/>
    <x v="0"/>
    <n v="25"/>
    <n v="20"/>
    <m/>
    <x v="1"/>
    <s v="Completamente"/>
    <x v="2"/>
    <x v="8"/>
    <s v="Llovizna"/>
    <s v="Bosque secundario"/>
    <m/>
    <s v="Herbaceo 0.3-1.5 m"/>
    <s v="Pristimantis palmeri"/>
    <n v="1"/>
    <s v="Kevin L√≥pez "/>
    <m/>
    <m/>
    <s v="Ninguna"/>
    <s v="Indeterminado"/>
    <s v="Visual"/>
  </r>
  <r>
    <d v="2025-10-08T00:00:00"/>
    <d v="2025-10-08T00:00:00"/>
    <s v="Gustavo Adolfo Rodr√≠guez"/>
    <s v="10:39:53 p. m."/>
    <n v="-76.722740000000002"/>
    <s v="3.4782849999999996"/>
    <n v="2117"/>
    <m/>
    <x v="0"/>
    <n v="25"/>
    <n v="20"/>
    <m/>
    <x v="1"/>
    <s v="Completamente"/>
    <x v="2"/>
    <x v="8"/>
    <s v="Llovizna"/>
    <s v="Bosque secundario"/>
    <m/>
    <s v="Herbaceo 0.3-1.5 m"/>
    <s v="Pristimantis molybrignus"/>
    <n v="1"/>
    <s v="Mar√≠a Camila Freyre "/>
    <m/>
    <m/>
    <s v="Ninguna"/>
    <s v="Indeterminado"/>
    <s v="Visual"/>
  </r>
  <r>
    <d v="2025-10-08T00:00:00"/>
    <d v="2025-10-08T00:00:00"/>
    <s v="Gustavo Adolfo Rodr√≠guez"/>
    <s v="10:35:41 p. m."/>
    <n v="-76.722816666666603"/>
    <s v="3.4782666666666673"/>
    <n v="2117"/>
    <m/>
    <x v="0"/>
    <n v="25"/>
    <n v="20"/>
    <m/>
    <x v="1"/>
    <s v="Completamente"/>
    <x v="2"/>
    <x v="8"/>
    <s v="Llovizna"/>
    <s v="Bosque secundario"/>
    <m/>
    <s v="Herbaceo 0.3-1.5 m"/>
    <s v="Ninguna"/>
    <n v="1"/>
    <s v="Kevin L√≥pez "/>
    <m/>
    <m/>
    <s v="Ninguna"/>
    <s v="Indeterminado"/>
    <s v="Visual"/>
  </r>
  <r>
    <d v="2025-10-08T00:00:00"/>
    <d v="2025-10-08T00:00:00"/>
    <s v="Gustavo Adolfo Rodr√≠guez"/>
    <s v="10:32:38 p. m."/>
    <n v="-76.722776666666604"/>
    <s v="3.478146666666667"/>
    <n v="2117"/>
    <m/>
    <x v="0"/>
    <n v="25"/>
    <n v="20"/>
    <m/>
    <x v="1"/>
    <s v="Completamente"/>
    <x v="2"/>
    <x v="8"/>
    <s v="Llovizna"/>
    <s v="Bosque secundario"/>
    <m/>
    <s v="Herbaceo 0.3-1.5 m"/>
    <s v="Pristimantis silverstonei"/>
    <n v="1"/>
    <s v="Mar√≠a Camila Freyre "/>
    <m/>
    <m/>
    <s v="Ninguna"/>
    <s v="Indeterminado"/>
    <m/>
  </r>
  <r>
    <d v="2025-10-08T00:00:00"/>
    <d v="2025-10-08T00:00:00"/>
    <s v="Gustavo Adolfo Rodr√≠guez"/>
    <s v="10:31:35 p. m."/>
    <n v="-76.722743333333298"/>
    <n v="3.47817"/>
    <n v="2117"/>
    <m/>
    <x v="0"/>
    <n v="25"/>
    <n v="20"/>
    <m/>
    <x v="1"/>
    <s v="Completamente"/>
    <x v="2"/>
    <x v="8"/>
    <s v="Llovizna"/>
    <s v="Bosque secundario"/>
    <s v="Gustavo Adolfo Rodriguez"/>
    <s v="Arbustivo 1.5-5 m"/>
    <s v="Pristimantis alius"/>
    <n v="1"/>
    <m/>
    <m/>
    <m/>
    <s v="Ninguna"/>
    <s v="Indeterminado"/>
    <s v="Visual"/>
  </r>
  <r>
    <d v="2025-10-08T00:00:00"/>
    <d v="2025-10-08T00:00:00"/>
    <s v="Gustavo Adolfo Rodr√≠guez"/>
    <s v="10:26:37 p. m."/>
    <n v="-76.722768333333306"/>
    <s v="3.4781350000000004"/>
    <n v="2117"/>
    <m/>
    <x v="0"/>
    <n v="25"/>
    <n v="20"/>
    <m/>
    <x v="1"/>
    <s v="Completamente"/>
    <x v="2"/>
    <x v="8"/>
    <s v="Llovizna"/>
    <s v="Bosque secundario"/>
    <s v="Cristian David Benavides Tello"/>
    <s v="Herbaceo 0.3-1.5 m"/>
    <s v="Pristimantis molybrignus"/>
    <n v="1"/>
    <m/>
    <m/>
    <m/>
    <s v="Ninguna"/>
    <s v="Indeterminado"/>
    <s v="Visual"/>
  </r>
  <r>
    <d v="2025-10-08T00:00:00"/>
    <d v="2025-10-08T00:00:00"/>
    <s v="Gustavo Adolfo Rodr√≠guez"/>
    <s v="10:24:58 p. m."/>
    <n v="-76.7227933333333"/>
    <s v="3.4780549999999995"/>
    <n v="2117"/>
    <m/>
    <x v="0"/>
    <n v="25"/>
    <n v="20"/>
    <m/>
    <x v="1"/>
    <s v="Completamente"/>
    <x v="2"/>
    <x v="8"/>
    <s v="Llovizna"/>
    <s v="Bosque secundario"/>
    <m/>
    <s v="Rasante &lt;0.3 m"/>
    <s v="Hypodactylus mantipus"/>
    <n v="1"/>
    <s v="Kevin L√≥pez "/>
    <m/>
    <m/>
    <s v="Ninguna"/>
    <s v="Indeterminado"/>
    <s v="Visual"/>
  </r>
  <r>
    <d v="2025-10-08T00:00:00"/>
    <d v="2025-10-08T00:00:00"/>
    <s v="Gustavo Adolfo Rodr√≠guez"/>
    <s v="10:24:58 p. m."/>
    <n v="-76.7227933333333"/>
    <s v="3.4780549999999995"/>
    <n v="2117"/>
    <m/>
    <x v="0"/>
    <n v="25"/>
    <n v="20"/>
    <m/>
    <x v="1"/>
    <s v="Completamente"/>
    <x v="2"/>
    <x v="8"/>
    <s v="Llovizna"/>
    <s v="Bosque secundario"/>
    <m/>
    <s v="Herbaceo 0.3-1.5 m"/>
    <s v="Pristimantis brevifrons"/>
    <n v="1"/>
    <s v="Mar√≠a Camila Freyre "/>
    <m/>
    <m/>
    <s v="Ninguna"/>
    <s v="Indeterminado"/>
    <s v="Visual"/>
  </r>
  <r>
    <d v="2025-10-08T00:00:00"/>
    <d v="2025-10-08T00:00:00"/>
    <s v="Gustavo Adolfo Rodr√≠guez"/>
    <s v="10:19:17 p. m."/>
    <n v="-76.722785000000002"/>
    <s v="3.4779850000000003"/>
    <n v="2117"/>
    <m/>
    <x v="0"/>
    <n v="25"/>
    <n v="20"/>
    <m/>
    <x v="1"/>
    <s v="Completamente"/>
    <x v="2"/>
    <x v="8"/>
    <s v="Llovizna"/>
    <s v="Bosque secundario"/>
    <s v="Cristian David Benavides Tello"/>
    <s v="Herbaceo 0.3-1.5 m"/>
    <s v="Bolitoglossa walkeri"/>
    <n v="1"/>
    <m/>
    <m/>
    <m/>
    <s v="Ninguna"/>
    <s v="Indeterminado"/>
    <s v="Visual"/>
  </r>
  <r>
    <d v="2025-10-07T00:00:00"/>
    <d v="2025-10-07T00:00:00"/>
    <s v="Gustavo Adolfo Rodr√≠guez"/>
    <s v="10:18:37 p. m."/>
    <n v="-76.726858333333297"/>
    <s v="3.500348333333333"/>
    <n v="1794"/>
    <m/>
    <x v="0"/>
    <n v="25"/>
    <n v="15"/>
    <m/>
    <x v="1"/>
    <s v="Completamente"/>
    <x v="0"/>
    <x v="9"/>
    <s v="Parcialmente nublado luna llena"/>
    <s v="Arbustal"/>
    <m/>
    <s v="Rasante &lt;0.3 m"/>
    <s v="Ninguna"/>
    <n v="2"/>
    <s v="Mar√≠a Camila Freyre"/>
    <m/>
    <m/>
    <s v="Ganaderia"/>
    <s v="Indeterminado"/>
    <s v="Auditivo"/>
  </r>
  <r>
    <d v="2025-10-07T00:00:00"/>
    <d v="2025-10-07T00:00:00"/>
    <s v="Gustavo Adolfo Rodr√≠guez"/>
    <s v="10:16:57 p. m."/>
    <n v="-76.726839999999996"/>
    <s v="3.500331666666667"/>
    <n v="1794"/>
    <m/>
    <x v="0"/>
    <n v="25"/>
    <n v="15"/>
    <m/>
    <x v="1"/>
    <s v="Completamente"/>
    <x v="0"/>
    <x v="9"/>
    <s v="Parcialmente nublado luna llena"/>
    <s v="Bosque ripario"/>
    <m/>
    <s v="Arbustivo 1.5-5 m"/>
    <s v="Centrolene savagei"/>
    <n v="1"/>
    <s v="Mar√≠a Camila Freyre "/>
    <m/>
    <m/>
    <s v="Ganaderia"/>
    <s v="Indeterminado"/>
    <s v="Visual"/>
  </r>
  <r>
    <d v="2025-10-07T00:00:00"/>
    <d v="2025-10-07T00:00:00"/>
    <s v="Gustavo Adolfo Rodr√≠guez"/>
    <s v="9:54:22 p. m."/>
    <n v="-76.726264999999998"/>
    <s v="3.5000566666666666"/>
    <n v="1794"/>
    <m/>
    <x v="0"/>
    <n v="25"/>
    <n v="15"/>
    <m/>
    <x v="1"/>
    <s v="Completamente"/>
    <x v="0"/>
    <x v="9"/>
    <s v="Despejado luna llena"/>
    <s v="Bosque ripario"/>
    <m/>
    <s v="Herbaceo 0.3-1.5 m"/>
    <s v="Pristimantis erythropleura"/>
    <n v="1"/>
    <s v="Kevin L√≥pez "/>
    <m/>
    <m/>
    <m/>
    <s v="Hembra"/>
    <s v="Visual"/>
  </r>
  <r>
    <d v="2025-10-07T00:00:00"/>
    <d v="2025-10-07T00:00:00"/>
    <s v="Gustavo Adolfo Rodr√≠guez"/>
    <s v="8:43:06 p. m."/>
    <n v="-76.725785000000002"/>
    <s v="3.4995983333333336"/>
    <n v="1788"/>
    <m/>
    <x v="0"/>
    <n v="8"/>
    <n v="40"/>
    <m/>
    <x v="1"/>
    <s v="Completamente"/>
    <x v="2"/>
    <x v="9"/>
    <s v="Parcialmente nublado luna llena"/>
    <s v="Arbustal"/>
    <m/>
    <s v="Herbaceo 0.3-1.5 m"/>
    <s v="Pristimantis alius"/>
    <n v="1"/>
    <s v="Kevin L√≥pez "/>
    <m/>
    <m/>
    <s v="Ninguna"/>
    <s v="Indeterminado"/>
    <s v="Visual"/>
  </r>
  <r>
    <d v="2025-10-07T00:00:00"/>
    <d v="2025-10-07T00:00:00"/>
    <s v="Gustavo Adolfo Rodr√≠guez"/>
    <s v="8:16:06 p. m."/>
    <n v="-76.725484999999907"/>
    <s v="3.4995616666666667"/>
    <n v="1788"/>
    <m/>
    <x v="0"/>
    <n v="8"/>
    <n v="40"/>
    <m/>
    <x v="1"/>
    <s v="Completamente"/>
    <x v="2"/>
    <x v="9"/>
    <s v="Parcialmente nublado luna llena"/>
    <m/>
    <s v="Cristian David Benavides Tello"/>
    <s v="Arbustivo 1.5-5 m"/>
    <s v="Pristimantis platychilus"/>
    <n v="1"/>
    <s v="Revisar"/>
    <m/>
    <m/>
    <s v="Ninguna"/>
    <s v="Indeterminado"/>
    <s v="Visual"/>
  </r>
  <r>
    <d v="2025-10-07T00:00:00"/>
    <d v="2025-10-07T00:00:00"/>
    <s v="Gustavo Adolfo Rodr√≠guez"/>
    <s v="8:04:48 p. m."/>
    <n v="-76.725473333333298"/>
    <s v="3.4995483333333333"/>
    <n v="1788"/>
    <m/>
    <x v="0"/>
    <n v="8"/>
    <n v="40"/>
    <m/>
    <x v="1"/>
    <s v="Completamente"/>
    <x v="2"/>
    <x v="9"/>
    <s v="Parcialmente nublado luna llena"/>
    <s v="Arbustal"/>
    <s v="Yimmi Angulo"/>
    <s v="Herbaceo 0.3-1.5 m"/>
    <s v="Pristimantis erythropleura"/>
    <n v="1"/>
    <s v="Observado por Kevin L√≥pez "/>
    <m/>
    <m/>
    <s v="Ninguna"/>
    <s v="Indeterminado"/>
    <s v="Visual"/>
  </r>
  <r>
    <d v="2025-10-07T00:00:00"/>
    <d v="2025-10-07T00:00:00"/>
    <s v="Gustavo Adolfo Rodr√≠guez"/>
    <s v="7:56:59 p. m."/>
    <n v="-76.725431666666594"/>
    <s v="3.4995483333333333"/>
    <n v="1788"/>
    <m/>
    <x v="0"/>
    <n v="8"/>
    <n v="40"/>
    <m/>
    <x v="1"/>
    <s v="Completamente"/>
    <x v="2"/>
    <x v="9"/>
    <s v="Parcialmente nublado luna llena"/>
    <s v="Arbustal"/>
    <m/>
    <s v="Rasante &lt;0.3 m"/>
    <s v="Pristimantis erythropleura"/>
    <n v="1"/>
    <s v="Maria Camila Freyre"/>
    <m/>
    <m/>
    <s v="Ninguna"/>
    <s v="Macho"/>
    <s v="Visual"/>
  </r>
  <r>
    <d v="2025-10-07T00:00:00"/>
    <d v="2025-10-07T00:00:00"/>
    <s v="Gustavo Adolfo Rodr√≠guez"/>
    <s v="9:40:16 p. m."/>
    <n v="-76.726204999999993"/>
    <n v="3.4997099999999999"/>
    <n v="1806"/>
    <n v="3"/>
    <x v="0"/>
    <n v="25"/>
    <n v="10"/>
    <m/>
    <x v="1"/>
    <s v="Completamente"/>
    <x v="1"/>
    <x v="9"/>
    <s v="Parcialmente nublado luna llena"/>
    <s v="Bosque ripario"/>
    <s v="Cristian David Benavides Tello"/>
    <s v="Herbaceo 0.3-1.5 m"/>
    <s v="Pristimantis molybrignus"/>
    <n v="1"/>
    <m/>
    <m/>
    <m/>
    <m/>
    <s v="Indeterminado"/>
    <s v="Visual"/>
  </r>
  <r>
    <d v="2025-10-07T00:00:00"/>
    <d v="2025-10-07T00:00:00"/>
    <s v="Gustavo Adolfo Rodr√≠guez"/>
    <s v="9:23:29 p. m."/>
    <n v="-76.726174999999998"/>
    <s v="3.4995066666666665"/>
    <n v="1806"/>
    <n v="3"/>
    <x v="0"/>
    <n v="25"/>
    <n v="10"/>
    <m/>
    <x v="1"/>
    <s v="Completamente"/>
    <x v="1"/>
    <x v="9"/>
    <s v="Parcialmente nublado luna llena"/>
    <s v="Bosque ribere√±o"/>
    <s v="Cristian David Benavides Tello"/>
    <s v="Herbaceo 0.3-1.5 m"/>
    <s v="Pristimantis molybrignus"/>
    <n v="1"/>
    <m/>
    <m/>
    <m/>
    <s v="Ninguna"/>
    <s v="Indeterminado"/>
    <s v="Visual"/>
  </r>
  <r>
    <d v="2025-10-07T00:00:00"/>
    <d v="2025-10-07T00:00:00"/>
    <s v="Gustavo Adolfo Rodr√≠guez"/>
    <s v="9:07:44 p. m."/>
    <n v="-76.726050000000001"/>
    <s v="3.4993383333333337"/>
    <n v="1806"/>
    <n v="3"/>
    <x v="0"/>
    <n v="25"/>
    <n v="10"/>
    <m/>
    <x v="1"/>
    <s v="Completamente"/>
    <x v="1"/>
    <x v="9"/>
    <s v="Parcialmente nublado"/>
    <s v="Bosque ripario"/>
    <m/>
    <s v="Arbustivo 1.5-5 m"/>
    <s v="Centrolene savagei"/>
    <n v="2"/>
    <s v="Kevin L√≥pez "/>
    <m/>
    <m/>
    <s v="Ninguna"/>
    <s v="Indeterminado"/>
    <s v="Auditivo"/>
  </r>
  <r>
    <d v="2025-10-07T00:00:00"/>
    <d v="2025-10-07T00:00:00"/>
    <s v="Gustavo Adolfo Rodr√≠guez"/>
    <s v="11:50:58 p. m."/>
    <n v="-76.722468333333296"/>
    <s v="3.5025033333333333"/>
    <n v="1823"/>
    <m/>
    <x v="0"/>
    <n v="8"/>
    <n v="5"/>
    <m/>
    <x v="1"/>
    <s v="Completamente"/>
    <x v="2"/>
    <x v="9"/>
    <s v="Parcialmente nublado luna llena"/>
    <s v="Potrero"/>
    <s v="Gustavo Adolfo Rodriguez"/>
    <s v="Rasante &lt;0.3 m"/>
    <s v="Ninguna"/>
    <n v="1"/>
    <m/>
    <m/>
    <m/>
    <s v="Ganaderia"/>
    <s v="Indeterminado"/>
    <s v="Auditivo"/>
  </r>
  <r>
    <d v="2025-10-07T00:00:00"/>
    <d v="2025-10-08T00:00:00"/>
    <s v="Gustavo Adolfo Rodr√≠guez"/>
    <s v="11:58:30 p. m."/>
    <n v="-76.722380000000001"/>
    <s v="3.502243333333333"/>
    <n v="1815"/>
    <m/>
    <x v="0"/>
    <n v="7"/>
    <n v="15"/>
    <m/>
    <x v="1"/>
    <s v="Completamente"/>
    <x v="1"/>
    <x v="9"/>
    <s v="Parcialmente nublado luna llena"/>
    <s v="Potrero"/>
    <s v="Gustavo Adolfo Rodriguez"/>
    <s v="Rasante &lt;0.3 m"/>
    <s v="Ninguna"/>
    <n v="1"/>
    <m/>
    <m/>
    <m/>
    <s v="Ganaderia"/>
    <s v="Indeterminado"/>
    <s v="Visual"/>
  </r>
  <r>
    <d v="2024-11-23T00:00:00"/>
    <d v="2024-11-23T00:00:00"/>
    <s v="John Sebastian Ovalle Talaga"/>
    <s v="12:44:51 a. m."/>
    <n v="-76.877534999999995"/>
    <n v="3.5431750000000002"/>
    <n v="481"/>
    <m/>
    <x v="1"/>
    <n v="25"/>
    <n v="15"/>
    <m/>
    <x v="0"/>
    <s v="Completamente"/>
    <x v="1"/>
    <x v="3"/>
    <s v="Llovizna"/>
    <s v="Bosque ripario"/>
    <s v="John Sebastian Ovalle Talaga"/>
    <s v="Rasante &lt;0.3 m"/>
    <s v="Bolitoglossa biseriata"/>
    <n v="1"/>
    <m/>
    <m/>
    <m/>
    <s v="Ninguna"/>
    <s v="Indeterminado"/>
    <s v="Visual"/>
  </r>
  <r>
    <d v="2024-11-23T00:00:00"/>
    <d v="2024-11-23T00:00:00"/>
    <s v="John Sebastian Ovalle Talaga"/>
    <s v="12:43:26 a. m."/>
    <n v="-76.877526666666597"/>
    <s v="3.5431516666666663"/>
    <n v="481"/>
    <m/>
    <x v="1"/>
    <n v="25"/>
    <n v="15"/>
    <m/>
    <x v="0"/>
    <s v="Completamente"/>
    <x v="1"/>
    <x v="3"/>
    <s v="Llovizna"/>
    <s v="Bosque ripario"/>
    <s v="John Sebastian Ovalle Talaga"/>
    <s v="Rasante &lt;0.3 m"/>
    <s v="Craugastor raniformis"/>
    <n v="1"/>
    <m/>
    <m/>
    <m/>
    <s v="Vias"/>
    <s v="Indeterminado"/>
    <s v="Visual"/>
  </r>
  <r>
    <d v="2024-11-23T00:00:00"/>
    <d v="2024-11-23T00:00:00"/>
    <s v="John Sebastian Ovalle Talaga"/>
    <s v="12:42:40 a. m."/>
    <n v="-76.877538333333305"/>
    <s v="3.543171666666667"/>
    <n v="481"/>
    <m/>
    <x v="1"/>
    <n v="25"/>
    <n v="15"/>
    <m/>
    <x v="0"/>
    <s v="Completamente"/>
    <x v="1"/>
    <x v="3"/>
    <s v="Llovizna"/>
    <s v="Bosque ripario"/>
    <s v="John Sebastian Ovalle Talaga"/>
    <s v="Rasante &lt;0.3 m"/>
    <s v="Rhaebo haematiticus"/>
    <n v="3"/>
    <m/>
    <m/>
    <m/>
    <s v="Vias"/>
    <s v="Indeterminado"/>
    <s v="Visual"/>
  </r>
  <r>
    <d v="2024-11-23T00:00:00"/>
    <d v="2024-11-23T00:00:00"/>
    <s v="John Sebastian Ovalle Talaga"/>
    <s v="12:21:50 a. m."/>
    <n v="-76.877918333333298"/>
    <s v="3.543633333333333"/>
    <n v="481"/>
    <m/>
    <x v="1"/>
    <n v="25"/>
    <n v="15"/>
    <m/>
    <x v="0"/>
    <s v="Completamente"/>
    <x v="1"/>
    <x v="3"/>
    <s v="Llovizna"/>
    <s v="Bosque ripario"/>
    <m/>
    <s v="Rasante &lt;0.3 m"/>
    <s v="Craugastor longirostris"/>
    <n v="2"/>
    <s v="Yuliana ocampo "/>
    <m/>
    <m/>
    <s v="Vias"/>
    <s v="Indeterminado"/>
    <s v="Visual"/>
  </r>
  <r>
    <d v="2024-11-23T00:00:00"/>
    <d v="2024-11-23T00:00:00"/>
    <s v="John Sebastian Ovalle Talaga"/>
    <s v="11:29:22 a. m."/>
    <n v="-76.880696666666594"/>
    <s v="3.579931666666667"/>
    <n v="745"/>
    <m/>
    <x v="1"/>
    <n v="20"/>
    <n v="30"/>
    <m/>
    <x v="0"/>
    <s v="Completamente"/>
    <x v="3"/>
    <x v="2"/>
    <s v="Llovizna"/>
    <s v="Bosque primario"/>
    <s v="John Sebastian Ovalle Talaga"/>
    <s v="Rasante &lt;0.3 m"/>
    <s v="Oophaga lehmanni"/>
    <n v="7"/>
    <m/>
    <m/>
    <m/>
    <s v="Ninguna"/>
    <s v="Macho"/>
    <s v="Auditivo"/>
  </r>
  <r>
    <d v="2024-11-23T00:00:00"/>
    <d v="2024-11-23T00:00:00"/>
    <s v="John Sebastian Ovalle Talaga"/>
    <s v="12:12:55 p. m."/>
    <n v="-76.880865"/>
    <s v="3.5781633333333334"/>
    <n v="664"/>
    <m/>
    <x v="1"/>
    <n v="12"/>
    <n v="20"/>
    <m/>
    <x v="0"/>
    <s v="Completamente"/>
    <x v="2"/>
    <x v="2"/>
    <s v="Llovizna"/>
    <s v="Bosque primario"/>
    <m/>
    <m/>
    <s v="Ninguna"/>
    <m/>
    <s v="No se logra observar ninguna especie "/>
    <m/>
    <m/>
    <m/>
    <m/>
    <m/>
  </r>
  <r>
    <d v="2024-11-23T00:00:00"/>
    <d v="2024-11-23T00:00:00"/>
    <s v="John Sebastian Ovalle Talaga"/>
    <s v="1:22:04 p. m."/>
    <n v="-76.880789999999905"/>
    <s v="3.5775783333333333"/>
    <n v="591"/>
    <m/>
    <x v="1"/>
    <n v="15"/>
    <n v="10"/>
    <m/>
    <x v="0"/>
    <s v="Completamente"/>
    <x v="2"/>
    <x v="2"/>
    <s v="Llovizna"/>
    <s v="Bosque primario"/>
    <m/>
    <m/>
    <s v="Ninguna"/>
    <m/>
    <s v="No se logra observar ninguna Especie"/>
    <m/>
    <m/>
    <m/>
    <m/>
    <m/>
  </r>
  <r>
    <d v="2024-11-23T00:00:00"/>
    <d v="2024-11-23T00:00:00"/>
    <s v="John Sebastian Ovalle Talaga"/>
    <s v="1:26:41 p. m."/>
    <n v="-76.880975000000007"/>
    <s v="3.577348333333333"/>
    <n v="565"/>
    <m/>
    <x v="1"/>
    <n v="12"/>
    <n v="10"/>
    <m/>
    <x v="0"/>
    <s v="Completamente"/>
    <x v="0"/>
    <x v="2"/>
    <s v="Nublado"/>
    <s v="Bosque primario"/>
    <s v="John Sebastian Ovalle Talaga"/>
    <s v="Rasante &lt;0.3 m"/>
    <s v="Oophaga lehmanni"/>
    <n v="2"/>
    <m/>
    <m/>
    <m/>
    <s v="Vias"/>
    <s v="Macho"/>
    <s v="Auditivo"/>
  </r>
  <r>
    <d v="2024-11-22T00:00:00"/>
    <d v="2024-11-22T00:00:00"/>
    <s v="John Sebastian Ovalle Talaga"/>
    <s v="12:08:59 a. m."/>
    <n v="-76.882838333333297"/>
    <s v="3.590528333333333"/>
    <n v="589"/>
    <n v="2"/>
    <x v="1"/>
    <n v="15"/>
    <n v="30"/>
    <m/>
    <x v="0"/>
    <s v="Completamente"/>
    <x v="1"/>
    <x v="1"/>
    <s v="Despejado"/>
    <s v="Bosque ripario"/>
    <s v="John Sebastian Ovalle Talaga"/>
    <s v="Rasante &lt;0.3 m"/>
    <s v="Hyloscirtus palmeri"/>
    <n v="1"/>
    <m/>
    <m/>
    <m/>
    <s v="Ninguna"/>
    <s v="Macho"/>
    <s v="Visual"/>
  </r>
  <r>
    <d v="2024-11-22T00:00:00"/>
    <d v="2024-11-22T00:00:00"/>
    <s v="John Sebastian Ovalle Talaga"/>
    <s v="9:32:25 a. m."/>
    <n v="-76.878643333333301"/>
    <s v="3.5436733333333335"/>
    <n v="542"/>
    <n v="3"/>
    <x v="1"/>
    <n v="10"/>
    <n v="15"/>
    <m/>
    <x v="0"/>
    <s v="Completamente"/>
    <x v="0"/>
    <x v="3"/>
    <s v="Despejado"/>
    <s v="Bosque ripario"/>
    <m/>
    <s v="Rasante &lt;0.3 m"/>
    <s v="Craugastor raniformis"/>
    <n v="2"/>
    <s v="Yuliana Ocampo"/>
    <m/>
    <m/>
    <s v="Ninguna"/>
    <s v="Indeterminado"/>
    <s v="Visual"/>
  </r>
  <r>
    <d v="2024-11-22T00:00:00"/>
    <d v="2024-11-22T00:00:00"/>
    <s v="John Sebastian Ovalle Talaga"/>
    <s v="9:18:30 a. m."/>
    <n v="-76.878309999999999"/>
    <s v="3.544031666666667"/>
    <n v="542"/>
    <n v="3"/>
    <x v="1"/>
    <n v="10"/>
    <n v="15"/>
    <m/>
    <x v="0"/>
    <s v="Completamente"/>
    <x v="0"/>
    <x v="3"/>
    <s v="Despejado"/>
    <s v="Bosque ripario"/>
    <s v="Andres De Los Rios Cortes"/>
    <s v="Rasante &lt;0.3 m"/>
    <s v="Rhaebo haematiticus"/>
    <n v="1"/>
    <m/>
    <m/>
    <m/>
    <s v="Ninguna"/>
    <s v="Indeterminado"/>
    <s v="Visual"/>
  </r>
  <r>
    <d v="2024-11-22T00:00:00"/>
    <d v="2024-11-22T00:00:00"/>
    <s v="John Sebastian Ovalle Talaga"/>
    <s v="10:14:21 a. m."/>
    <n v="-76.877534999999995"/>
    <s v="3.5433216666666674"/>
    <n v="558"/>
    <m/>
    <x v="1"/>
    <n v="10"/>
    <n v="12"/>
    <m/>
    <x v="0"/>
    <s v="Completamente"/>
    <x v="1"/>
    <x v="3"/>
    <s v="Despejado"/>
    <s v="Bosque ripario"/>
    <m/>
    <m/>
    <s v="Ninguna"/>
    <m/>
    <s v="No se logro observar ninguna especie "/>
    <m/>
    <m/>
    <m/>
    <m/>
    <m/>
  </r>
  <r>
    <d v="2024-11-22T00:00:00"/>
    <d v="2024-11-22T00:00:00"/>
    <s v="John Sebastian Ovalle Talaga"/>
    <s v="11:28:30 a. m."/>
    <n v="-76.890538333333296"/>
    <s v="3.5496333333333334"/>
    <n v="613"/>
    <n v="12"/>
    <x v="1"/>
    <n v="15"/>
    <n v="20"/>
    <m/>
    <x v="0"/>
    <s v="Completamente"/>
    <x v="0"/>
    <x v="4"/>
    <s v="Despejado"/>
    <s v="Bosque ripario"/>
    <m/>
    <m/>
    <s v="Ninguna"/>
    <m/>
    <s v="No se encontro ninguna especie"/>
    <m/>
    <m/>
    <m/>
    <m/>
    <m/>
  </r>
  <r>
    <d v="2024-11-22T00:00:00"/>
    <d v="2024-11-22T00:00:00"/>
    <s v="John Sebastian Ovalle Talaga"/>
    <s v="11:00:09 a. m."/>
    <n v="-76.890433333333306"/>
    <s v="3.5505299999999997"/>
    <n v="613"/>
    <n v="12"/>
    <x v="1"/>
    <n v="15"/>
    <n v="20"/>
    <m/>
    <x v="0"/>
    <s v="Completamente"/>
    <x v="0"/>
    <x v="4"/>
    <s v="Llovizna"/>
    <s v="Bosque ripario"/>
    <m/>
    <s v="Rasante &lt;0.3 m"/>
    <s v="Rhaebo haematiticus"/>
    <n v="3"/>
    <m/>
    <m/>
    <m/>
    <s v="Ninguna"/>
    <s v="Indeterminado"/>
    <s v="Visual"/>
  </r>
  <r>
    <d v="2024-11-22T00:00:00"/>
    <d v="2024-11-22T00:00:00"/>
    <s v="John Sebastian Ovalle Talaga"/>
    <s v="10:57:46 a. m."/>
    <n v="-76.890306666666604"/>
    <s v="3.550683333333333"/>
    <n v="613"/>
    <n v="12"/>
    <x v="1"/>
    <n v="15"/>
    <n v="20"/>
    <m/>
    <x v="0"/>
    <s v="Completamente"/>
    <x v="0"/>
    <x v="4"/>
    <m/>
    <s v="Bosque ripario"/>
    <s v="John Sebastian Ovalle Talaga"/>
    <s v="Rasante &lt;0.3 m"/>
    <s v="Rhaebo haematiticus"/>
    <n v="3"/>
    <m/>
    <m/>
    <m/>
    <s v="Ninguna"/>
    <s v="Indeterminado"/>
    <s v="Visual"/>
  </r>
  <r>
    <d v="2024-11-22T00:00:00"/>
    <d v="2024-11-22T00:00:00"/>
    <s v="John Sebastian Ovalle Talaga"/>
    <s v="12:37:13 p. m."/>
    <n v="-76.888944999999893"/>
    <s v="3.5510483333333336"/>
    <n v="680"/>
    <m/>
    <x v="1"/>
    <n v="20"/>
    <n v="10"/>
    <m/>
    <x v="0"/>
    <s v="Completamente"/>
    <x v="1"/>
    <x v="4"/>
    <s v="Llovizna"/>
    <s v="Arbustal"/>
    <m/>
    <s v="Rasante &lt;0.3 m"/>
    <s v="Rhaebo haematiticus"/>
    <n v="12"/>
    <m/>
    <m/>
    <m/>
    <s v="Vias"/>
    <s v="Indeterminado"/>
    <s v="Visual"/>
  </r>
  <r>
    <d v="2024-11-22T00:00:00"/>
    <d v="2024-11-22T00:00:00"/>
    <s v="John Sebastian Ovalle Talaga"/>
    <s v="12:22:55 p. m."/>
    <n v="-76.889808333333306"/>
    <s v="3.550903333333333"/>
    <n v="680"/>
    <m/>
    <x v="1"/>
    <n v="20"/>
    <n v="10"/>
    <m/>
    <x v="0"/>
    <s v="Completamente"/>
    <x v="1"/>
    <x v="4"/>
    <s v="Llovizna"/>
    <s v="Arbustal"/>
    <s v="John Sebastian Ovalle Talaga"/>
    <s v="Rasante &lt;0.3 m"/>
    <s v="Hyloscirtus palmeri"/>
    <n v="1"/>
    <m/>
    <m/>
    <m/>
    <s v="Vias"/>
    <s v="Indeterminado"/>
    <s v="Visual"/>
  </r>
  <r>
    <d v="2024-11-22T00:00:00"/>
    <d v="2024-11-22T00:00:00"/>
    <s v="John Sebastian Ovalle Talaga"/>
    <s v="12:17:47 p. m."/>
    <n v="-76.890135000000001"/>
    <s v="3.5508316666666664"/>
    <n v="680"/>
    <m/>
    <x v="1"/>
    <n v="20"/>
    <n v="10"/>
    <m/>
    <x v="0"/>
    <s v="Completamente"/>
    <x v="1"/>
    <x v="4"/>
    <s v="Llovizna"/>
    <s v="Arbustal"/>
    <m/>
    <s v="Rasante &lt;0.3 m"/>
    <s v="Craugastor longirostris"/>
    <n v="1"/>
    <m/>
    <m/>
    <m/>
    <s v="Vias"/>
    <s v="Indeterminado"/>
    <s v="Visual"/>
  </r>
  <r>
    <d v="2024-11-22T00:00:00"/>
    <d v="2024-11-22T00:00:00"/>
    <s v="John Sebastian Ovalle Talaga"/>
    <s v="12:15:00 p. m."/>
    <n v="-76.890243333333302"/>
    <s v="3.5508466666666663"/>
    <n v="680"/>
    <m/>
    <x v="1"/>
    <n v="20"/>
    <n v="10"/>
    <m/>
    <x v="0"/>
    <s v="Completamente"/>
    <x v="1"/>
    <x v="4"/>
    <s v="Llovizna"/>
    <s v="Bosque ripario"/>
    <m/>
    <s v="Rasante &lt;0.3 m"/>
    <s v="Rhaebo haematiticus"/>
    <n v="6"/>
    <m/>
    <m/>
    <m/>
    <s v="Ninguna"/>
    <s v="Indeterminado"/>
    <s v="Visual"/>
  </r>
  <r>
    <d v="2024-11-22T00:00:00"/>
    <d v="2024-11-22T00:00:00"/>
    <s v="John Sebastian Ovalle Talaga"/>
    <s v="12:59:37 p. m."/>
    <n v="-76.888316666666597"/>
    <s v="3.550481666666667"/>
    <n v="663"/>
    <m/>
    <x v="1"/>
    <n v="20"/>
    <n v="10"/>
    <m/>
    <x v="0"/>
    <s v="Completamente"/>
    <x v="2"/>
    <x v="4"/>
    <s v="Llovizna"/>
    <s v="Arbustal"/>
    <s v="John Sebastian Ovalle Talaga"/>
    <m/>
    <s v="Smilisca phaeota"/>
    <n v="1"/>
    <s v="Juvenil"/>
    <m/>
    <m/>
    <s v="Vias"/>
    <s v="Indeterminado"/>
    <s v="Visual"/>
  </r>
  <r>
    <d v="2024-11-22T00:00:00"/>
    <d v="2024-11-22T00:00:00"/>
    <s v="John Sebastian Ovalle Talaga"/>
    <s v="12:55:23 p. m."/>
    <n v="-76.888665000000003"/>
    <s v="3.5503816666666665"/>
    <n v="663"/>
    <m/>
    <x v="1"/>
    <n v="20"/>
    <n v="10"/>
    <m/>
    <x v="0"/>
    <s v="Completamente"/>
    <x v="2"/>
    <x v="4"/>
    <s v="Llovizna"/>
    <s v="Arbustal"/>
    <s v="John Sebastian Ovalle Talaga"/>
    <s v="Arbustivo 1.5-5 m"/>
    <s v="Smilisca phaeota"/>
    <n v="1"/>
    <m/>
    <m/>
    <m/>
    <s v="Vias"/>
    <s v="Indeterminado"/>
    <s v="Visual"/>
  </r>
  <r>
    <d v="2024-11-22T00:00:00"/>
    <d v="2024-11-22T00:00:00"/>
    <s v="John Sebastian Ovalle Talaga"/>
    <s v="1:27:51 p. m."/>
    <n v="-76.882615000000001"/>
    <s v="3.552503333333333"/>
    <n v="606"/>
    <m/>
    <x v="1"/>
    <n v="15"/>
    <n v="10"/>
    <m/>
    <x v="0"/>
    <s v="Completamente"/>
    <x v="2"/>
    <x v="5"/>
    <s v="Llovizna"/>
    <s v="Bosque primario"/>
    <m/>
    <s v="Rasante &lt;0.3 m"/>
    <s v="Rhaebo haematiticus"/>
    <n v="4"/>
    <m/>
    <m/>
    <m/>
    <s v="Vias"/>
    <s v="Indeterminado"/>
    <s v="Visual"/>
  </r>
  <r>
    <d v="2024-11-22T00:00:00"/>
    <d v="2024-11-22T00:00:00"/>
    <s v="John Sebastian Ovalle Talaga"/>
    <s v="1:24:40 p. m."/>
    <n v="-76.883033333333302"/>
    <s v="3.5526633333333337"/>
    <n v="606"/>
    <m/>
    <x v="1"/>
    <n v="15"/>
    <n v="10"/>
    <m/>
    <x v="0"/>
    <s v="Completamente"/>
    <x v="2"/>
    <x v="5"/>
    <s v="Llovizna"/>
    <s v="Bosque primario"/>
    <s v="John Sebastian Ovalle Talaga"/>
    <s v="Rasante &lt;0.3 m"/>
    <s v="Rhaebo haematiticus"/>
    <n v="3"/>
    <m/>
    <m/>
    <m/>
    <s v="Vias"/>
    <s v="Indeterminado"/>
    <s v="Visual"/>
  </r>
  <r>
    <d v="2024-11-22T00:00:00"/>
    <d v="2024-11-22T00:00:00"/>
    <s v="John Sebastian Ovalle Talaga"/>
    <s v="1:36:18 p. m."/>
    <n v="-76.882424999999998"/>
    <s v="3.552963333333333"/>
    <n v="663"/>
    <m/>
    <x v="1"/>
    <n v="20"/>
    <n v="10"/>
    <m/>
    <x v="0"/>
    <s v="Completamente"/>
    <x v="3"/>
    <x v="5"/>
    <s v="Llovizna"/>
    <s v="Bosque primario"/>
    <m/>
    <m/>
    <s v="Ninguna"/>
    <m/>
    <s v="No se logro observar ninguna especie"/>
    <m/>
    <m/>
    <m/>
    <m/>
    <m/>
  </r>
  <r>
    <d v="2024-11-22T00:00:00"/>
    <d v="2024-11-22T00:00:00"/>
    <s v="John Sebastian Ovalle Talaga"/>
    <s v="1:48:26 p. m."/>
    <n v="-76.881813333333298"/>
    <s v="3.5525416666666665"/>
    <n v="663"/>
    <m/>
    <x v="1"/>
    <n v="20"/>
    <n v="10"/>
    <m/>
    <x v="0"/>
    <s v="Completamente"/>
    <x v="0"/>
    <x v="5"/>
    <s v="Llovizna"/>
    <s v="Bosque primario"/>
    <m/>
    <m/>
    <s v="Ninguna"/>
    <m/>
    <s v="No se logra observar ninguna especie "/>
    <m/>
    <m/>
    <m/>
    <m/>
    <m/>
  </r>
  <r>
    <d v="2024-11-22T00:00:00"/>
    <d v="2024-11-22T00:00:00"/>
    <s v="John Sebastian Ovalle Talaga"/>
    <s v="2:04:00 p. m."/>
    <n v="-76.880595"/>
    <n v="3.5529350000000002"/>
    <n v="663"/>
    <m/>
    <x v="1"/>
    <n v="15"/>
    <n v="10"/>
    <m/>
    <x v="0"/>
    <s v="Completamente"/>
    <x v="0"/>
    <x v="5"/>
    <s v="Llovizna"/>
    <s v="Bosque ribere√±o"/>
    <s v="John Sebastian Ovalle Talaga"/>
    <s v="Rasante &lt;0.3 m"/>
    <s v="Rhinella horribilis"/>
    <n v="3"/>
    <m/>
    <m/>
    <m/>
    <s v="Vias"/>
    <s v="Indeterminado"/>
    <s v="Visual"/>
  </r>
  <r>
    <d v="2024-11-22T00:00:00"/>
    <d v="2024-11-22T00:00:00"/>
    <s v="John Sebastian Ovalle Talaga"/>
    <s v="7:19:13 p. m."/>
    <n v="-76.890603333333303"/>
    <s v="3.5510849999999996"/>
    <n v="684"/>
    <n v="12"/>
    <x v="1"/>
    <n v="25"/>
    <n v="20"/>
    <m/>
    <x v="0"/>
    <s v="Completamente"/>
    <x v="0"/>
    <x v="4"/>
    <s v="Llovizna"/>
    <s v="Bosque ripario"/>
    <s v="John Sebastian Ovalle Talaga"/>
    <m/>
    <s v="Espadarana prosoblepon"/>
    <n v="1"/>
    <m/>
    <m/>
    <m/>
    <s v="Ninguna"/>
    <s v="Indeterminado"/>
    <s v="Visual"/>
  </r>
  <r>
    <d v="2024-11-22T00:00:00"/>
    <d v="2024-11-22T00:00:00"/>
    <s v="John Sebastian Ovalle Talaga"/>
    <s v="7:09:12 p. m."/>
    <n v="-76.890401666666605"/>
    <s v="3.551213333333333"/>
    <n v="684"/>
    <n v="12"/>
    <x v="1"/>
    <n v="25"/>
    <n v="20"/>
    <m/>
    <x v="0"/>
    <s v="Completamente"/>
    <x v="0"/>
    <x v="4"/>
    <s v="Llovizna"/>
    <s v="Bosque ripario"/>
    <m/>
    <s v="Arbustivo 1.5-5 m"/>
    <s v="Espadarana prosoblepon"/>
    <n v="1"/>
    <s v="Yuliana Ocampo"/>
    <m/>
    <m/>
    <s v="Ninguna"/>
    <s v="Indeterminado"/>
    <s v="Visual"/>
  </r>
  <r>
    <d v="2024-11-22T00:00:00"/>
    <d v="2024-11-22T00:00:00"/>
    <s v="John Sebastian Ovalle Talaga"/>
    <s v="7:01:56 p. m."/>
    <n v="-76.890379999999993"/>
    <s v="3.5505816666666665"/>
    <n v="684"/>
    <n v="12"/>
    <x v="1"/>
    <n v="25"/>
    <n v="20"/>
    <m/>
    <x v="0"/>
    <s v="Completamente"/>
    <x v="0"/>
    <x v="4"/>
    <s v="Llovizna"/>
    <s v="Bosque ripario"/>
    <s v="Andres De Los Rios Cortes"/>
    <s v="Arbustivo 1.5-5 m"/>
    <s v="Espadarana prosoblepon"/>
    <n v="1"/>
    <m/>
    <m/>
    <m/>
    <s v="Ninguna"/>
    <s v="Macho"/>
    <s v="Visual"/>
  </r>
  <r>
    <d v="2024-11-22T00:00:00"/>
    <d v="2024-11-22T00:00:00"/>
    <s v="John Sebastian Ovalle Talaga"/>
    <s v="6:45:48 p. m."/>
    <n v="-76.89076"/>
    <s v="3.550118333333333"/>
    <n v="684"/>
    <n v="12"/>
    <x v="1"/>
    <n v="25"/>
    <n v="20"/>
    <m/>
    <x v="0"/>
    <s v="Completamente"/>
    <x v="0"/>
    <x v="4"/>
    <s v="Llovizna"/>
    <s v="Bosque ripario"/>
    <s v="John Sebastian Ovalle Talaga"/>
    <s v="Rasante &lt;0.3 m"/>
    <s v="Espadarana prosoblepon"/>
    <n v="1"/>
    <m/>
    <m/>
    <m/>
    <s v="Ninguna"/>
    <s v="Indeterminado"/>
    <s v="Visual"/>
  </r>
  <r>
    <d v="2024-11-22T00:00:00"/>
    <d v="2024-11-22T00:00:00"/>
    <s v="John Sebastian Ovalle Talaga"/>
    <s v="6:42:55 p. m."/>
    <n v="-76.890703333333306"/>
    <s v="3.5502233333333333"/>
    <n v="684"/>
    <n v="12"/>
    <x v="1"/>
    <n v="25"/>
    <n v="20"/>
    <m/>
    <x v="0"/>
    <s v="Completamente"/>
    <x v="0"/>
    <x v="4"/>
    <s v="Llovizna"/>
    <s v="Bosque ripario"/>
    <m/>
    <s v="Rasante &lt;0.3 m"/>
    <s v="Espadarana prosoblepon"/>
    <n v="1"/>
    <s v="Yuliana Ocampo "/>
    <m/>
    <m/>
    <s v="Ninguna"/>
    <s v="Indeterminado"/>
    <s v="Visual"/>
  </r>
  <r>
    <d v="2024-11-22T00:00:00"/>
    <d v="2024-11-22T00:00:00"/>
    <s v="John Sebastian Ovalle Talaga"/>
    <s v="6:34:41 p. m."/>
    <n v="-76.890373333333301"/>
    <s v="3.5502850000000006"/>
    <n v="684"/>
    <n v="12"/>
    <x v="1"/>
    <n v="25"/>
    <n v="20"/>
    <m/>
    <x v="0"/>
    <s v="Completamente"/>
    <x v="0"/>
    <x v="4"/>
    <s v="Llovizna"/>
    <s v="Bosque ripario"/>
    <m/>
    <s v="Rasante &lt;0.3 m"/>
    <s v="Espadarana prosoblepon"/>
    <n v="1"/>
    <m/>
    <m/>
    <m/>
    <s v="Ninguna"/>
    <s v="Indeterminado"/>
    <s v="Visual"/>
  </r>
  <r>
    <d v="2024-11-22T00:00:00"/>
    <d v="2024-11-22T00:00:00"/>
    <s v="John Sebastian Ovalle Talaga"/>
    <s v="6:18:04 p. m."/>
    <n v="-76.8910116666666"/>
    <s v="3.549526666666667"/>
    <n v="684"/>
    <n v="12"/>
    <x v="1"/>
    <n v="25"/>
    <n v="20"/>
    <m/>
    <x v="0"/>
    <s v="Completamente"/>
    <x v="0"/>
    <x v="4"/>
    <s v="Llovizna"/>
    <s v="Bosque ripario"/>
    <s v="John Sebastian Ovalle Talaga"/>
    <s v="Rasante &lt;0.3 m"/>
    <s v="Espadarana prosoblepon"/>
    <n v="1"/>
    <m/>
    <m/>
    <m/>
    <s v="Ninguna"/>
    <s v="Hembra"/>
    <s v="Visual"/>
  </r>
  <r>
    <d v="2024-11-22T00:00:00"/>
    <d v="2024-11-22T00:00:00"/>
    <s v="John Sebastian Ovalle Talaga"/>
    <s v="6:15:51 p. m."/>
    <n v="-76.890678333333298"/>
    <s v="3.5500016666666663"/>
    <n v="684"/>
    <n v="12"/>
    <x v="1"/>
    <n v="25"/>
    <n v="20"/>
    <m/>
    <x v="0"/>
    <s v="Completamente"/>
    <x v="0"/>
    <x v="4"/>
    <s v="Llovizna"/>
    <s v="Bosque ripario"/>
    <m/>
    <s v="Rasante &lt;0.3 m"/>
    <s v="Craugastor raniformis"/>
    <n v="1"/>
    <s v="Camila "/>
    <m/>
    <m/>
    <s v="Ninguna"/>
    <s v="Indeterminado"/>
    <s v="Visual"/>
  </r>
  <r>
    <d v="2024-11-22T00:00:00"/>
    <d v="2024-11-22T00:00:00"/>
    <s v="John Sebastian Ovalle Talaga"/>
    <s v="6:09:56 p. m."/>
    <n v="-76.890851666666606"/>
    <s v="3.5495433333333333"/>
    <n v="684"/>
    <n v="12"/>
    <x v="1"/>
    <n v="25"/>
    <n v="20"/>
    <m/>
    <x v="0"/>
    <s v="Completamente"/>
    <x v="0"/>
    <x v="4"/>
    <s v="Despejado"/>
    <s v="Bosque ripario"/>
    <m/>
    <s v="Rasante &lt;0.3 m"/>
    <s v="Rhaebo haematiticus"/>
    <n v="1"/>
    <s v="Yuliana Ocampo "/>
    <m/>
    <m/>
    <s v="Ninguna"/>
    <s v="Indeterminado"/>
    <s v="Visual"/>
  </r>
  <r>
    <d v="2024-11-22T00:00:00"/>
    <d v="2024-11-22T00:00:00"/>
    <s v="John Sebastian Ovalle Talaga"/>
    <s v="8:28:57 p. m."/>
    <n v="-76.88964"/>
    <s v="3.5511516666666667"/>
    <n v="597"/>
    <n v="15"/>
    <x v="1"/>
    <m/>
    <n v="10"/>
    <m/>
    <x v="0"/>
    <s v="Completamente"/>
    <x v="1"/>
    <x v="4"/>
    <s v="Despejado"/>
    <s v="Arbustal"/>
    <s v="John Sebastian Ovalle Talaga"/>
    <s v="Rasante &lt;0.3 m"/>
    <s v="Craugastor raniformis"/>
    <n v="1"/>
    <m/>
    <m/>
    <m/>
    <s v="Vias"/>
    <s v="Indeterminado"/>
    <s v="Visual"/>
  </r>
  <r>
    <d v="2024-11-22T00:00:00"/>
    <d v="2024-11-22T00:00:00"/>
    <s v="John Sebastian Ovalle Talaga"/>
    <s v="8:27:48 p. m."/>
    <n v="-76.889511666666607"/>
    <n v="3.5514199999999998"/>
    <n v="597"/>
    <n v="15"/>
    <x v="1"/>
    <m/>
    <n v="10"/>
    <m/>
    <x v="0"/>
    <s v="Completamente"/>
    <x v="1"/>
    <x v="4"/>
    <s v="Despejado"/>
    <s v="Arbustal"/>
    <s v="John Sebastian Ovalle Talaga"/>
    <s v="Arbustivo 1.5-5 m"/>
    <s v="Hyloscirtus palmeri"/>
    <n v="2"/>
    <m/>
    <m/>
    <m/>
    <s v="Vias"/>
    <s v="Indeterminado"/>
    <s v="Visual"/>
  </r>
  <r>
    <d v="2024-11-22T00:00:00"/>
    <d v="2024-11-22T00:00:00"/>
    <s v="John Sebastian Ovalle Talaga"/>
    <s v="8:12:57 p. m."/>
    <n v="-76.889778333333297"/>
    <s v="3.551301666666667"/>
    <n v="597"/>
    <n v="15"/>
    <x v="1"/>
    <m/>
    <n v="10"/>
    <m/>
    <x v="0"/>
    <s v="Completamente"/>
    <x v="1"/>
    <x v="4"/>
    <s v="Despejado"/>
    <s v="Arbustal"/>
    <m/>
    <s v="Rasante &lt;0.3 m"/>
    <s v="Espadarana prosoblepon"/>
    <n v="26"/>
    <m/>
    <m/>
    <m/>
    <s v="Vias"/>
    <s v="Indeterminado"/>
    <s v="Visual"/>
  </r>
  <r>
    <d v="2024-11-22T00:00:00"/>
    <d v="2024-11-22T00:00:00"/>
    <s v="John Sebastian Ovalle Talaga"/>
    <s v="8:03:09 p. m."/>
    <n v="-76.890028333333305"/>
    <s v="3.5511133333333333"/>
    <n v="597"/>
    <n v="15"/>
    <x v="1"/>
    <m/>
    <n v="10"/>
    <m/>
    <x v="0"/>
    <s v="Completamente"/>
    <x v="1"/>
    <x v="4"/>
    <s v="Llovizna"/>
    <s v="Arbustal"/>
    <m/>
    <s v="Rasante &lt;0.3 m"/>
    <s v="Espadarana prosoblepon"/>
    <n v="1"/>
    <m/>
    <m/>
    <m/>
    <s v="Vias"/>
    <s v="Indeterminado"/>
    <s v="Visual"/>
  </r>
  <r>
    <d v="2024-11-22T00:00:00"/>
    <d v="2024-11-22T00:00:00"/>
    <s v="John Sebastian Ovalle Talaga"/>
    <s v="8:01:44 p. m."/>
    <n v="-76.890079999999998"/>
    <s v="3.5511366666666664"/>
    <n v="597"/>
    <n v="15"/>
    <x v="1"/>
    <m/>
    <n v="10"/>
    <m/>
    <x v="0"/>
    <s v="Completamente"/>
    <x v="1"/>
    <x v="4"/>
    <s v="Llovizna"/>
    <s v="Arbustal"/>
    <m/>
    <s v="Rasante &lt;0.3 m"/>
    <s v="Rhaebo haematiticus"/>
    <n v="3"/>
    <m/>
    <m/>
    <m/>
    <s v="Vias"/>
    <s v="Indeterminado"/>
    <s v="Visual"/>
  </r>
  <r>
    <d v="2024-11-22T00:00:00"/>
    <d v="2024-11-22T00:00:00"/>
    <s v="John Sebastian Ovalle Talaga"/>
    <s v="8:00:52 p. m."/>
    <n v="-76.890100000000004"/>
    <n v="3.5511650000000001"/>
    <n v="597"/>
    <n v="15"/>
    <x v="1"/>
    <m/>
    <n v="10"/>
    <m/>
    <x v="0"/>
    <s v="Completamente"/>
    <x v="1"/>
    <x v="4"/>
    <s v="Llovizna"/>
    <s v="Arbustal"/>
    <s v="Luz Ester Restrepo"/>
    <s v="Rasante &lt;0.3 m"/>
    <s v="Craugastor raniformis"/>
    <n v="1"/>
    <m/>
    <m/>
    <m/>
    <s v="Vias"/>
    <s v="Indeterminado"/>
    <s v="Visual"/>
  </r>
  <r>
    <d v="2024-11-22T00:00:00"/>
    <d v="2024-11-22T00:00:00"/>
    <s v="John Sebastian Ovalle Talaga"/>
    <s v="9:06:47 p. m."/>
    <n v="-76.888255000000001"/>
    <s v="3.5507983333333337"/>
    <m/>
    <m/>
    <x v="1"/>
    <n v="20"/>
    <n v="10"/>
    <m/>
    <x v="0"/>
    <s v="Completamente"/>
    <x v="2"/>
    <x v="4"/>
    <s v="Despejado"/>
    <s v="Bosque primario"/>
    <m/>
    <s v="Rasante &lt;0.3 m"/>
    <s v="Craugastor longirostris"/>
    <n v="1"/>
    <s v="Camila "/>
    <m/>
    <m/>
    <s v="Vias"/>
    <s v="Indeterminado"/>
    <s v="Visual"/>
  </r>
  <r>
    <d v="2024-11-22T00:00:00"/>
    <d v="2024-11-22T00:00:00"/>
    <s v="John Sebastian Ovalle Talaga"/>
    <s v="9:04:26 p. m."/>
    <n v="-76.888305000000003"/>
    <s v="3.5508100000000002"/>
    <m/>
    <m/>
    <x v="1"/>
    <n v="20"/>
    <n v="10"/>
    <m/>
    <x v="0"/>
    <s v="Completamente"/>
    <x v="2"/>
    <x v="4"/>
    <s v="Despejado"/>
    <s v="Bosque primario"/>
    <m/>
    <s v="Rasante &lt;0.3 m"/>
    <s v="Smilisca phaeota"/>
    <n v="2"/>
    <s v="Yuliana ocmpo"/>
    <m/>
    <m/>
    <s v="Vias"/>
    <s v="Indeterminado"/>
    <s v="Visual"/>
  </r>
  <r>
    <d v="2024-11-22T00:00:00"/>
    <d v="2024-11-22T00:00:00"/>
    <s v="John Sebastian Ovalle Talaga"/>
    <s v="8:58:32 p. m."/>
    <n v="-76.888580000000005"/>
    <s v="3.5507899999999997"/>
    <m/>
    <m/>
    <x v="1"/>
    <n v="20"/>
    <n v="10"/>
    <m/>
    <x v="0"/>
    <s v="Completamente"/>
    <x v="2"/>
    <x v="4"/>
    <s v="Despejado"/>
    <s v="Bosque primario"/>
    <m/>
    <s v="Rasante &lt;0.3 m"/>
    <s v="Craugastor longirostris"/>
    <n v="1"/>
    <s v="Yuliana ocampo"/>
    <m/>
    <m/>
    <s v="Vias"/>
    <s v="Indeterminado"/>
    <s v="Visual"/>
  </r>
  <r>
    <d v="2024-11-22T00:00:00"/>
    <d v="2024-11-22T00:00:00"/>
    <s v="John Sebastian Ovalle Talaga"/>
    <s v="8:57:06 p. m."/>
    <n v="-76.888583333333301"/>
    <s v="3.5507866666666663"/>
    <m/>
    <m/>
    <x v="1"/>
    <n v="20"/>
    <n v="10"/>
    <m/>
    <x v="0"/>
    <s v="Completamente"/>
    <x v="2"/>
    <x v="4"/>
    <s v="Despejado"/>
    <s v="Bosque primario"/>
    <s v="John Sebastian Ovalle Talaga"/>
    <s v="Arbustivo 1.5-5 m"/>
    <s v="Espadarana prosoblepon"/>
    <n v="4"/>
    <m/>
    <m/>
    <m/>
    <s v="Vias"/>
    <s v="Indeterminado"/>
    <s v="Visual"/>
  </r>
  <r>
    <d v="2024-11-22T00:00:00"/>
    <d v="2024-11-22T00:00:00"/>
    <s v="John Sebastian Ovalle Talaga"/>
    <s v="9:33:35 p. m."/>
    <n v="-76.8829966666666"/>
    <n v="3.5526049999999998"/>
    <m/>
    <m/>
    <x v="1"/>
    <n v="15"/>
    <n v="10"/>
    <m/>
    <x v="0"/>
    <s v="Completamente"/>
    <x v="2"/>
    <x v="5"/>
    <s v="Despejado"/>
    <s v="Arbustal"/>
    <m/>
    <s v="Rasante &lt;0.3 m"/>
    <s v="Hyloscirtus palmeri"/>
    <n v="1"/>
    <s v="Camila "/>
    <m/>
    <m/>
    <s v="Vias"/>
    <s v="Indeterminado"/>
    <s v="Visual"/>
  </r>
  <r>
    <d v="2024-11-22T00:00:00"/>
    <d v="2024-11-22T00:00:00"/>
    <s v="John Sebastian Ovalle Talaga"/>
    <s v="9:32:38 p. m."/>
    <n v="-76.883126666666598"/>
    <s v="3.552563333333333"/>
    <m/>
    <m/>
    <x v="1"/>
    <n v="15"/>
    <n v="10"/>
    <m/>
    <x v="0"/>
    <s v="Completamente"/>
    <x v="2"/>
    <x v="5"/>
    <s v="Despejado"/>
    <s v="Arbustal"/>
    <m/>
    <s v="Subarboreo 5-12 m"/>
    <s v="Smilisca phaeota"/>
    <n v="4"/>
    <s v="Yuliana Alejandro "/>
    <m/>
    <m/>
    <s v="Vias"/>
    <s v="Indeterminado"/>
    <s v="Visual"/>
  </r>
  <r>
    <d v="2024-11-22T00:00:00"/>
    <d v="2024-11-22T00:00:00"/>
    <s v="John Sebastian Ovalle Talaga"/>
    <s v="9:29:38 p. m."/>
    <n v="-76.8832666666666"/>
    <s v="3.5525283333333335"/>
    <m/>
    <m/>
    <x v="1"/>
    <n v="15"/>
    <n v="10"/>
    <m/>
    <x v="0"/>
    <s v="Completamente"/>
    <x v="2"/>
    <x v="5"/>
    <s v="Despejado"/>
    <s v="Arbustal"/>
    <m/>
    <s v="Rasante &lt;0.3 m"/>
    <s v="Pristimantis achatinus"/>
    <n v="1"/>
    <s v="Camila "/>
    <m/>
    <m/>
    <s v="Vias"/>
    <s v="Indeterminado"/>
    <s v="Visual"/>
  </r>
  <r>
    <d v="2024-11-22T00:00:00"/>
    <d v="2024-11-22T00:00:00"/>
    <s v="John Sebastian Ovalle Talaga"/>
    <s v="10:07:22 p. m."/>
    <n v="-76.882201666666603"/>
    <s v="3.552948333333333"/>
    <n v="505"/>
    <n v="1"/>
    <x v="1"/>
    <n v="15"/>
    <n v="10"/>
    <m/>
    <x v="0"/>
    <s v="Completamente"/>
    <x v="3"/>
    <x v="5"/>
    <s v="Despejado"/>
    <s v="Bosque ripario"/>
    <m/>
    <m/>
    <s v="Ninguna"/>
    <m/>
    <s v="No se logra observar ninguna Especie "/>
    <m/>
    <m/>
    <m/>
    <m/>
    <m/>
  </r>
  <r>
    <d v="2024-11-22T00:00:00"/>
    <d v="2024-11-22T00:00:00"/>
    <s v="John Sebastian Ovalle Talaga"/>
    <s v="11:00:53 p. m."/>
    <n v="-76.881813333333298"/>
    <s v="3.552481666666667"/>
    <n v="505"/>
    <m/>
    <x v="1"/>
    <n v="15"/>
    <n v="10"/>
    <m/>
    <x v="0"/>
    <s v="Completamente"/>
    <x v="1"/>
    <x v="5"/>
    <s v="Despejado"/>
    <s v="Bosque primario"/>
    <m/>
    <s v="Rasante &lt;0.3 m"/>
    <s v="Smilisca phaeota"/>
    <n v="2"/>
    <s v="Yuliana ocampo "/>
    <m/>
    <m/>
    <s v="Vias"/>
    <s v="Indeterminado"/>
    <s v="Visual"/>
  </r>
  <r>
    <d v="2024-11-22T00:00:00"/>
    <d v="2024-11-22T00:00:00"/>
    <s v="John Sebastian Ovalle Talaga"/>
    <s v="10:40:04 p. m."/>
    <n v="-76.882021666666603"/>
    <s v="3.5523566666666664"/>
    <n v="505"/>
    <m/>
    <x v="1"/>
    <n v="15"/>
    <n v="10"/>
    <m/>
    <x v="0"/>
    <s v="Completamente"/>
    <x v="1"/>
    <x v="5"/>
    <s v="Despejado"/>
    <s v="Bosque primario"/>
    <m/>
    <s v="Arbustivo 1.5-5 m"/>
    <s v="Hyalinobatrachium aureoguttatum"/>
    <n v="2"/>
    <s v="Camila "/>
    <m/>
    <m/>
    <s v="Vias"/>
    <s v="Indeterminado"/>
    <s v="Visual"/>
  </r>
  <r>
    <d v="2024-11-22T00:00:00"/>
    <d v="2024-11-22T00:00:00"/>
    <s v="John Sebastian Ovalle Talaga"/>
    <s v="10:28:52 p. m."/>
    <n v="-76.882360000000006"/>
    <s v="3.5525966666666666"/>
    <n v="505"/>
    <m/>
    <x v="1"/>
    <n v="15"/>
    <n v="10"/>
    <m/>
    <x v="0"/>
    <s v="Completamente"/>
    <x v="1"/>
    <x v="5"/>
    <s v="Despejado"/>
    <s v="Arbustal"/>
    <s v="John Sebastian Ovalle Talaga"/>
    <s v="Rasante &lt;0.3 m"/>
    <s v="Smilisca phaeota"/>
    <n v="3"/>
    <m/>
    <m/>
    <m/>
    <s v="Vias"/>
    <s v="Indeterminado"/>
    <s v="Visual"/>
  </r>
  <r>
    <d v="2024-11-22T00:00:00"/>
    <d v="2024-11-22T00:00:00"/>
    <s v="John Sebastian Ovalle Talaga"/>
    <s v="11:19:07 p. m."/>
    <n v="-76.880773333333295"/>
    <s v="3.5526849999999994"/>
    <n v="505"/>
    <m/>
    <x v="1"/>
    <n v="15"/>
    <n v="10"/>
    <m/>
    <x v="0"/>
    <s v="Completamente"/>
    <x v="0"/>
    <x v="5"/>
    <s v="Llovizna"/>
    <s v="Arbustal"/>
    <m/>
    <s v="Rasante &lt;0.3 m"/>
    <s v="Espadarana prosoblepon"/>
    <n v="1"/>
    <m/>
    <m/>
    <m/>
    <s v="Vias"/>
    <s v="Indeterminado"/>
    <s v="Visual"/>
  </r>
  <r>
    <d v="2024-11-22T00:00:00"/>
    <d v="2024-11-22T00:00:00"/>
    <s v="John Sebastian Ovalle Talaga"/>
    <s v="11:14:05 p. m."/>
    <n v="-76.881029999999996"/>
    <s v="3.5526750000000002"/>
    <n v="505"/>
    <m/>
    <x v="1"/>
    <n v="15"/>
    <n v="10"/>
    <m/>
    <x v="0"/>
    <s v="Completamente"/>
    <x v="0"/>
    <x v="5"/>
    <s v="Despejado"/>
    <s v="Arbustal"/>
    <m/>
    <s v="Rasante &lt;0.3 m"/>
    <s v="Smilisca phaeota"/>
    <n v="3"/>
    <s v="Yuliana ocampo "/>
    <m/>
    <m/>
    <s v="Vias"/>
    <s v="Indeterminado"/>
    <s v="Visual"/>
  </r>
  <r>
    <d v="2024-11-22T00:00:00"/>
    <d v="2024-11-23T00:00:00"/>
    <s v="John Sebastian Ovalle Talaga"/>
    <s v="12:06:56 a. m."/>
    <n v="-76.878331666666597"/>
    <s v="3.5433516666666662"/>
    <n v="569"/>
    <n v="4"/>
    <x v="1"/>
    <n v="20"/>
    <n v="15"/>
    <m/>
    <x v="0"/>
    <s v="Completamente"/>
    <x v="0"/>
    <x v="3"/>
    <s v="Llovizna"/>
    <s v="Bosque ripario"/>
    <s v="John Sebastian Ovalle Talaga"/>
    <s v="Rasante &lt;0.3 m"/>
    <s v="Craugastor longirostris"/>
    <n v="1"/>
    <m/>
    <m/>
    <m/>
    <s v="Ninguna"/>
    <s v="Indeterminado"/>
    <s v="Visual"/>
  </r>
  <r>
    <d v="2024-11-22T00:00:00"/>
    <d v="2024-11-23T00:00:00"/>
    <s v="John Sebastian Ovalle Talaga"/>
    <s v="12:05:25 a. m."/>
    <n v="-76.878555000000006"/>
    <s v="3.5434316666666668"/>
    <n v="569"/>
    <n v="4"/>
    <x v="1"/>
    <n v="20"/>
    <n v="15"/>
    <m/>
    <x v="0"/>
    <s v="Completamente"/>
    <x v="0"/>
    <x v="3"/>
    <s v="Llovizna"/>
    <s v="Bosque ripario"/>
    <s v="John Sebastian Ovalle Talaga"/>
    <s v="Rasante &lt;0.3 m"/>
    <s v="Espadarana prosoblepon"/>
    <n v="1"/>
    <m/>
    <m/>
    <m/>
    <s v="Ninguna"/>
    <s v="Macho"/>
    <s v="Visual"/>
  </r>
  <r>
    <d v="2024-11-22T00:00:00"/>
    <d v="2024-11-23T00:00:00"/>
    <s v="John Sebastian Ovalle Talaga"/>
    <s v="12:04:19 a. m."/>
    <n v="-76.878511666666597"/>
    <s v="3.543358333333333"/>
    <n v="569"/>
    <n v="4"/>
    <x v="1"/>
    <n v="20"/>
    <n v="15"/>
    <m/>
    <x v="0"/>
    <s v="Completamente"/>
    <x v="0"/>
    <x v="3"/>
    <s v="Llovizna"/>
    <s v="Bosque primario"/>
    <s v="John Sebastian Ovalle Talaga"/>
    <s v="Rasante &lt;0.3 m"/>
    <s v="Rhaebo haematiticus"/>
    <n v="2"/>
    <m/>
    <m/>
    <m/>
    <s v="Ninguna"/>
    <s v="Indeterminado"/>
    <s v="Visual"/>
  </r>
  <r>
    <d v="2024-11-22T00:00:00"/>
    <d v="2024-11-23T00:00:00"/>
    <s v="John Sebastian Ovalle Talaga"/>
    <s v="11:32:40 p. m."/>
    <n v="-76.878111666666598"/>
    <s v="3.5439966666666662"/>
    <n v="569"/>
    <n v="4"/>
    <x v="1"/>
    <n v="20"/>
    <n v="15"/>
    <m/>
    <x v="0"/>
    <s v="Completamente"/>
    <x v="0"/>
    <x v="3"/>
    <s v="Llovizna"/>
    <s v="Bosque ripario"/>
    <s v="John Sebastian Ovalle Talaga"/>
    <s v="Rasante &lt;0.3 m"/>
    <s v="Hyloscirtus palmeri"/>
    <n v="1"/>
    <m/>
    <m/>
    <m/>
    <s v="Ninguna"/>
    <s v="Indeterminado"/>
    <s v="Auditivo"/>
  </r>
  <r>
    <d v="2024-11-21T00:00:00"/>
    <d v="2024-11-21T00:00:00"/>
    <s v="John Sebastian Ovalle Talaga"/>
    <s v="9:37:53 a. m."/>
    <n v="-76.892219999999995"/>
    <s v="3.5963133333333333"/>
    <n v="500"/>
    <m/>
    <x v="1"/>
    <n v="16"/>
    <n v="20"/>
    <m/>
    <x v="0"/>
    <s v="Completamente"/>
    <x v="2"/>
    <x v="0"/>
    <s v="Despejado"/>
    <s v="Bosque primario"/>
    <s v="John Sebastian Ovalle Talaga"/>
    <s v="Arbustivo 1.5-5 m"/>
    <s v="Oophaga lehmanni"/>
    <n v="1"/>
    <m/>
    <m/>
    <m/>
    <s v="Ninguna"/>
    <s v="Indeterminado"/>
    <s v="Visual"/>
  </r>
  <r>
    <d v="2024-11-21T00:00:00"/>
    <d v="2024-11-21T00:00:00"/>
    <s v="John Sebastian Ovalle Talaga"/>
    <s v="9:31:14 a. m."/>
    <n v="-76.892748333333302"/>
    <s v="3.5969483333333327"/>
    <n v="500"/>
    <m/>
    <x v="1"/>
    <n v="16"/>
    <n v="20"/>
    <m/>
    <x v="0"/>
    <s v="Completamente"/>
    <x v="2"/>
    <x v="0"/>
    <s v="Despejado"/>
    <s v="Bosque primario"/>
    <s v="John Sebastian Ovalle Talaga"/>
    <m/>
    <s v="Oophaga lehmanni"/>
    <n v="1"/>
    <m/>
    <m/>
    <m/>
    <s v="Ninguna"/>
    <s v="Indeterminado"/>
    <s v="Auditivo"/>
  </r>
  <r>
    <d v="2024-11-21T00:00:00"/>
    <d v="2024-11-21T00:00:00"/>
    <s v="John Sebastian Ovalle Talaga"/>
    <s v="10:32:06 a. m."/>
    <n v="-76.892233333333294"/>
    <s v="3.5951766666666667"/>
    <n v="560"/>
    <m/>
    <x v="1"/>
    <m/>
    <n v="20"/>
    <m/>
    <x v="0"/>
    <s v="Completamente"/>
    <x v="1"/>
    <x v="0"/>
    <s v="Despejado"/>
    <s v="Bosque primario"/>
    <m/>
    <m/>
    <s v="Ninguna"/>
    <m/>
    <s v="No se logro Observar ninguna Especie "/>
    <m/>
    <m/>
    <m/>
    <m/>
    <m/>
  </r>
  <r>
    <d v="2024-11-21T00:00:00"/>
    <d v="2024-11-21T00:00:00"/>
    <s v="John Sebastian Ovalle Talaga"/>
    <s v="10:39:53 a. m."/>
    <n v="-76.891746666666606"/>
    <s v="3.5943066666666663"/>
    <n v="564"/>
    <m/>
    <x v="1"/>
    <n v="20"/>
    <n v="12"/>
    <m/>
    <x v="0"/>
    <s v="Completamente"/>
    <x v="0"/>
    <x v="0"/>
    <s v="Despejado"/>
    <s v="Bosque primario"/>
    <m/>
    <m/>
    <s v="Ninguna"/>
    <m/>
    <s v="No se logro observar ninguna Especie "/>
    <m/>
    <m/>
    <m/>
    <m/>
    <m/>
  </r>
  <r>
    <d v="2024-11-21T00:00:00"/>
    <d v="2024-11-21T00:00:00"/>
    <s v="John Sebastian Ovalle Talaga"/>
    <s v="11:05:41 a. m."/>
    <n v="-76.888466666666602"/>
    <n v="3.5980850000000002"/>
    <n v="545"/>
    <m/>
    <x v="1"/>
    <n v="15"/>
    <n v="0"/>
    <m/>
    <x v="0"/>
    <s v="Completamente"/>
    <x v="3"/>
    <x v="0"/>
    <s v="Despejado"/>
    <s v="Bosque primario"/>
    <m/>
    <m/>
    <s v="Craugastor longirostris"/>
    <n v="1"/>
    <s v="Stiven atoy"/>
    <m/>
    <m/>
    <s v="Vias"/>
    <s v="Indeterminado"/>
    <s v="Visual"/>
  </r>
  <r>
    <d v="2024-11-21T00:00:00"/>
    <d v="2024-11-21T00:00:00"/>
    <s v="John Sebastian Ovalle Talaga"/>
    <s v="10:59:40 a. m."/>
    <n v="-76.888575000000003"/>
    <s v="3.5977283333333334"/>
    <n v="545"/>
    <m/>
    <x v="1"/>
    <n v="15"/>
    <n v="0"/>
    <m/>
    <x v="0"/>
    <s v="Completamente"/>
    <x v="3"/>
    <x v="0"/>
    <s v="Despejado"/>
    <s v="Bosque primario"/>
    <m/>
    <s v="Rasante &lt;0.3 m"/>
    <s v="Epipedobates boulengeri "/>
    <n v="8"/>
    <m/>
    <m/>
    <m/>
    <s v="Vias"/>
    <s v="Indeterminado"/>
    <s v="Visual"/>
  </r>
  <r>
    <d v="2024-11-21T00:00:00"/>
    <d v="2024-11-21T00:00:00"/>
    <s v="John Sebastian Ovalle Talaga"/>
    <s v="10:55:28 a. m."/>
    <n v="-76.888445000000004"/>
    <n v="3.5974599999999999"/>
    <n v="545"/>
    <m/>
    <x v="1"/>
    <n v="15"/>
    <n v="0"/>
    <m/>
    <x v="0"/>
    <s v="Completamente"/>
    <x v="3"/>
    <x v="0"/>
    <s v="Despejado"/>
    <s v="Bosque primario"/>
    <m/>
    <s v="Rasante &lt;0.3 m"/>
    <s v="Craugastor longirostris"/>
    <n v="1"/>
    <s v="Yuliana ocampo"/>
    <m/>
    <m/>
    <s v="Vias"/>
    <s v="Indeterminado"/>
    <s v="Visual"/>
  </r>
  <r>
    <d v="2024-11-21T00:00:00"/>
    <d v="2024-11-21T00:00:00"/>
    <s v="John Sebastian Ovalle Talaga"/>
    <s v="10:52:20 a. m."/>
    <n v="-76.888514999999998"/>
    <n v="3.5975000000000001"/>
    <n v="545"/>
    <m/>
    <x v="1"/>
    <n v="15"/>
    <n v="0"/>
    <m/>
    <x v="0"/>
    <s v="Completamente"/>
    <x v="3"/>
    <x v="0"/>
    <s v="Despejado"/>
    <s v="Bosque primario"/>
    <m/>
    <s v="Rasante &lt;0.3 m"/>
    <s v="Craugastor longirostris"/>
    <n v="1"/>
    <s v="Camila "/>
    <m/>
    <m/>
    <s v="Vias"/>
    <s v="Indeterminado"/>
    <s v="Visual"/>
  </r>
  <r>
    <d v="2024-11-21T00:00:00"/>
    <d v="2024-11-21T00:00:00"/>
    <s v="John Sebastian Ovalle Talaga"/>
    <s v="11:38:44 a. m."/>
    <n v="-76.881146666666595"/>
    <s v="3.5957300000000005"/>
    <n v="601"/>
    <m/>
    <x v="1"/>
    <n v="20"/>
    <n v="10"/>
    <m/>
    <x v="0"/>
    <s v="Completamente"/>
    <x v="4"/>
    <x v="1"/>
    <s v="Despejado"/>
    <s v="Bosque primario"/>
    <m/>
    <m/>
    <s v="Ninguna"/>
    <m/>
    <s v="No se logra observar ninguna especie "/>
    <m/>
    <m/>
    <m/>
    <m/>
    <m/>
  </r>
  <r>
    <d v="2024-11-21T00:00:00"/>
    <d v="2024-11-21T00:00:00"/>
    <s v="John Sebastian Ovalle Talaga"/>
    <s v="11:34:52 a. m."/>
    <n v="-76.880746666666596"/>
    <s v="3.5963383333333336"/>
    <n v="601"/>
    <m/>
    <x v="1"/>
    <n v="20"/>
    <n v="10"/>
    <m/>
    <x v="0"/>
    <s v="Completamente"/>
    <x v="4"/>
    <x v="1"/>
    <m/>
    <m/>
    <m/>
    <m/>
    <s v="Ninguna"/>
    <m/>
    <m/>
    <m/>
    <m/>
    <m/>
    <m/>
    <m/>
  </r>
  <r>
    <d v="2024-11-21T00:00:00"/>
    <d v="2024-11-21T00:00:00"/>
    <s v="John Sebastian Ovalle Talaga"/>
    <s v="12:02:19 p. m."/>
    <n v="-76.880851666666601"/>
    <s v="3.596726666666667"/>
    <n v="597"/>
    <n v="3"/>
    <x v="1"/>
    <n v="20"/>
    <n v="15"/>
    <m/>
    <x v="0"/>
    <s v="Completamente"/>
    <x v="3"/>
    <x v="1"/>
    <s v="Despejado"/>
    <s v="Bosque primario"/>
    <s v="John Sebastian Ovalle Talaga"/>
    <s v="Rasante &lt;0.3 m"/>
    <s v="Allobates talamancae"/>
    <n v="1"/>
    <m/>
    <m/>
    <m/>
    <s v="Ninguna"/>
    <s v="Indeterminado"/>
    <s v="Visual"/>
  </r>
  <r>
    <d v="2024-11-21T00:00:00"/>
    <d v="2024-11-21T00:00:00"/>
    <s v="John Sebastian Ovalle Talaga"/>
    <s v="12:28:38 p. m."/>
    <n v="-76.882661666666607"/>
    <s v="3.5911466666666665"/>
    <n v="622"/>
    <m/>
    <x v="1"/>
    <n v="25"/>
    <n v="60"/>
    <m/>
    <x v="0"/>
    <s v="Completamente"/>
    <x v="0"/>
    <x v="1"/>
    <s v="Despejado"/>
    <s v="Bosque ripario"/>
    <s v="Andres De Los Rios Cortes"/>
    <s v="Rasante &lt;0.3 m"/>
    <s v="Epipedobates boulengeri "/>
    <n v="3"/>
    <m/>
    <m/>
    <m/>
    <s v="Vias"/>
    <s v="Indeterminado"/>
    <s v="Visual"/>
  </r>
  <r>
    <d v="2024-11-21T00:00:00"/>
    <d v="2024-11-21T00:00:00"/>
    <s v="John Sebastian Ovalle Talaga"/>
    <s v="7:31:08 p. m."/>
    <n v="-76.892343333333301"/>
    <s v="3.5975800000000002"/>
    <n v="607"/>
    <n v="4"/>
    <x v="1"/>
    <n v="20"/>
    <n v="30"/>
    <m/>
    <x v="0"/>
    <s v="Completamente"/>
    <x v="2"/>
    <x v="0"/>
    <s v="Despejado"/>
    <s v="Bosque primario"/>
    <m/>
    <s v="Rasante &lt;0.3 m"/>
    <s v="Pristimantis achatinus"/>
    <n v="1"/>
    <s v="Alejandro Nu√±ez "/>
    <m/>
    <m/>
    <s v="Ninguna"/>
    <s v="Indeterminado"/>
    <s v="Visual"/>
  </r>
  <r>
    <d v="2024-11-21T00:00:00"/>
    <d v="2024-11-21T00:00:00"/>
    <s v="John Sebastian Ovalle Talaga"/>
    <s v="7:23:05 p. m."/>
    <n v="-76.892358333333306"/>
    <n v="3.5978300000000001"/>
    <n v="607"/>
    <n v="4"/>
    <x v="1"/>
    <n v="20"/>
    <n v="30"/>
    <m/>
    <x v="0"/>
    <s v="Completamente"/>
    <x v="2"/>
    <x v="0"/>
    <s v="Despejado"/>
    <s v="Bosque primario"/>
    <m/>
    <s v="Herbaceo 0.3-1.5 m"/>
    <s v="Pristimantis palmeri"/>
    <n v="1"/>
    <s v="Camila "/>
    <m/>
    <m/>
    <s v="Ninguna"/>
    <s v="Indeterminado"/>
    <s v="Visual"/>
  </r>
  <r>
    <d v="2024-11-21T00:00:00"/>
    <d v="2024-11-21T00:00:00"/>
    <s v="John Sebastian Ovalle Talaga"/>
    <s v="8:05:15 p. m."/>
    <n v="-76.892313333333306"/>
    <n v="3.5956600000000001"/>
    <n v="589"/>
    <m/>
    <x v="1"/>
    <n v="15"/>
    <n v="20"/>
    <m/>
    <x v="0"/>
    <s v="Completamente"/>
    <x v="1"/>
    <x v="0"/>
    <s v="Nublado"/>
    <s v="Bosque primario"/>
    <s v="John Sebastian Ovalle Talaga"/>
    <s v="Rasante &lt;0.3 m"/>
    <s v="Oophaga lehmanni"/>
    <n v="1"/>
    <m/>
    <m/>
    <m/>
    <s v="Ninguna"/>
    <s v="Macho"/>
    <s v="Auditivo"/>
  </r>
  <r>
    <d v="2024-11-21T00:00:00"/>
    <d v="2024-11-21T00:00:00"/>
    <s v="John Sebastian Ovalle Talaga"/>
    <s v="8:03:05 p. m."/>
    <n v="-76.892528333333303"/>
    <s v="3.5957966666666663"/>
    <n v="589"/>
    <m/>
    <x v="1"/>
    <n v="15"/>
    <n v="20"/>
    <m/>
    <x v="0"/>
    <s v="Completamente"/>
    <x v="1"/>
    <x v="0"/>
    <s v="Despejado"/>
    <s v="Bosque primario"/>
    <s v="John Sebastian Ovalle Talaga"/>
    <s v="Herbaceo 0.3-1.5 m"/>
    <s v="Oophaga lehmanni"/>
    <n v="2"/>
    <s v="Yuliana ocampo"/>
    <m/>
    <m/>
    <s v="Ninguna"/>
    <s v="Macho"/>
    <s v="Auditivo"/>
  </r>
  <r>
    <d v="2024-11-21T00:00:00"/>
    <d v="2024-11-21T00:00:00"/>
    <s v="John Sebastian Ovalle Talaga"/>
    <s v="8:39:36 p. m."/>
    <n v="-76.891639999999995"/>
    <s v="3.594276666666667"/>
    <m/>
    <m/>
    <x v="1"/>
    <n v="30"/>
    <n v="16"/>
    <m/>
    <x v="0"/>
    <s v="Completamente"/>
    <x v="0"/>
    <x v="0"/>
    <s v="Llovizna"/>
    <s v="Bosque primario"/>
    <s v="John Sebastian Ovalle Talaga"/>
    <s v="Arbustivo 1.5-5 m"/>
    <s v="Pristimantis palmeri"/>
    <n v="1"/>
    <m/>
    <m/>
    <m/>
    <s v="Ninguna"/>
    <s v="Indeterminado"/>
    <s v="Visual"/>
  </r>
  <r>
    <d v="2024-11-21T00:00:00"/>
    <d v="2024-11-21T00:00:00"/>
    <s v="John Sebastian Ovalle Talaga"/>
    <s v="8:27:49 p. m."/>
    <n v="-76.892011666666605"/>
    <s v="3.594643333333334"/>
    <m/>
    <m/>
    <x v="1"/>
    <n v="30"/>
    <n v="16"/>
    <m/>
    <x v="0"/>
    <s v="Completamente"/>
    <x v="0"/>
    <x v="0"/>
    <s v="Llovizna"/>
    <s v="Bosque primario"/>
    <m/>
    <s v="Rasante &lt;0.3 m"/>
    <s v="Craugastor longirostris"/>
    <n v="1"/>
    <s v="Juvenil "/>
    <m/>
    <m/>
    <s v="Ninguna"/>
    <s v="Indeterminado"/>
    <s v="Visual"/>
  </r>
  <r>
    <d v="2024-11-21T00:00:00"/>
    <d v="2024-11-21T00:00:00"/>
    <s v="John Sebastian Ovalle Talaga"/>
    <s v="8:21:55 p. m."/>
    <n v="-76.891658333333297"/>
    <s v="3.5948949999999997"/>
    <m/>
    <m/>
    <x v="1"/>
    <n v="30"/>
    <n v="16"/>
    <m/>
    <x v="0"/>
    <s v="Completamente"/>
    <x v="0"/>
    <x v="0"/>
    <s v="Llovizna"/>
    <s v="Bosque primario"/>
    <m/>
    <s v="Rasante &lt;0.3 m"/>
    <s v="Pristimantis achatinus"/>
    <n v="1"/>
    <s v="Camila "/>
    <m/>
    <m/>
    <s v="Ninguna"/>
    <s v="Indeterminado"/>
    <s v="Visual"/>
  </r>
  <r>
    <d v="2024-11-21T00:00:00"/>
    <d v="2024-11-21T00:00:00"/>
    <s v="John Sebastian Ovalle Talaga"/>
    <s v="8:21:01 p. m."/>
    <n v="-76.891613333333297"/>
    <s v="3.5948599999999997"/>
    <m/>
    <m/>
    <x v="1"/>
    <n v="30"/>
    <n v="16"/>
    <m/>
    <x v="0"/>
    <s v="Completamente"/>
    <x v="0"/>
    <x v="0"/>
    <s v="Llovizna"/>
    <s v="Bosque primario"/>
    <s v="John Sebastian Ovalle Talaga"/>
    <s v="Rasante &lt;0.3 m"/>
    <s v="Oophaga lehmanni"/>
    <n v="1"/>
    <s v="Se encuentra con mucha neblina "/>
    <m/>
    <m/>
    <s v="Ninguna"/>
    <s v="Macho"/>
    <s v="Auditivo"/>
  </r>
  <r>
    <d v="2024-11-21T00:00:00"/>
    <d v="2024-11-21T00:00:00"/>
    <s v="John Sebastian Ovalle Talaga"/>
    <s v="9:16:11 p. m."/>
    <n v="-76.888441666666594"/>
    <s v="3.5981833333333335"/>
    <n v="545"/>
    <m/>
    <x v="1"/>
    <n v="15"/>
    <n v="10"/>
    <m/>
    <x v="0"/>
    <s v="Completamente"/>
    <x v="3"/>
    <x v="0"/>
    <s v="Llovizna"/>
    <s v="Bosque primario"/>
    <s v="John Sebastian Ovalle Talaga"/>
    <s v="Rasante &lt;0.3 m"/>
    <s v="Craugastor raniformis"/>
    <n v="1"/>
    <m/>
    <m/>
    <m/>
    <s v="Vias"/>
    <s v="Indeterminado"/>
    <s v="Visual"/>
  </r>
  <r>
    <d v="2024-11-21T00:00:00"/>
    <d v="2024-11-21T00:00:00"/>
    <s v="John Sebastian Ovalle Talaga"/>
    <s v="9:11:57 p. m."/>
    <n v="-76.888414999999995"/>
    <s v="3.597976666666667"/>
    <n v="545"/>
    <m/>
    <x v="1"/>
    <n v="15"/>
    <n v="10"/>
    <m/>
    <x v="0"/>
    <s v="Completamente"/>
    <x v="3"/>
    <x v="0"/>
    <s v="Llovizna"/>
    <s v="Bosque primario"/>
    <m/>
    <s v="Rasante &lt;0.3 m"/>
    <s v="Craugastor raniformis"/>
    <n v="1"/>
    <s v="Yuliana ocampo"/>
    <m/>
    <m/>
    <s v="Vias"/>
    <s v="Hembra"/>
    <s v="Visual"/>
  </r>
  <r>
    <d v="2024-11-21T00:00:00"/>
    <d v="2024-11-21T00:00:00"/>
    <s v="John Sebastian Ovalle Talaga"/>
    <s v="9:09:14 p. m."/>
    <n v="-76.888463333333306"/>
    <s v="3.5977233333333336"/>
    <n v="545"/>
    <m/>
    <x v="1"/>
    <n v="15"/>
    <n v="10"/>
    <m/>
    <x v="0"/>
    <s v="Completamente"/>
    <x v="3"/>
    <x v="0"/>
    <s v="Llovizna"/>
    <s v="Bosque primario"/>
    <m/>
    <s v="Rasante &lt;0.3 m"/>
    <s v="Craugastor raniformis"/>
    <n v="1"/>
    <s v="Se encuentra con heridas"/>
    <m/>
    <m/>
    <s v="Vias"/>
    <s v="Indeterminado"/>
    <s v="Visual"/>
  </r>
  <r>
    <d v="2024-11-21T00:00:00"/>
    <d v="2024-11-21T00:00:00"/>
    <s v="John Sebastian Ovalle Talaga"/>
    <s v="9:06:48 p. m."/>
    <n v="-76.888486666666594"/>
    <s v="3.5977150000000004"/>
    <n v="545"/>
    <m/>
    <x v="1"/>
    <n v="15"/>
    <n v="10"/>
    <m/>
    <x v="0"/>
    <s v="Completamente"/>
    <x v="3"/>
    <x v="0"/>
    <s v="Llovizna"/>
    <s v="Bosque primario"/>
    <m/>
    <s v="Rasante &lt;0.3 m"/>
    <s v="Oophaga lehmanni"/>
    <n v="1"/>
    <m/>
    <m/>
    <m/>
    <s v="Vias"/>
    <s v="Macho"/>
    <s v="Auditivo"/>
  </r>
  <r>
    <d v="2024-11-21T00:00:00"/>
    <d v="2024-11-21T00:00:00"/>
    <s v="John Sebastian Ovalle Talaga"/>
    <s v="9:04:49 p. m."/>
    <n v="-76.888511666666602"/>
    <s v="3.597416666666667"/>
    <n v="545"/>
    <m/>
    <x v="1"/>
    <n v="15"/>
    <n v="10"/>
    <m/>
    <x v="0"/>
    <s v="Completamente"/>
    <x v="3"/>
    <x v="0"/>
    <s v="Llovizna"/>
    <s v="Bosque primario"/>
    <m/>
    <s v="Rasante &lt;0.3 m"/>
    <s v="Craugastor raniformis"/>
    <n v="1"/>
    <s v="Camila "/>
    <m/>
    <m/>
    <s v="Vias"/>
    <s v="Indeterminado"/>
    <s v="Visual"/>
  </r>
  <r>
    <d v="2024-11-21T00:00:00"/>
    <d v="2024-11-21T00:00:00"/>
    <s v="John Sebastian Ovalle Talaga"/>
    <s v="10:53:33 p. m."/>
    <n v="-76.8807883333333"/>
    <s v="3.596496666666667"/>
    <n v="581"/>
    <m/>
    <x v="1"/>
    <n v="20"/>
    <n v="10"/>
    <m/>
    <x v="0"/>
    <s v="Completamente"/>
    <x v="3"/>
    <x v="1"/>
    <s v="Despejado"/>
    <s v="Bosque primario"/>
    <s v="John Sebastian Ovalle Talaga"/>
    <s v="Arbustivo 1.5-5 m"/>
    <s v="Espadarana prosoblepon"/>
    <n v="1"/>
    <m/>
    <m/>
    <m/>
    <s v="Ninguna"/>
    <s v="Macho"/>
    <s v="Visual"/>
  </r>
  <r>
    <d v="2024-11-21T00:00:00"/>
    <d v="2024-11-21T00:00:00"/>
    <s v="John Sebastian Ovalle Talaga"/>
    <s v="10:49:26 p. m."/>
    <n v="-76.880645000000001"/>
    <s v="3.596541666666667"/>
    <n v="581"/>
    <m/>
    <x v="1"/>
    <n v="20"/>
    <n v="10"/>
    <m/>
    <x v="0"/>
    <s v="Completamente"/>
    <x v="3"/>
    <x v="1"/>
    <s v="Despejado"/>
    <s v="Bosque primario"/>
    <s v="John Sebastian Ovalle Talaga"/>
    <s v="Rasante &lt;0.3 m"/>
    <s v="Oophaga lehmanni"/>
    <n v="1"/>
    <m/>
    <m/>
    <m/>
    <s v="Ninguna"/>
    <s v="Macho"/>
    <s v="Auditivo"/>
  </r>
  <r>
    <d v="2024-11-21T00:00:00"/>
    <d v="2024-11-21T00:00:00"/>
    <s v="John Sebastian Ovalle Talaga"/>
    <s v="10:48:25 p. m."/>
    <n v="-76.880706666666597"/>
    <n v="3.5966149999999999"/>
    <n v="581"/>
    <m/>
    <x v="1"/>
    <n v="20"/>
    <n v="10"/>
    <m/>
    <x v="0"/>
    <s v="Completamente"/>
    <x v="3"/>
    <x v="1"/>
    <s v="Despejado"/>
    <s v="Bosque primario"/>
    <s v="John Sebastian Ovalle Talaga"/>
    <s v="Rasante &lt;0.3 m"/>
    <s v="Leptodactylus rhodomerus"/>
    <n v="1"/>
    <m/>
    <m/>
    <m/>
    <s v="Otra"/>
    <s v="Indeterminado"/>
    <s v="Visual"/>
  </r>
  <r>
    <d v="2024-11-21T00:00:00"/>
    <d v="2024-11-21T00:00:00"/>
    <s v="John Sebastian Ovalle Talaga"/>
    <s v="11:21:10 p. m."/>
    <n v="-76.881011666666595"/>
    <s v="3.595778333333333"/>
    <n v="689"/>
    <m/>
    <x v="1"/>
    <n v="15"/>
    <n v="10"/>
    <m/>
    <x v="0"/>
    <s v="Completamente"/>
    <x v="4"/>
    <x v="1"/>
    <s v="Despejado"/>
    <s v="Bosque primario"/>
    <s v="John Sebastian Ovalle Talaga"/>
    <s v="Rasante &lt;0.3 m"/>
    <s v="Craugastor raniformis"/>
    <n v="1"/>
    <m/>
    <m/>
    <m/>
    <s v="Vias"/>
    <s v="Indeterminado"/>
    <s v="Auditivo"/>
  </r>
  <r>
    <d v="2024-11-21T00:00:00"/>
    <d v="2024-11-21T00:00:00"/>
    <s v="John Sebastian Ovalle Talaga"/>
    <s v="11:09:37 p. m."/>
    <n v="-76.880719999999997"/>
    <s v="3.595861666666667"/>
    <n v="689"/>
    <m/>
    <x v="1"/>
    <n v="15"/>
    <n v="10"/>
    <m/>
    <x v="0"/>
    <s v="Completamente"/>
    <x v="4"/>
    <x v="1"/>
    <s v="Despejado"/>
    <s v="Bosque primario"/>
    <s v="John Sebastian Ovalle Talaga"/>
    <s v="Rasante &lt;0.3 m"/>
    <s v="Oophaga lehmanni"/>
    <n v="2"/>
    <m/>
    <m/>
    <m/>
    <s v="Vias"/>
    <s v="Macho"/>
    <s v="Auditivo"/>
  </r>
  <r>
    <d v="2024-11-21T00:00:00"/>
    <d v="2024-11-21T00:00:00"/>
    <s v="John Sebastian Ovalle Talaga"/>
    <s v="11:43:16 p. m."/>
    <n v="-76.882556666666602"/>
    <s v="3.591026666666666"/>
    <m/>
    <n v="1"/>
    <x v="1"/>
    <m/>
    <n v="20"/>
    <m/>
    <x v="0"/>
    <s v="Completamente"/>
    <x v="0"/>
    <x v="1"/>
    <s v="Despejado"/>
    <s v="Bosque primario"/>
    <s v="John Sebastian Ovalle Talaga"/>
    <s v="Rasante &lt;0.3 m"/>
    <s v="Smilisca phaeota"/>
    <n v="2"/>
    <s v="Macho hembra "/>
    <m/>
    <m/>
    <s v="Vias"/>
    <s v="Indeterminado"/>
    <s v="Visual"/>
  </r>
  <r>
    <d v="2024-11-20T00:00:00"/>
    <d v="2024-11-20T00:00:00"/>
    <s v="John Sebastian Ovalle Talaga"/>
    <s v="6:16:58 p. m."/>
    <n v="-76.880271666666602"/>
    <s v="3.5769066666666665"/>
    <n v="655"/>
    <m/>
    <x v="1"/>
    <n v="10"/>
    <n v="0"/>
    <m/>
    <x v="0"/>
    <s v="Completamente"/>
    <x v="0"/>
    <x v="2"/>
    <s v="Despejado"/>
    <s v="Bosque secundario"/>
    <m/>
    <s v="Rasante &lt;0.3 m"/>
    <s v="Pristimantis palmeri"/>
    <n v="1"/>
    <s v="Camila"/>
    <m/>
    <m/>
    <s v="Ninguna"/>
    <s v="Indeterminado"/>
    <s v="Visual"/>
  </r>
  <r>
    <d v="2024-11-20T00:00:00"/>
    <d v="2024-11-20T00:00:00"/>
    <s v="John Sebastian Ovalle Talaga"/>
    <s v="7:28:26 p. m."/>
    <n v="-76.880846666666599"/>
    <s v="3.5781816666666666"/>
    <n v="650"/>
    <m/>
    <x v="1"/>
    <n v="20"/>
    <n v="0"/>
    <m/>
    <x v="0"/>
    <s v="Completamente"/>
    <x v="1"/>
    <x v="2"/>
    <s v="Llovizna"/>
    <s v="Bosque primario"/>
    <s v="John Sebastian Ovalle Talaga"/>
    <s v="Arbustivo 1.5-5 m"/>
    <s v="Hyalinobatrachium aureoguttatum"/>
    <n v="1"/>
    <m/>
    <m/>
    <m/>
    <s v="Ninguna"/>
    <s v="Indeterminado"/>
    <s v="Visual"/>
  </r>
  <r>
    <d v="2024-11-20T00:00:00"/>
    <d v="2024-11-20T00:00:00"/>
    <s v="John Sebastian Ovalle Talaga"/>
    <s v="7:22:45 p. m."/>
    <n v="-76.880898333333306"/>
    <n v="3.5781550000000002"/>
    <n v="650"/>
    <m/>
    <x v="1"/>
    <n v="20"/>
    <n v="0"/>
    <m/>
    <x v="0"/>
    <s v="Completamente"/>
    <x v="1"/>
    <x v="2"/>
    <s v="Despejado"/>
    <s v="Bosque primario"/>
    <s v="John Sebastian Ovalle Talaga"/>
    <s v="Rasante &lt;0.3 m"/>
    <s v="Otra"/>
    <n v="1"/>
    <s v="Revisar fotos sebastian 0051hasta 0047"/>
    <m/>
    <m/>
    <s v="Ninguna"/>
    <s v="Indeterminado"/>
    <s v="Visual"/>
  </r>
  <r>
    <d v="2024-11-20T00:00:00"/>
    <d v="2024-11-20T00:00:00"/>
    <s v="John Sebastian Ovalle Talaga"/>
    <s v="7:20:48 p. m."/>
    <n v="-76.880976666666598"/>
    <s v="3.5781583333333336"/>
    <n v="650"/>
    <m/>
    <x v="1"/>
    <n v="20"/>
    <n v="0"/>
    <m/>
    <x v="0"/>
    <s v="Completamente"/>
    <x v="1"/>
    <x v="2"/>
    <s v="Despejado"/>
    <s v="Bosque primario"/>
    <m/>
    <s v="Rasante &lt;0.3 m"/>
    <s v="Pristimantis erythropleura"/>
    <n v="1"/>
    <s v="Camila"/>
    <m/>
    <m/>
    <s v="Ninguna"/>
    <s v="Indeterminado"/>
    <s v="Visual"/>
  </r>
  <r>
    <d v="2024-11-20T00:00:00"/>
    <d v="2024-11-20T00:00:00"/>
    <s v="John Sebastian Ovalle Talaga"/>
    <s v="7:19:01 p. m."/>
    <n v="-76.881408333333297"/>
    <n v="3.5775100000000002"/>
    <n v="650"/>
    <m/>
    <x v="1"/>
    <n v="20"/>
    <n v="0"/>
    <m/>
    <x v="0"/>
    <s v="Completamente"/>
    <x v="1"/>
    <x v="2"/>
    <s v="Despejado"/>
    <s v="Bosque primario"/>
    <m/>
    <s v="Rasante &lt;0.3 m"/>
    <s v="Craugastor longirostris"/>
    <n v="1"/>
    <s v="Camila "/>
    <m/>
    <m/>
    <s v="Ninguna"/>
    <s v="Indeterminado"/>
    <s v="Visual"/>
  </r>
  <r>
    <d v="2024-11-20T00:00:00"/>
    <d v="2024-11-20T00:00:00"/>
    <s v="John Sebastian Ovalle Talaga"/>
    <s v="7:12:28 p. m."/>
    <n v="-76.880903333333293"/>
    <s v="3.5781666666666667"/>
    <n v="650"/>
    <m/>
    <x v="1"/>
    <n v="20"/>
    <n v="0"/>
    <m/>
    <x v="0"/>
    <s v="Completamente"/>
    <x v="1"/>
    <x v="2"/>
    <s v="Llovizna"/>
    <s v="Bosque primario"/>
    <s v="John Sebastian Ovalle Talaga"/>
    <s v="Rasante &lt;0.3 m"/>
    <s v="Craugastor longirostris"/>
    <n v="1"/>
    <m/>
    <m/>
    <m/>
    <s v="Ninguna"/>
    <s v="Macho"/>
    <s v="Visual"/>
  </r>
  <r>
    <d v="2024-11-20T00:00:00"/>
    <d v="2024-11-20T00:00:00"/>
    <s v="John Sebastian Ovalle Talaga"/>
    <s v="7:10:37 p. m."/>
    <n v="-76.880785000000003"/>
    <s v="3.5778633333333336"/>
    <n v="650"/>
    <m/>
    <x v="1"/>
    <n v="20"/>
    <n v="0"/>
    <m/>
    <x v="0"/>
    <s v="Completamente"/>
    <x v="1"/>
    <x v="2"/>
    <s v="Llovizna"/>
    <s v="Bosque primario"/>
    <s v="John Sebastian Ovalle Talaga"/>
    <s v="Rasante &lt;0.3 m"/>
    <s v="Pristimantis palmeri"/>
    <n v="1"/>
    <m/>
    <m/>
    <m/>
    <s v="Ninguna"/>
    <s v="Indeterminado"/>
    <s v="Visual"/>
  </r>
  <r>
    <d v="2024-11-20T00:00:00"/>
    <d v="2024-11-20T00:00:00"/>
    <s v="John Sebastian Ovalle Talaga"/>
    <s v="7:06:22 p. m."/>
    <n v="-76.880686666666605"/>
    <s v="3.5778549999999996"/>
    <n v="650"/>
    <m/>
    <x v="1"/>
    <n v="20"/>
    <n v="0"/>
    <m/>
    <x v="0"/>
    <s v="Completamente"/>
    <x v="1"/>
    <x v="2"/>
    <s v="Despejado"/>
    <s v="Bosque primario"/>
    <m/>
    <s v="Rasante &lt;0.3 m"/>
    <s v="Craugastor raniformis"/>
    <n v="1"/>
    <s v="Camila "/>
    <m/>
    <m/>
    <s v="Ninguna"/>
    <s v="Macho"/>
    <s v="Visual"/>
  </r>
  <r>
    <d v="2024-11-20T00:00:00"/>
    <d v="2024-11-20T00:00:00"/>
    <s v="John Sebastian Ovalle Talaga"/>
    <s v="6:59:30 p. m."/>
    <n v="-76.880563333333299"/>
    <s v="3.5777500000000004"/>
    <n v="650"/>
    <m/>
    <x v="1"/>
    <n v="20"/>
    <n v="0"/>
    <m/>
    <x v="0"/>
    <s v="Completamente"/>
    <x v="1"/>
    <x v="2"/>
    <s v="Despejado"/>
    <s v="Bosque primario"/>
    <s v="John Sebastian Ovalle Talaga"/>
    <s v="Arbustivo 1.5-5 m"/>
    <s v="Bolitoglossa biseriata"/>
    <n v="1"/>
    <m/>
    <m/>
    <m/>
    <s v="Ninguna"/>
    <s v="Indeterminado"/>
    <s v="Visual"/>
  </r>
  <r>
    <d v="2024-11-20T00:00:00"/>
    <d v="2024-11-20T00:00:00"/>
    <s v="John Sebastian Ovalle Talaga"/>
    <s v="6:53:33 p. m."/>
    <n v="-76.880435000000006"/>
    <n v="3.5775999999999999"/>
    <n v="650"/>
    <m/>
    <x v="1"/>
    <n v="20"/>
    <n v="0"/>
    <m/>
    <x v="0"/>
    <s v="Completamente"/>
    <x v="1"/>
    <x v="2"/>
    <s v="Despejado"/>
    <s v="Bosque primario"/>
    <s v="John Sebastian Ovalle Talaga"/>
    <s v="Rasante &lt;0.3 m"/>
    <s v="Otra"/>
    <n v="3"/>
    <s v="Buscar fotos sebastian 0014 asta 0025"/>
    <m/>
    <m/>
    <s v="Ninguna"/>
    <s v="Indeterminado"/>
    <s v="Visual"/>
  </r>
  <r>
    <d v="2024-11-20T00:00:00"/>
    <d v="2024-11-20T00:00:00"/>
    <s v="John Sebastian Ovalle Talaga"/>
    <s v="8:31:36 p. m."/>
    <n v="-76.880561666666594"/>
    <n v="3.5788600000000002"/>
    <n v="687"/>
    <m/>
    <x v="1"/>
    <n v="20"/>
    <n v="60"/>
    <m/>
    <x v="0"/>
    <s v="Completamente"/>
    <x v="2"/>
    <x v="2"/>
    <s v="Llovizna"/>
    <s v="Bosque primario"/>
    <s v="John Sebastian Ovalle Talaga"/>
    <s v="Rasante &lt;0.3 m"/>
    <s v="Oophaga lehmanni"/>
    <n v="1"/>
    <m/>
    <m/>
    <m/>
    <s v="Ninguna"/>
    <s v="Indeterminado"/>
    <s v="Visual"/>
  </r>
  <r>
    <d v="2024-11-20T00:00:00"/>
    <d v="2024-11-20T00:00:00"/>
    <s v="John Sebastian Ovalle Talaga"/>
    <s v="8:11:24 p. m."/>
    <n v="-76.880780000000001"/>
    <n v="3.5786150000000001"/>
    <n v="687"/>
    <m/>
    <x v="1"/>
    <n v="20"/>
    <n v="60"/>
    <m/>
    <x v="0"/>
    <s v="Completamente"/>
    <x v="2"/>
    <x v="2"/>
    <s v="Llovizna"/>
    <s v="Bosque primario"/>
    <m/>
    <s v="Herbaceo 0.3-1.5 m"/>
    <s v="Oophaga lehmanni"/>
    <n v="1"/>
    <s v="Camila "/>
    <m/>
    <m/>
    <s v="Ninguna"/>
    <s v="Indeterminado"/>
    <s v="Visual"/>
  </r>
  <r>
    <d v="2024-11-20T00:00:00"/>
    <d v="2024-11-20T00:00:00"/>
    <s v="John Sebastian Ovalle Talaga"/>
    <s v="8:05:08 p. m."/>
    <n v="-76.880911666666606"/>
    <s v="3.578376666666667"/>
    <n v="687"/>
    <m/>
    <x v="1"/>
    <n v="20"/>
    <n v="60"/>
    <m/>
    <x v="0"/>
    <s v="Completamente"/>
    <x v="2"/>
    <x v="2"/>
    <s v="Llovizna"/>
    <s v="Bosque primario"/>
    <s v="John Sebastian Ovalle Talaga"/>
    <s v="Rasante &lt;0.3 m"/>
    <s v="Rhaebo haematiticus"/>
    <n v="1"/>
    <m/>
    <m/>
    <m/>
    <s v="Ninguna"/>
    <s v="Indeterminado"/>
    <s v="Visual"/>
  </r>
  <r>
    <d v="2024-11-20T00:00:00"/>
    <d v="2024-11-20T00:00:00"/>
    <s v="John Sebastian Ovalle Talaga"/>
    <s v="9:07:15 p. m."/>
    <n v="-76.880601666666607"/>
    <n v="3.5800450000000001"/>
    <n v="702"/>
    <m/>
    <x v="1"/>
    <n v="15"/>
    <n v="30"/>
    <m/>
    <x v="0"/>
    <s v="Completamente"/>
    <x v="3"/>
    <x v="2"/>
    <s v="Llovizna"/>
    <s v="Bosque primario"/>
    <m/>
    <m/>
    <s v="Ninguna"/>
    <m/>
    <s v="Llovia moderada donde no se vio Nunguna especie "/>
    <m/>
    <m/>
    <m/>
    <m/>
    <m/>
  </r>
  <r>
    <d v="2024-11-20T00:00:00"/>
    <d v="2024-11-20T00:00:00"/>
    <s v="John Sebastian Ovalle Talaga"/>
    <s v="8:43:49 p. m."/>
    <n v="-76.8802983333333"/>
    <s v="3.5794933333333336"/>
    <n v="702"/>
    <m/>
    <x v="1"/>
    <n v="15"/>
    <n v="30"/>
    <m/>
    <x v="0"/>
    <s v="Completamente"/>
    <x v="3"/>
    <x v="2"/>
    <s v="Llovizna"/>
    <s v="Bosque primario"/>
    <m/>
    <s v="Rasante &lt;0.3 m"/>
    <s v="Pristimantis afrox"/>
    <n v="1"/>
    <s v="Camila "/>
    <m/>
    <m/>
    <s v="Ninguna"/>
    <s v="Indeterminado"/>
    <s v="Visual"/>
  </r>
  <r>
    <d v="2024-10-18T00:00:00"/>
    <d v="2024-10-18T00:00:00"/>
    <s v="John Sebastian Ovalle Talaga"/>
    <s v="1:04:26 a. m."/>
    <n v="-76.644251666666605"/>
    <s v="3.3495899999999996"/>
    <n v="2488"/>
    <m/>
    <x v="1"/>
    <n v="20"/>
    <n v="10"/>
    <m/>
    <x v="2"/>
    <s v="Completamente"/>
    <x v="0"/>
    <x v="10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8T00:00:00"/>
    <d v="2024-10-18T00:00:00"/>
    <s v="John Sebastian Ovalle Talaga"/>
    <s v="1:02:19 a. m."/>
    <n v="-76.644196666666602"/>
    <s v="3.349628333333334"/>
    <n v="2488"/>
    <m/>
    <x v="1"/>
    <n v="20"/>
    <n v="10"/>
    <m/>
    <x v="2"/>
    <s v="Completamente"/>
    <x v="0"/>
    <x v="10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8T00:00:00"/>
    <d v="2024-10-18T00:00:00"/>
    <s v="John Sebastian Ovalle Talaga"/>
    <s v="1:02:19 a. m."/>
    <n v="-76.644196666666602"/>
    <s v="3.349628333333334"/>
    <n v="2488"/>
    <m/>
    <x v="1"/>
    <n v="20"/>
    <n v="10"/>
    <m/>
    <x v="2"/>
    <s v="Completamente"/>
    <x v="0"/>
    <x v="10"/>
    <s v="Despejado luna llena"/>
    <s v="Bosque secundario"/>
    <s v="John Sebastian Ovalle Talaga"/>
    <s v="Herbaceo 0.3-1.5 m"/>
    <s v="Pristimantis brevifrons"/>
    <n v="1"/>
    <m/>
    <m/>
    <m/>
    <s v="Ninguna"/>
    <s v="Indeterminado"/>
    <s v="Auditivo"/>
  </r>
  <r>
    <d v="2024-10-18T00:00:00"/>
    <d v="2024-10-18T00:00:00"/>
    <s v="John Sebastian Ovalle Talaga"/>
    <s v="12:58:19 a. m."/>
    <n v="-76.644103333333305"/>
    <s v="3.349546666666667"/>
    <n v="2488"/>
    <m/>
    <x v="1"/>
    <n v="20"/>
    <n v="10"/>
    <m/>
    <x v="2"/>
    <s v="Completamente"/>
    <x v="0"/>
    <x v="10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8T00:00:00"/>
    <d v="2024-10-18T00:00:00"/>
    <s v="John Sebastian Ovalle Talaga"/>
    <s v="12:56:18 a. m."/>
    <n v="-76.644128333333299"/>
    <s v="3.3494716666666666"/>
    <n v="2488"/>
    <m/>
    <x v="1"/>
    <n v="20"/>
    <n v="10"/>
    <m/>
    <x v="2"/>
    <s v="Completamente"/>
    <x v="0"/>
    <x v="10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8T00:00:00"/>
    <d v="2024-10-18T00:00:00"/>
    <s v="John Sebastian Ovalle Talaga"/>
    <s v="12:48:37 a. m."/>
    <n v="-76.643784999999994"/>
    <s v="3.3497516666666662"/>
    <n v="2488"/>
    <m/>
    <x v="1"/>
    <n v="20"/>
    <n v="10"/>
    <m/>
    <x v="2"/>
    <s v="Completamente"/>
    <x v="0"/>
    <x v="10"/>
    <s v="Despejado luna llena"/>
    <s v="Bosque secundario"/>
    <s v="Angie Alejandra Loaiza Lopez"/>
    <s v="Herbaceo 0.3-1.5 m"/>
    <s v="Pristimantis palmeri"/>
    <n v="1"/>
    <m/>
    <m/>
    <m/>
    <s v="Ninguna"/>
    <s v="Indeterminado"/>
    <s v="Visual"/>
  </r>
  <r>
    <d v="2024-10-18T00:00:00"/>
    <d v="2024-10-18T00:00:00"/>
    <s v="John Sebastian Ovalle Talaga"/>
    <s v="12:25:22 a. m."/>
    <n v="-76.643699999999995"/>
    <s v="3.349548333333333"/>
    <n v="2488"/>
    <m/>
    <x v="1"/>
    <n v="20"/>
    <n v="10"/>
    <m/>
    <x v="2"/>
    <s v="Completamente"/>
    <x v="0"/>
    <x v="10"/>
    <s v="Despejado luna llena"/>
    <s v="Bosque secundario"/>
    <s v="John Sebastian Ovalle Talaga"/>
    <s v="Herbaceo 0.3-1.5 m"/>
    <s v="Bolitoglossa biseriata"/>
    <n v="1"/>
    <m/>
    <m/>
    <m/>
    <s v="Ninguna"/>
    <s v="Indeterminado"/>
    <s v="Visual"/>
  </r>
  <r>
    <d v="2024-10-18T00:00:00"/>
    <d v="2024-10-18T00:00:00"/>
    <s v="John Sebastian Ovalle Talaga"/>
    <s v="12:22:04 a. m."/>
    <n v="-76.643546666666595"/>
    <s v="3.349578333333333"/>
    <n v="2488"/>
    <m/>
    <x v="1"/>
    <n v="20"/>
    <n v="10"/>
    <m/>
    <x v="2"/>
    <s v="Completamente"/>
    <x v="0"/>
    <x v="10"/>
    <s v="Despejado luna llena"/>
    <s v="Bosque secundario"/>
    <s v="Angie Alejandra Loaiza Lopez"/>
    <s v="Herbaceo 0.3-1.5 m"/>
    <s v="Pristimantis palmeri"/>
    <n v="2"/>
    <m/>
    <m/>
    <m/>
    <s v="Ninguna"/>
    <s v="Indeterminado"/>
    <s v="Visual"/>
  </r>
  <r>
    <d v="2024-10-18T00:00:00"/>
    <d v="2024-10-18T00:00:00"/>
    <s v="John Sebastian Ovalle Talaga"/>
    <s v="1:33:33 a. m."/>
    <n v="-76.645880000000005"/>
    <s v="3.3496700000000006"/>
    <n v="2459"/>
    <m/>
    <x v="1"/>
    <n v="6"/>
    <n v="25"/>
    <m/>
    <x v="2"/>
    <s v="Completamente"/>
    <x v="2"/>
    <x v="11"/>
    <s v="Despejado luna llena"/>
    <s v="Bosque secundario"/>
    <s v="Guillermo Pantoja"/>
    <s v="Herbaceo 0.3-1.5 m"/>
    <s v="Pristimantis erythropleura"/>
    <n v="2"/>
    <s v="Se observan dos individuos, un macho y una hembra "/>
    <m/>
    <m/>
    <s v="Ninguna"/>
    <s v="Indeterminado"/>
    <s v="Visual"/>
  </r>
  <r>
    <d v="2024-10-18T00:00:00"/>
    <d v="2024-10-18T00:00:00"/>
    <s v="John Sebastian Ovalle Talaga"/>
    <s v="1:19:19 a. m."/>
    <n v="-76.644918333333294"/>
    <s v="3.349851666666667"/>
    <n v="2475"/>
    <m/>
    <x v="1"/>
    <n v="10"/>
    <n v="15"/>
    <m/>
    <x v="2"/>
    <s v="Completamente"/>
    <x v="3"/>
    <x v="11"/>
    <s v="Despejado luna llena"/>
    <s v="Bosque secundario"/>
    <s v="John Sebastian Ovalle Talaga"/>
    <s v="Herbaceo 0.3-1.5 m"/>
    <s v="Pristimantis erythropleura"/>
    <n v="1"/>
    <m/>
    <m/>
    <m/>
    <s v="Ninguna"/>
    <s v="Macho"/>
    <s v="Visual"/>
  </r>
  <r>
    <d v="2024-10-18T00:00:00"/>
    <d v="2024-10-18T00:00:00"/>
    <s v="John Sebastian Ovalle Talaga"/>
    <s v="1:17:31 a. m."/>
    <n v="-76.644909999999996"/>
    <s v="3.3497683333333335"/>
    <n v="2475"/>
    <m/>
    <x v="1"/>
    <n v="10"/>
    <n v="15"/>
    <m/>
    <x v="2"/>
    <s v="Completamente"/>
    <x v="3"/>
    <x v="11"/>
    <s v="Despejado luna llena"/>
    <s v="Bosque secundario"/>
    <s v="John Sebastian Ovalle Talaga"/>
    <s v="Herbaceo 0.3-1.5 m"/>
    <s v="Pristimantis erythropleura"/>
    <n v="1"/>
    <m/>
    <m/>
    <m/>
    <s v="Ninguna"/>
    <s v="Macho"/>
    <s v="Visual"/>
  </r>
  <r>
    <d v="2024-10-18T00:00:00"/>
    <d v="2024-10-18T00:00:00"/>
    <s v="John Sebastian Ovalle Talaga"/>
    <s v="1:13:46 a. m."/>
    <n v="-76.644698333333295"/>
    <s v="3.349711666666667"/>
    <n v="2475"/>
    <m/>
    <x v="1"/>
    <n v="10"/>
    <n v="15"/>
    <m/>
    <x v="2"/>
    <s v="Completamente"/>
    <x v="3"/>
    <x v="11"/>
    <s v="Despejado luna llena"/>
    <s v="Bosque secundario"/>
    <s v="John Sebastian Ovalle Talaga"/>
    <s v="Herbaceo 0.3-1.5 m"/>
    <s v="Pristimantis erythropleura"/>
    <n v="1"/>
    <m/>
    <m/>
    <m/>
    <s v="Ninguna"/>
    <s v="Hembra"/>
    <s v="Visual"/>
  </r>
  <r>
    <d v="2024-10-17T00:00:00"/>
    <d v="2024-10-17T00:00:00"/>
    <s v="Leonardo Belalcazar Salcedo"/>
    <s v="12:28:59 p. m."/>
    <n v="-76.722630239756597"/>
    <s v="3.4883390496016653"/>
    <n v="1949"/>
    <n v="2"/>
    <x v="1"/>
    <n v="40"/>
    <n v="15"/>
    <m/>
    <x v="1"/>
    <s v="Parcialmente"/>
    <x v="0"/>
    <x v="7"/>
    <s v="Despejado"/>
    <s v="Bosque primario"/>
    <m/>
    <m/>
    <s v="Ninguna"/>
    <n v="0"/>
    <m/>
    <m/>
    <m/>
    <s v="Ninguna"/>
    <m/>
    <m/>
  </r>
  <r>
    <d v="2024-10-17T00:00:00"/>
    <d v="2024-10-17T00:00:00"/>
    <s v="Leonardo Belalcazar Salcedo"/>
    <s v="10:02:48 a. m."/>
    <n v="-76.718428816711196"/>
    <s v="3.485179691111327"/>
    <n v="1944"/>
    <n v="1"/>
    <x v="1"/>
    <n v="30"/>
    <n v="5"/>
    <m/>
    <x v="1"/>
    <s v="Completamente"/>
    <x v="1"/>
    <x v="7"/>
    <s v="Despejado"/>
    <s v="Bosque secundario"/>
    <m/>
    <m/>
    <s v="Ninguna"/>
    <n v="0"/>
    <m/>
    <m/>
    <m/>
    <s v="Ninguna"/>
    <m/>
    <m/>
  </r>
  <r>
    <d v="2024-10-17T00:00:00"/>
    <d v="2024-10-17T00:00:00"/>
    <s v="Leonardo Belalcazar Salcedo"/>
    <s v="10:38:09 a. m."/>
    <n v="-76.718954812742396"/>
    <s v="3.487519454459033"/>
    <n v="1925"/>
    <n v="0"/>
    <x v="1"/>
    <n v="10"/>
    <n v="5"/>
    <m/>
    <x v="1"/>
    <s v="Completamente"/>
    <x v="4"/>
    <x v="7"/>
    <s v="Despejado"/>
    <s v="Potrero"/>
    <m/>
    <m/>
    <s v="Ninguna"/>
    <n v="0"/>
    <m/>
    <m/>
    <m/>
    <s v="Ganaderia"/>
    <m/>
    <m/>
  </r>
  <r>
    <d v="2024-10-17T00:00:00"/>
    <d v="2024-10-17T00:00:00"/>
    <s v="Leonardo Belalcazar Salcedo"/>
    <s v="10:25:20 a. m."/>
    <n v="-76.718291609963103"/>
    <s v="3.4863903314796563"/>
    <n v="1922"/>
    <n v="0"/>
    <x v="1"/>
    <n v="10"/>
    <n v="5"/>
    <m/>
    <x v="1"/>
    <s v="Completamente"/>
    <x v="3"/>
    <x v="7"/>
    <s v="Despejado"/>
    <s v="Potrero"/>
    <m/>
    <m/>
    <s v="Ninguna"/>
    <n v="0"/>
    <m/>
    <m/>
    <m/>
    <s v="Ganaderia"/>
    <m/>
    <m/>
  </r>
  <r>
    <d v="2024-10-17T00:00:00"/>
    <d v="2024-10-17T00:00:00"/>
    <s v="Leonardo Belalcazar Salcedo"/>
    <s v="10:15:02 a. m."/>
    <n v="-76.717722886287802"/>
    <s v="3.485876102904034"/>
    <n v="1931"/>
    <n v="1"/>
    <x v="1"/>
    <n v="25"/>
    <n v="10"/>
    <m/>
    <x v="1"/>
    <s v="Completamente"/>
    <x v="2"/>
    <x v="7"/>
    <s v="Despejado"/>
    <s v="Bosque secundario"/>
    <m/>
    <m/>
    <s v="Ninguna"/>
    <n v="0"/>
    <m/>
    <m/>
    <m/>
    <s v="Ganaderia"/>
    <m/>
    <m/>
  </r>
  <r>
    <d v="2024-10-17T00:00:00"/>
    <d v="2024-10-17T00:00:00"/>
    <s v="Leonardo Belalcazar Salcedo"/>
    <s v="12:38:42 p. m."/>
    <n v="-76.722455602859895"/>
    <s v="3.4892378482594637"/>
    <n v="1917"/>
    <n v="2"/>
    <x v="1"/>
    <n v="30"/>
    <n v="10"/>
    <m/>
    <x v="1"/>
    <s v="Completamente"/>
    <x v="1"/>
    <x v="7"/>
    <s v="Despejado"/>
    <s v="Bosque primario"/>
    <m/>
    <m/>
    <s v="Ninguna"/>
    <n v="0"/>
    <m/>
    <m/>
    <m/>
    <s v="Ninguna"/>
    <m/>
    <m/>
  </r>
  <r>
    <d v="2024-10-17T00:00:00"/>
    <d v="2024-10-17T00:00:00"/>
    <s v="Leonardo Belalcazar Salcedo"/>
    <s v="6:35:38 p. m."/>
    <n v="-76.718558122467599"/>
    <s v="3.4852035499370255"/>
    <n v="1960"/>
    <n v="2"/>
    <x v="1"/>
    <n v="35"/>
    <n v="15"/>
    <m/>
    <x v="1"/>
    <s v="Completamente"/>
    <x v="1"/>
    <x v="7"/>
    <s v="Llovizna"/>
    <s v="Bosque primario"/>
    <s v="Delia Maribel Cuspian"/>
    <s v="Herbaceo 0.3-1.5 m"/>
    <s v="Pristimantis erythropleura"/>
    <n v="1"/>
    <m/>
    <m/>
    <m/>
    <s v="Ninguna"/>
    <s v="Macho"/>
    <s v="Visual"/>
  </r>
  <r>
    <d v="2024-10-17T00:00:00"/>
    <d v="2024-10-17T00:00:00"/>
    <s v="Leonardo Belalcazar Salcedo"/>
    <s v="12:45:18 p. m."/>
    <n v="-76.7223592134999"/>
    <s v="3.4900722305061636"/>
    <n v="1908"/>
    <n v="2"/>
    <x v="1"/>
    <n v="25"/>
    <n v="10"/>
    <m/>
    <x v="1"/>
    <s v="Completamente"/>
    <x v="2"/>
    <x v="7"/>
    <s v="Despejado"/>
    <s v="Bosque secundario"/>
    <m/>
    <m/>
    <s v="Ninguna"/>
    <n v="0"/>
    <m/>
    <m/>
    <m/>
    <m/>
    <m/>
    <m/>
  </r>
  <r>
    <d v="2024-10-17T00:00:00"/>
    <d v="2024-10-17T00:00:00"/>
    <s v="Leonardo Belalcazar Salcedo"/>
    <s v="6:12:13 p. m."/>
    <n v="-76.718851542171706"/>
    <n v="3.4849325660661701"/>
    <n v="1959"/>
    <n v="2"/>
    <x v="1"/>
    <n v="35"/>
    <n v="15"/>
    <m/>
    <x v="1"/>
    <s v="No se pudo realizar"/>
    <x v="0"/>
    <x v="7"/>
    <m/>
    <m/>
    <m/>
    <m/>
    <m/>
    <m/>
    <m/>
    <m/>
    <m/>
    <m/>
    <m/>
    <m/>
  </r>
  <r>
    <d v="2024-10-17T00:00:00"/>
    <d v="2024-10-17T00:00:00"/>
    <s v="Leonardo Belalcazar Salcedo"/>
    <s v="5:32:03 p. m."/>
    <n v="-76.713701529101698"/>
    <s v="3.4882166934246643"/>
    <n v="1853"/>
    <n v="2"/>
    <x v="1"/>
    <n v="20"/>
    <n v="0"/>
    <m/>
    <x v="1"/>
    <s v="No se pudo realizar"/>
    <x v="0"/>
    <x v="12"/>
    <s v="Llovizna"/>
    <s v="Bosque ripario"/>
    <m/>
    <m/>
    <s v="Ninguna"/>
    <n v="0"/>
    <m/>
    <m/>
    <m/>
    <m/>
    <m/>
    <m/>
  </r>
  <r>
    <d v="2024-10-17T00:00:00"/>
    <d v="2024-10-17T00:00:00"/>
    <s v="Leonardo Belalcazar Salcedo"/>
    <s v="6:58:38 p. m."/>
    <n v="-76.717857644685296"/>
    <s v="3.485697496388599"/>
    <n v="1932"/>
    <n v="2"/>
    <x v="1"/>
    <n v="25"/>
    <n v="15"/>
    <m/>
    <x v="1"/>
    <s v="Completamente"/>
    <x v="2"/>
    <x v="7"/>
    <s v="Llovizna"/>
    <s v="Bosque secundario"/>
    <s v="Delia Maribel Cuspian"/>
    <s v="Arbustivo 1.5-5 m"/>
    <s v="Pristimantis palmeri"/>
    <n v="1"/>
    <m/>
    <m/>
    <m/>
    <s v="Ganaderia"/>
    <s v="Indeterminado"/>
    <s v="Visual"/>
  </r>
  <r>
    <d v="2024-10-17T00:00:00"/>
    <d v="2024-10-17T00:00:00"/>
    <s v="Leonardo Belalcazar Salcedo"/>
    <s v="6:53:45 p. m."/>
    <n v="-76.718067287616805"/>
    <n v="3.4852164102690999"/>
    <n v="1932"/>
    <n v="2"/>
    <x v="1"/>
    <n v="25"/>
    <n v="15"/>
    <m/>
    <x v="1"/>
    <s v="Completamente"/>
    <x v="2"/>
    <x v="7"/>
    <s v="Llovizna"/>
    <s v="Bosque primario"/>
    <s v="Leonardo Belalcazar Salcedo"/>
    <s v="Herbaceo 0.3-1.5 m"/>
    <s v="Pristimantis molybrignus"/>
    <n v="1"/>
    <m/>
    <m/>
    <m/>
    <s v="Ninguna"/>
    <s v="Hembra"/>
    <s v="Visual"/>
  </r>
  <r>
    <d v="2024-10-17T00:00:00"/>
    <d v="2024-10-17T00:00:00"/>
    <s v="Leonardo Belalcazar Salcedo"/>
    <s v="6:48:19 p. m."/>
    <n v="-76.718306666840803"/>
    <n v="3.4851529204479599"/>
    <n v="1932"/>
    <n v="2"/>
    <x v="1"/>
    <n v="25"/>
    <n v="15"/>
    <m/>
    <x v="1"/>
    <s v="Completamente"/>
    <x v="2"/>
    <x v="7"/>
    <s v="Llovizna"/>
    <s v="Bosque primario"/>
    <s v="Leonardo Belalcazar Salcedo"/>
    <s v="Herbaceo 0.3-1.5 m"/>
    <s v="No identificada"/>
    <n v="1"/>
    <s v="Rana de cristal con cola"/>
    <m/>
    <m/>
    <s v="Ninguna"/>
    <s v="Indeterminado"/>
    <s v="Visual"/>
  </r>
  <r>
    <d v="2024-10-17T00:00:00"/>
    <d v="2024-10-17T00:00:00"/>
    <s v="Leonardo Belalcazar Salcedo"/>
    <s v="8:39:54 p. m."/>
    <n v="-76.722638365091797"/>
    <s v="3.489290653192951"/>
    <n v="1921"/>
    <n v="2"/>
    <x v="1"/>
    <n v="25"/>
    <n v="5"/>
    <m/>
    <x v="1"/>
    <s v="Completamente"/>
    <x v="1"/>
    <x v="7"/>
    <s v="Despejado luna llena"/>
    <s v="Bosque ripario"/>
    <m/>
    <m/>
    <s v="Ninguna"/>
    <n v="0"/>
    <m/>
    <m/>
    <m/>
    <s v="Ninguna"/>
    <m/>
    <m/>
  </r>
  <r>
    <d v="2024-10-17T00:00:00"/>
    <d v="2024-10-17T00:00:00"/>
    <s v="Leonardo Belalcazar Salcedo"/>
    <s v="7:17:02 p. m."/>
    <n v="-76.718320207367398"/>
    <s v="3.4861963594429697"/>
    <n v="1917"/>
    <n v="0"/>
    <x v="1"/>
    <n v="15"/>
    <n v="10"/>
    <m/>
    <x v="1"/>
    <s v="Completamente"/>
    <x v="3"/>
    <x v="7"/>
    <s v="Despejado luna llena"/>
    <s v="Potrero"/>
    <m/>
    <m/>
    <s v="Ninguna"/>
    <n v="0"/>
    <m/>
    <m/>
    <m/>
    <m/>
    <m/>
    <m/>
  </r>
  <r>
    <d v="2024-10-17T00:00:00"/>
    <d v="2024-10-17T00:00:00"/>
    <s v="Leonardo Belalcazar Salcedo"/>
    <s v="7:27:44 p. m."/>
    <n v="-76.719014103796994"/>
    <s v="3.487636782728304"/>
    <n v="1913"/>
    <n v="0"/>
    <x v="1"/>
    <n v="10"/>
    <n v="5"/>
    <m/>
    <x v="1"/>
    <s v="Completamente"/>
    <x v="4"/>
    <x v="7"/>
    <s v="Despejado luna llena"/>
    <s v="Potrero"/>
    <m/>
    <m/>
    <s v="Ninguna"/>
    <n v="0"/>
    <m/>
    <m/>
    <m/>
    <s v="Ganaderia"/>
    <m/>
    <m/>
  </r>
  <r>
    <d v="2024-10-17T00:00:00"/>
    <d v="2024-10-17T00:00:00"/>
    <s v="Leonardo Belalcazar Salcedo"/>
    <s v="8:13:00 p. m."/>
    <n v="-76.722468968835898"/>
    <s v="3.4882301717642585"/>
    <n v="1921"/>
    <n v="2"/>
    <x v="1"/>
    <n v="25"/>
    <n v="5"/>
    <m/>
    <x v="1"/>
    <s v="Parcialmente"/>
    <x v="0"/>
    <x v="7"/>
    <s v="Despejado luna llena"/>
    <s v="Bosque ripario"/>
    <m/>
    <m/>
    <s v="Ninguna"/>
    <n v="0"/>
    <m/>
    <m/>
    <m/>
    <s v="Ninguna"/>
    <m/>
    <m/>
  </r>
  <r>
    <d v="2024-10-17T00:00:00"/>
    <d v="2024-10-17T00:00:00"/>
    <s v="Leonardo Belalcazar Salcedo"/>
    <s v="8:48:20 p. m."/>
    <n v="-76.722386178064198"/>
    <s v="3.4896020365352687"/>
    <n v="1910"/>
    <n v="2"/>
    <x v="1"/>
    <n v="20"/>
    <n v="5"/>
    <m/>
    <x v="1"/>
    <s v="Completamente"/>
    <x v="2"/>
    <x v="7"/>
    <s v="Despejado luna llena"/>
    <s v="Bosque ripario"/>
    <s v="Delia Maribel Cuspian"/>
    <s v="Arbustivo 1.5-5 m"/>
    <s v="Pristimantis gracilis"/>
    <n v="1"/>
    <m/>
    <m/>
    <m/>
    <s v="Ninguna"/>
    <s v="Indeterminado"/>
    <s v="Visual"/>
  </r>
  <r>
    <d v="2024-10-17T00:00:00"/>
    <d v="2024-10-17T00:00:00"/>
    <s v="John Sebastian Ovalle Talaga"/>
    <s v="1:44:43 a. m."/>
    <n v="-76.653111666666604"/>
    <s v="3.353533333333333"/>
    <n v="2585"/>
    <m/>
    <x v="1"/>
    <n v="20"/>
    <n v="15"/>
    <m/>
    <x v="2"/>
    <s v="Completamente"/>
    <x v="4"/>
    <x v="13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:39:57 a. m."/>
    <n v="-76.653188333333304"/>
    <n v="3.3536450000000002"/>
    <n v="2585"/>
    <m/>
    <x v="1"/>
    <n v="20"/>
    <n v="15"/>
    <m/>
    <x v="2"/>
    <s v="Completamente"/>
    <x v="4"/>
    <x v="13"/>
    <s v="Despejado luna llena"/>
    <s v="Bosque secundario"/>
    <s v="John Sebastian Ovalle Talaga"/>
    <s v="Arbustivo 1.5-5 m"/>
    <s v="Pristimantis palmeri"/>
    <n v="5"/>
    <s v="Pi"/>
    <m/>
    <m/>
    <s v="Ninguna"/>
    <s v="Indeterminado"/>
    <s v="Auditivo"/>
  </r>
  <r>
    <d v="2024-10-17T00:00:00"/>
    <d v="2024-10-17T00:00:00"/>
    <s v="John Sebastian Ovalle Talaga"/>
    <s v="1:26:15 a. m."/>
    <n v="-76.653499999999994"/>
    <s v="3.3533449999999996"/>
    <n v="2585"/>
    <m/>
    <x v="1"/>
    <n v="20"/>
    <n v="15"/>
    <m/>
    <x v="2"/>
    <s v="Completamente"/>
    <x v="4"/>
    <x v="13"/>
    <s v="Despejado luna llena"/>
    <s v="Bosque secundario"/>
    <s v="Ricardo Ocampo"/>
    <s v="Arbustivo 1.5-5 m"/>
    <s v="Pristimantis palmeri"/>
    <n v="8"/>
    <s v="Revisa fotos"/>
    <m/>
    <m/>
    <s v="Ninguna"/>
    <s v="Macho"/>
    <s v="Auditivo, Visual"/>
  </r>
  <r>
    <d v="2024-10-17T00:00:00"/>
    <d v="2024-10-17T00:00:00"/>
    <s v="John Sebastian Ovalle Talaga"/>
    <s v="1:50:54 a. m."/>
    <n v="-76.653068333333295"/>
    <s v="3.3535299999999997"/>
    <n v="2569"/>
    <m/>
    <x v="1"/>
    <n v="18"/>
    <n v="10"/>
    <m/>
    <x v="2"/>
    <s v="Completamente"/>
    <x v="3"/>
    <x v="13"/>
    <s v="Despejado luna llena"/>
    <s v="Bosque secundario"/>
    <s v="Angie Alejandra Loaiza Lopez"/>
    <s v="Herbaceo 0.3-1.5 m"/>
    <s v="Pristimantis palmeri"/>
    <n v="5"/>
    <m/>
    <m/>
    <m/>
    <s v="Ninguna"/>
    <s v="Indeterminado"/>
    <s v="Auditivo, Visual"/>
  </r>
  <r>
    <d v="2024-10-17T00:00:00"/>
    <d v="2024-10-17T00:00:00"/>
    <s v="John Sebastian Ovalle Talaga"/>
    <s v="3:47:48 a. m."/>
    <n v="-76.647908333333305"/>
    <s v="3.3522716666666668"/>
    <n v="2508"/>
    <m/>
    <x v="1"/>
    <n v="20"/>
    <n v="3"/>
    <m/>
    <x v="2"/>
    <s v="Completamente"/>
    <x v="0"/>
    <x v="13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3:40:54 a. m."/>
    <n v="-76.648004999999998"/>
    <n v="3.352325"/>
    <n v="2508"/>
    <m/>
    <x v="1"/>
    <n v="20"/>
    <n v="3"/>
    <m/>
    <x v="2"/>
    <s v="Completamente"/>
    <x v="0"/>
    <x v="13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2:23:54 a. m."/>
    <n v="-76.652204999999995"/>
    <s v="3.3535933333333334"/>
    <n v="2562"/>
    <m/>
    <x v="1"/>
    <n v="18"/>
    <n v="5"/>
    <m/>
    <x v="2"/>
    <s v="Completamente"/>
    <x v="3"/>
    <x v="13"/>
    <s v="Despejado luna llena"/>
    <s v="Bosque secundario"/>
    <s v="Ricardo Ocampo"/>
    <s v="Herbaceo 0.3-1.5 m"/>
    <s v="Pristimantis palmeri"/>
    <n v="4"/>
    <m/>
    <m/>
    <m/>
    <s v="Ninguna"/>
    <s v="Indeterminado"/>
    <s v="Visual"/>
  </r>
  <r>
    <d v="2024-10-17T00:00:00"/>
    <d v="2024-10-17T00:00:00"/>
    <s v="John Sebastian Ovalle Talaga"/>
    <s v="2:18:42 a. m."/>
    <n v="-76.652434999999997"/>
    <s v="3.3535749999999998"/>
    <n v="2562"/>
    <m/>
    <x v="1"/>
    <n v="18"/>
    <n v="5"/>
    <m/>
    <x v="2"/>
    <s v="Completamente"/>
    <x v="3"/>
    <x v="13"/>
    <s v="Despejado luna llena"/>
    <s v="Bosque secundario"/>
    <s v="John Sebastian Ovalle Talaga"/>
    <s v="Arbustivo 1.5-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2:15:12 a. m."/>
    <n v="-76.652411666666595"/>
    <s v="3.353651666666667"/>
    <n v="2562"/>
    <m/>
    <x v="1"/>
    <n v="18"/>
    <n v="5"/>
    <m/>
    <x v="2"/>
    <s v="Completamente"/>
    <x v="3"/>
    <x v="13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3:22:22 a. m."/>
    <n v="-76.648406666666602"/>
    <s v="3.352778333333333"/>
    <n v="2541"/>
    <m/>
    <x v="1"/>
    <n v="20"/>
    <n v="5"/>
    <m/>
    <x v="2"/>
    <s v="Completamente"/>
    <x v="1"/>
    <x v="13"/>
    <s v="Despejado luna llena"/>
    <s v="Bosque secundario"/>
    <s v="Ricardo Ocampo"/>
    <s v="Arbustivo 1.5-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3:17:20 a. m."/>
    <n v="-76.648738333333299"/>
    <s v="3.3528699999999994"/>
    <n v="2541"/>
    <m/>
    <x v="1"/>
    <n v="20"/>
    <n v="5"/>
    <m/>
    <x v="2"/>
    <s v="Completamente"/>
    <x v="1"/>
    <x v="13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3:10:52 a. m."/>
    <n v="-76.648894999999996"/>
    <s v="3.3529883333333337"/>
    <n v="2541"/>
    <m/>
    <x v="1"/>
    <n v="20"/>
    <n v="5"/>
    <m/>
    <x v="2"/>
    <s v="Completamente"/>
    <x v="1"/>
    <x v="13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3:06:11 a. m."/>
    <n v="-76.649163333333306"/>
    <s v="3.3529766666666667"/>
    <n v="2541"/>
    <m/>
    <x v="1"/>
    <n v="20"/>
    <n v="5"/>
    <m/>
    <x v="2"/>
    <s v="Completamente"/>
    <x v="1"/>
    <x v="13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2:59:28 a. m."/>
    <n v="-76.649963333333304"/>
    <s v="3.352961666666667"/>
    <n v="2541"/>
    <m/>
    <x v="1"/>
    <n v="20"/>
    <n v="5"/>
    <m/>
    <x v="2"/>
    <s v="Completamente"/>
    <x v="1"/>
    <x v="13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2:56:29 a. m."/>
    <n v="-76.655226666666593"/>
    <s v="3.3539283333333336"/>
    <n v="2615"/>
    <m/>
    <x v="1"/>
    <n v="15"/>
    <n v="30"/>
    <m/>
    <x v="2"/>
    <s v="Completamente"/>
    <x v="0"/>
    <x v="14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2:52:31 a. m."/>
    <n v="-76.655405000000002"/>
    <s v="3.3539383333333337"/>
    <n v="2615"/>
    <m/>
    <x v="1"/>
    <n v="15"/>
    <n v="30"/>
    <m/>
    <x v="2"/>
    <s v="Completamente"/>
    <x v="0"/>
    <x v="14"/>
    <s v="Despejado luna llena"/>
    <s v="Bosque secundario"/>
    <s v="Ricardo Ocampo"/>
    <s v="Arbustivo 1.5-5 m"/>
    <s v="Pristimantis acatallelus"/>
    <n v="1"/>
    <m/>
    <m/>
    <m/>
    <s v="Ninguna"/>
    <s v="Macho"/>
    <s v="Visual"/>
  </r>
  <r>
    <d v="2024-10-17T00:00:00"/>
    <d v="2024-10-17T00:00:00"/>
    <s v="John Sebastian Ovalle Talaga"/>
    <s v="12:49:53 a. m."/>
    <n v="-76.655493333333297"/>
    <s v="3.3540349999999997"/>
    <n v="2615"/>
    <m/>
    <x v="1"/>
    <n v="15"/>
    <n v="30"/>
    <m/>
    <x v="2"/>
    <s v="Completamente"/>
    <x v="0"/>
    <x v="14"/>
    <s v="Despejado luna llena"/>
    <s v="Bosque secundario"/>
    <s v="John Sebastian Ovalle Talaga"/>
    <s v="Arbustivo 1.5-5 m"/>
    <s v="Pristimantis palmeri"/>
    <n v="1"/>
    <m/>
    <m/>
    <m/>
    <s v="Ninguna"/>
    <s v="Indeterminado"/>
    <s v="Auditivo"/>
  </r>
  <r>
    <d v="2024-10-17T00:00:00"/>
    <d v="2024-10-17T00:00:00"/>
    <s v="John Sebastian Ovalle Talaga"/>
    <s v="12:44:23 a. m."/>
    <n v="-76.655956666666597"/>
    <s v="3.3542333333333336"/>
    <n v="2615"/>
    <m/>
    <x v="1"/>
    <n v="15"/>
    <n v="30"/>
    <m/>
    <x v="2"/>
    <s v="Completamente"/>
    <x v="0"/>
    <x v="14"/>
    <s v="Despejado luna llena"/>
    <s v="Bosque secundario"/>
    <s v="Angie Alejandra Loaiza Lopez"/>
    <s v="Rasante &lt;0.3 m"/>
    <s v="Pristimantis acatallelus"/>
    <n v="1"/>
    <m/>
    <m/>
    <m/>
    <s v="Ninguna"/>
    <s v="Hembra"/>
    <s v="Visual"/>
  </r>
  <r>
    <d v="2024-10-17T00:00:00"/>
    <d v="2024-10-17T00:00:00"/>
    <s v="John Sebastian Ovalle Talaga"/>
    <s v="12:37:54 a. m."/>
    <n v="-76.655735000000007"/>
    <n v="3.3542800000000002"/>
    <n v="2615"/>
    <m/>
    <x v="1"/>
    <n v="15"/>
    <n v="30"/>
    <m/>
    <x v="2"/>
    <s v="Completamente"/>
    <x v="0"/>
    <x v="14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2:54:18 a. m."/>
    <n v="-76.649813333333299"/>
    <n v="3.3527849999999999"/>
    <n v="2542"/>
    <m/>
    <x v="1"/>
    <n v="15"/>
    <n v="3"/>
    <m/>
    <x v="2"/>
    <s v="Completamente"/>
    <x v="2"/>
    <x v="13"/>
    <s v="Despejado luna llena"/>
    <s v="Bosque secundario"/>
    <s v="John Sebastian Ovalle Talaga"/>
    <s v="Arbustivo 1.5-5 m"/>
    <s v="Bolitoglossa walkeri"/>
    <n v="1"/>
    <m/>
    <m/>
    <m/>
    <s v="Ninguna"/>
    <s v="Indeterminado"/>
    <s v="Visual"/>
  </r>
  <r>
    <d v="2024-10-17T00:00:00"/>
    <d v="2024-10-17T00:00:00"/>
    <s v="John Sebastian Ovalle Talaga"/>
    <s v="2:51:20 a. m."/>
    <n v="-76.649781666666598"/>
    <s v="3.3529766666666667"/>
    <n v="2542"/>
    <m/>
    <x v="1"/>
    <n v="15"/>
    <n v="3"/>
    <m/>
    <x v="2"/>
    <s v="Completamente"/>
    <x v="2"/>
    <x v="13"/>
    <s v="Despejado luna llena"/>
    <s v="Bosque secundario"/>
    <s v="Ricardo Ocampo"/>
    <s v="Herbaceo 0.3-1.5 m"/>
    <s v="Pristimantis palmeri"/>
    <n v="4"/>
    <m/>
    <m/>
    <m/>
    <s v="Ninguna"/>
    <s v="Indeterminado"/>
    <s v="Visual"/>
  </r>
  <r>
    <d v="2024-10-17T00:00:00"/>
    <d v="2024-10-17T00:00:00"/>
    <s v="John Sebastian Ovalle Talaga"/>
    <s v="2:48:04 a. m."/>
    <n v="-76.650018333333307"/>
    <s v="3.3530466666666663"/>
    <n v="2542"/>
    <m/>
    <x v="1"/>
    <n v="15"/>
    <n v="3"/>
    <m/>
    <x v="2"/>
    <s v="Completamente"/>
    <x v="2"/>
    <x v="13"/>
    <s v="Despejado luna llena"/>
    <s v="Bosque secundario"/>
    <s v="Ricardo Ocampo"/>
    <s v="Herbaceo 0.3-1.5 m"/>
    <s v="Pristimantis palmeri"/>
    <n v="1"/>
    <m/>
    <m/>
    <m/>
    <s v="Ninguna"/>
    <m/>
    <s v="Visual"/>
  </r>
  <r>
    <d v="2024-10-17T00:00:00"/>
    <d v="2024-10-17T00:00:00"/>
    <s v="John Sebastian Ovalle Talaga"/>
    <s v="7:44:07 p. m."/>
    <n v="-76.640088333333296"/>
    <n v="3.3505400000000001"/>
    <n v="2382"/>
    <m/>
    <x v="1"/>
    <n v="10"/>
    <n v="30"/>
    <m/>
    <x v="2"/>
    <s v="Completamente"/>
    <x v="2"/>
    <x v="15"/>
    <s v="Parcialmente nublado"/>
    <s v="Bosque secundario"/>
    <s v="Guillermo Pantoja"/>
    <s v="Herbaceo 0.3-1.5 m"/>
    <s v="No identificada"/>
    <n v="2"/>
    <s v="Fotografias despues curculionido. Dos lineas laterales"/>
    <m/>
    <m/>
    <s v="Ninguna"/>
    <s v="Indeterminado"/>
    <s v="Visual"/>
  </r>
  <r>
    <d v="2024-10-17T00:00:00"/>
    <d v="2024-10-17T00:00:00"/>
    <s v="John Sebastian Ovalle Talaga"/>
    <s v="7:43:14 p. m."/>
    <n v="-76.640098333333299"/>
    <s v="3.350556666666666"/>
    <n v="2382"/>
    <m/>
    <x v="1"/>
    <n v="10"/>
    <n v="30"/>
    <m/>
    <x v="2"/>
    <s v="Completamente"/>
    <x v="2"/>
    <x v="15"/>
    <s v="Parcialmente nublado"/>
    <s v="Bosque secundario"/>
    <s v="Ricardo Ocampo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7:26:40 p. m."/>
    <n v="-76.640021666666598"/>
    <s v="3.350531666666667"/>
    <n v="2382"/>
    <m/>
    <x v="1"/>
    <n v="10"/>
    <n v="30"/>
    <m/>
    <x v="2"/>
    <s v="Completamente"/>
    <x v="2"/>
    <x v="15"/>
    <s v="Parcialmente nublado"/>
    <s v="Bosque secundario"/>
    <s v="Ricardo Ocampo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7:22:19 p. m."/>
    <n v="-76.639856666666603"/>
    <s v="3.3507983333333335"/>
    <n v="2382"/>
    <m/>
    <x v="1"/>
    <n v="10"/>
    <n v="30"/>
    <m/>
    <x v="2"/>
    <s v="Completamente"/>
    <x v="2"/>
    <x v="15"/>
    <s v="Parcialmente nublado"/>
    <s v="Bosque secundario"/>
    <s v="Ricardo Ocampo"/>
    <s v="Arbustivo 1.5-5 m"/>
    <s v="Pristimantis palmeri"/>
    <n v="6"/>
    <m/>
    <m/>
    <m/>
    <s v="Ninguna"/>
    <s v="Indeterminado"/>
    <s v="Visual"/>
  </r>
  <r>
    <d v="2024-10-17T00:00:00"/>
    <d v="2024-10-17T00:00:00"/>
    <s v="John Sebastian Ovalle Talaga"/>
    <s v="7:17:37 p. m."/>
    <n v="-76.639863333333295"/>
    <s v="3.3508266666666664"/>
    <n v="2382"/>
    <m/>
    <x v="1"/>
    <n v="10"/>
    <n v="30"/>
    <m/>
    <x v="2"/>
    <s v="Completamente"/>
    <x v="2"/>
    <x v="15"/>
    <s v="Parcialmente nublado"/>
    <s v="Bosque secundario"/>
    <s v="John Sebastian Ovalle Talaga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7:13:17 p. m."/>
    <n v="-76.639763333333306"/>
    <s v="3.350598333333334"/>
    <n v="2382"/>
    <m/>
    <x v="1"/>
    <n v="10"/>
    <n v="30"/>
    <m/>
    <x v="2"/>
    <s v="Completamente"/>
    <x v="2"/>
    <x v="15"/>
    <s v="Nublado"/>
    <s v="Bosque secundario"/>
    <s v="Guillermo Pantoja"/>
    <s v="Rasante &lt;0.3 m"/>
    <s v="Pristimantis palmeri"/>
    <n v="3"/>
    <m/>
    <m/>
    <m/>
    <s v="Ninguna"/>
    <s v="Indeterminado"/>
    <s v="Visual"/>
  </r>
  <r>
    <d v="2024-10-17T00:00:00"/>
    <d v="2024-10-17T00:00:00"/>
    <s v="John Sebastian Ovalle Talaga"/>
    <s v="7:10:14 p. m."/>
    <n v="-76.639804999999996"/>
    <n v="3.3506049999999998"/>
    <n v="2382"/>
    <m/>
    <x v="1"/>
    <n v="10"/>
    <n v="30"/>
    <m/>
    <x v="2"/>
    <s v="Completamente"/>
    <x v="2"/>
    <x v="15"/>
    <s v="Nublado"/>
    <s v="Bosque secundario"/>
    <s v="John Sebastian Ovalle Talaga"/>
    <s v="Rasante &lt;0.3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7:06:33 p. m."/>
    <n v="-76.639753333333303"/>
    <s v="3.3508250000000004"/>
    <n v="2382"/>
    <m/>
    <x v="1"/>
    <n v="10"/>
    <n v="30"/>
    <m/>
    <x v="2"/>
    <s v="Completamente"/>
    <x v="2"/>
    <x v="15"/>
    <s v="Nublado"/>
    <s v="Bosque secundario"/>
    <s v="Ricardo Ocampo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7:04:39 p. m."/>
    <n v="-76.639591666666604"/>
    <n v="3.350695"/>
    <n v="2382"/>
    <m/>
    <x v="1"/>
    <n v="10"/>
    <n v="30"/>
    <m/>
    <x v="2"/>
    <s v="Completamente"/>
    <x v="2"/>
    <x v="15"/>
    <s v="Nublado"/>
    <s v="Bosque secundario"/>
    <s v="Ricardo Ocampo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7:02:39 p. m."/>
    <n v="-76.639525000000006"/>
    <s v="3.3506349999999996"/>
    <n v="2382"/>
    <m/>
    <x v="1"/>
    <n v="10"/>
    <n v="30"/>
    <m/>
    <x v="2"/>
    <s v="Completamente"/>
    <x v="2"/>
    <x v="15"/>
    <s v="Nublado"/>
    <s v="Bosque secundario"/>
    <s v="John Sebastian Ovalle Talaga"/>
    <s v="Herbaceo 0.3-1.5 m"/>
    <s v="Pristimantis palmeri"/>
    <n v="4"/>
    <m/>
    <m/>
    <m/>
    <s v="Ninguna"/>
    <s v="Indeterminado"/>
    <s v="Visual"/>
  </r>
  <r>
    <d v="2024-10-17T00:00:00"/>
    <d v="2024-10-17T00:00:00"/>
    <s v="John Sebastian Ovalle Talaga"/>
    <s v="6:58:48 p. m."/>
    <n v="-76.639515000000003"/>
    <s v="3.3506933333333335"/>
    <n v="2382"/>
    <m/>
    <x v="1"/>
    <n v="10"/>
    <n v="30"/>
    <m/>
    <x v="2"/>
    <s v="Completamente"/>
    <x v="2"/>
    <x v="15"/>
    <s v="Nublado"/>
    <s v="Bosque secundario"/>
    <s v="Ricardo Ocampo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6:57:07 p. m."/>
    <n v="-76.639525000000006"/>
    <n v="3.3507099999999999"/>
    <n v="2382"/>
    <m/>
    <x v="1"/>
    <n v="10"/>
    <n v="30"/>
    <m/>
    <x v="2"/>
    <s v="Completamente"/>
    <x v="2"/>
    <x v="15"/>
    <s v="Nublado"/>
    <s v="Bosque secundario"/>
    <m/>
    <s v="Herbaceo 0.3-1.5 m"/>
    <s v="No identificada"/>
    <n v="1"/>
    <s v="Chivo "/>
    <m/>
    <m/>
    <s v="Ninguna"/>
    <s v="Indeterminado"/>
    <s v="Auditivo"/>
  </r>
  <r>
    <d v="2024-10-17T00:00:00"/>
    <d v="2024-10-17T00:00:00"/>
    <s v="John Sebastian Ovalle Talaga"/>
    <s v="6:56:21 p. m."/>
    <n v="-76.639505"/>
    <n v="3.350705"/>
    <n v="2382"/>
    <m/>
    <x v="1"/>
    <n v="10"/>
    <n v="30"/>
    <m/>
    <x v="2"/>
    <s v="Completamente"/>
    <x v="2"/>
    <x v="15"/>
    <s v="Nublado"/>
    <s v="Bosque secundario"/>
    <s v="Guillermo Pantoja"/>
    <s v="Rasante &lt;0.3 m"/>
    <s v="Pristimantis palmeri"/>
    <n v="3"/>
    <m/>
    <m/>
    <m/>
    <s v="Ninguna"/>
    <s v="Indeterminado"/>
    <s v="Visual"/>
  </r>
  <r>
    <d v="2024-10-17T00:00:00"/>
    <d v="2024-10-17T00:00:00"/>
    <s v="John Sebastian Ovalle Talaga"/>
    <s v="6:49:56 p. m."/>
    <n v="-76.639446666666601"/>
    <n v="3.3505699999999998"/>
    <n v="2382"/>
    <m/>
    <x v="1"/>
    <n v="10"/>
    <n v="30"/>
    <m/>
    <x v="2"/>
    <s v="Completamente"/>
    <x v="2"/>
    <x v="15"/>
    <s v="Nublado"/>
    <s v="Bosque secundario"/>
    <s v="John Sebastian Ovalle Talaga"/>
    <s v="Herbaceo 0.3-1.5 m"/>
    <s v="Pristimantis palmeri"/>
    <n v="4"/>
    <m/>
    <m/>
    <m/>
    <s v="Ninguna"/>
    <s v="Indeterminado"/>
    <s v="Visual"/>
  </r>
  <r>
    <d v="2024-10-17T00:00:00"/>
    <d v="2024-10-17T00:00:00"/>
    <s v="John Sebastian Ovalle Talaga"/>
    <s v="11:25:43 p. m."/>
    <n v="-76.6428783333333"/>
    <s v="3.349083333333333"/>
    <n v="2413"/>
    <m/>
    <x v="1"/>
    <n v="25"/>
    <n v="15"/>
    <m/>
    <x v="2"/>
    <s v="Completamente"/>
    <x v="2"/>
    <x v="10"/>
    <s v="Despejado luna llena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1:18:29 p. m."/>
    <n v="-76.642621666666599"/>
    <s v="3.3490716666666667"/>
    <n v="2413"/>
    <m/>
    <x v="1"/>
    <n v="25"/>
    <n v="15"/>
    <m/>
    <x v="2"/>
    <s v="Completamente"/>
    <x v="2"/>
    <x v="10"/>
    <s v="Despejado luna llena"/>
    <s v="Bosque secundario"/>
    <m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1:14:56 p. m."/>
    <n v="-76.642393333333303"/>
    <s v="3.3491583333333335"/>
    <n v="2413"/>
    <m/>
    <x v="1"/>
    <n v="25"/>
    <n v="15"/>
    <m/>
    <x v="2"/>
    <s v="Completamente"/>
    <x v="2"/>
    <x v="10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0:59:38 p. m."/>
    <n v="-76.642246666666594"/>
    <n v="3.3493849999999998"/>
    <n v="2413"/>
    <m/>
    <x v="1"/>
    <n v="25"/>
    <n v="15"/>
    <m/>
    <x v="2"/>
    <s v="Completamente"/>
    <x v="2"/>
    <x v="10"/>
    <s v="Despejado luna llena"/>
    <s v="Bosque secundario"/>
    <s v="Ricardo Ocampo"/>
    <s v="Arbustivo 1.5-5 m"/>
    <s v="Pristimantis brevifrons"/>
    <n v="1"/>
    <s v="Canto pi pi"/>
    <m/>
    <m/>
    <s v="Ninguna"/>
    <s v="Macho"/>
    <s v="Auditivo"/>
  </r>
  <r>
    <d v="2024-10-17T00:00:00"/>
    <d v="2024-10-17T00:00:00"/>
    <s v="John Sebastian Ovalle Talaga"/>
    <s v="10:46:52 p. m."/>
    <n v="-76.642093333333307"/>
    <s v="3.349473333333333"/>
    <n v="2390"/>
    <m/>
    <x v="1"/>
    <n v="20"/>
    <n v="3"/>
    <m/>
    <x v="2"/>
    <s v="Completamente"/>
    <x v="0"/>
    <x v="15"/>
    <s v="Despejado luna llena"/>
    <s v="Bosque secundario"/>
    <s v="John Sebastian Ovalle Talaga"/>
    <s v="Herbaceo 0.3-1.5 m"/>
    <s v="Pristimantis brevifrons"/>
    <n v="1"/>
    <m/>
    <m/>
    <m/>
    <s v="Ninguna"/>
    <s v="Indeterminado"/>
    <s v="Auditivo"/>
  </r>
  <r>
    <d v="2024-10-17T00:00:00"/>
    <d v="2024-10-17T00:00:00"/>
    <s v="John Sebastian Ovalle Talaga"/>
    <s v="10:44:20 p. m."/>
    <n v="-76.641935000000004"/>
    <s v="3.3494433333333338"/>
    <n v="2390"/>
    <m/>
    <x v="1"/>
    <n v="20"/>
    <n v="3"/>
    <m/>
    <x v="2"/>
    <s v="Completamente"/>
    <x v="0"/>
    <x v="15"/>
    <s v="Despejado luna llena"/>
    <s v="Bosque secundario"/>
    <s v="John Sebastian Ovalle Talaga"/>
    <s v="Herbaceo 0.3-1.5 m"/>
    <s v="Pristimantis palmeri"/>
    <n v="3"/>
    <m/>
    <m/>
    <m/>
    <s v="Ninguna"/>
    <s v="Indeterminado"/>
    <s v="Visual"/>
  </r>
  <r>
    <d v="2024-10-17T00:00:00"/>
    <d v="2024-10-17T00:00:00"/>
    <s v="John Sebastian Ovalle Talaga"/>
    <s v="10:41:38 p. m."/>
    <n v="-76.641949999999994"/>
    <s v="3.3494949999999997"/>
    <n v="2390"/>
    <m/>
    <x v="1"/>
    <n v="20"/>
    <n v="3"/>
    <m/>
    <x v="2"/>
    <s v="Completamente"/>
    <x v="0"/>
    <x v="15"/>
    <s v="Despejado luna llena"/>
    <s v="Bosque secundario"/>
    <s v="Guillermo Pantoja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10:38:45 p. m."/>
    <n v="-76.641933333333299"/>
    <n v="3.3495849999999998"/>
    <n v="2390"/>
    <m/>
    <x v="1"/>
    <n v="20"/>
    <n v="3"/>
    <m/>
    <x v="2"/>
    <s v="Completamente"/>
    <x v="0"/>
    <x v="15"/>
    <s v="Despejado luna llena"/>
    <s v="Bosque secundario"/>
    <s v="Guillermo Pantoja"/>
    <s v="Herbaceo 0.3-1.5 m"/>
    <s v="Pristimantis palmeri"/>
    <n v="3"/>
    <s v="Amplexo"/>
    <m/>
    <m/>
    <s v="Ninguna"/>
    <s v="Indeterminado"/>
    <s v="Visual"/>
  </r>
  <r>
    <d v="2024-10-17T00:00:00"/>
    <d v="2024-10-17T00:00:00"/>
    <s v="John Sebastian Ovalle Talaga"/>
    <s v="10:35:53 p. m."/>
    <n v="-76.641835"/>
    <n v="3.3495200000000001"/>
    <n v="2390"/>
    <m/>
    <x v="1"/>
    <n v="20"/>
    <n v="3"/>
    <m/>
    <x v="2"/>
    <s v="Completamente"/>
    <x v="0"/>
    <x v="15"/>
    <s v="Despejado luna llena"/>
    <s v="Bosque secundario"/>
    <s v="Ricardo Ocampo"/>
    <s v="Rasante &lt;0.3 m"/>
    <s v="Pristimantis erythropleura"/>
    <n v="1"/>
    <m/>
    <m/>
    <m/>
    <s v="Ninguna"/>
    <s v="Macho"/>
    <s v="Visual"/>
  </r>
  <r>
    <d v="2024-10-17T00:00:00"/>
    <d v="2024-10-17T00:00:00"/>
    <s v="John Sebastian Ovalle Talaga"/>
    <s v="10:33:47 p. m."/>
    <n v="-76.641703333333297"/>
    <n v="3.3494649999999999"/>
    <n v="2390"/>
    <m/>
    <x v="1"/>
    <n v="20"/>
    <n v="3"/>
    <m/>
    <x v="2"/>
    <s v="Completamente"/>
    <x v="0"/>
    <x v="15"/>
    <s v="Parcialmente nublado"/>
    <s v="Bosque secundario"/>
    <s v="Ricardo Ocampo"/>
    <s v="Herbaceo 0.3-1.5 m"/>
    <s v="Pristimantis palmeri"/>
    <n v="3"/>
    <m/>
    <m/>
    <m/>
    <s v="Ninguna"/>
    <s v="Indeterminado"/>
    <s v="Visual"/>
  </r>
  <r>
    <d v="2024-10-17T00:00:00"/>
    <d v="2024-10-17T00:00:00"/>
    <s v="John Sebastian Ovalle Talaga"/>
    <s v="10:32:03 p. m."/>
    <n v="-76.6419833333333"/>
    <s v="3.3495816666666665"/>
    <n v="2390"/>
    <m/>
    <x v="1"/>
    <n v="20"/>
    <n v="3"/>
    <m/>
    <x v="2"/>
    <s v="Completamente"/>
    <x v="0"/>
    <x v="15"/>
    <s v="Parcialmente nublado"/>
    <s v="Bosque secundario"/>
    <s v="John Sebastian Ovalle Talaga"/>
    <s v="Arbustivo 1.5-5 m"/>
    <s v="Pristimantis palmeri"/>
    <n v="1"/>
    <m/>
    <m/>
    <m/>
    <s v="Ninguna"/>
    <s v="Indeterminado"/>
    <s v="Auditivo"/>
  </r>
  <r>
    <d v="2024-10-17T00:00:00"/>
    <d v="2024-10-17T00:00:00"/>
    <s v="John Sebastian Ovalle Talaga"/>
    <s v="10:29:47 p. m."/>
    <n v="-76.641858333333303"/>
    <s v="3.349583333333334"/>
    <n v="2390"/>
    <m/>
    <x v="1"/>
    <n v="20"/>
    <n v="3"/>
    <m/>
    <x v="2"/>
    <s v="Completamente"/>
    <x v="0"/>
    <x v="15"/>
    <s v="Parcialmente nublado"/>
    <s v="Bosque secundario"/>
    <s v="John Sebastian Ovalle Talaga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10:28:50 p. m."/>
    <n v="-76.641845000000004"/>
    <n v="3.3495550000000001"/>
    <n v="2390"/>
    <m/>
    <x v="1"/>
    <n v="20"/>
    <n v="3"/>
    <m/>
    <x v="2"/>
    <s v="Completamente"/>
    <x v="0"/>
    <x v="15"/>
    <s v="Parcialmente nublado"/>
    <s v="Bosque secundario"/>
    <s v="Guillermo Pantoja"/>
    <s v="Herbaceo 0.3-1.5 m"/>
    <s v="Pristimantis erythropleura"/>
    <n v="1"/>
    <m/>
    <m/>
    <m/>
    <s v="Ninguna"/>
    <s v="Macho"/>
    <s v="Visual"/>
  </r>
  <r>
    <d v="2024-10-17T00:00:00"/>
    <d v="2024-10-17T00:00:00"/>
    <s v="John Sebastian Ovalle Talaga"/>
    <s v="10:27:25 p. m."/>
    <n v="-76.641823333333306"/>
    <s v="3.3495749999999997"/>
    <n v="2390"/>
    <m/>
    <x v="1"/>
    <n v="20"/>
    <n v="3"/>
    <m/>
    <x v="2"/>
    <s v="Completamente"/>
    <x v="0"/>
    <x v="15"/>
    <s v="Parcialmente nublado"/>
    <s v="Bosque secundario"/>
    <s v="John Sebastian Ovalle Talaga"/>
    <s v="Herbaceo 0.3-1.5 m"/>
    <s v="Pristimantis brevifrons"/>
    <n v="1"/>
    <m/>
    <m/>
    <m/>
    <s v="Ninguna"/>
    <s v="Indeterminado"/>
    <s v="Auditivo"/>
  </r>
  <r>
    <d v="2024-10-17T00:00:00"/>
    <d v="2024-10-17T00:00:00"/>
    <s v="John Sebastian Ovalle Talaga"/>
    <s v="10:20:13 p. m."/>
    <n v="-76.641723333333303"/>
    <s v="3.3496333333333332"/>
    <n v="2390"/>
    <m/>
    <x v="1"/>
    <n v="20"/>
    <n v="3"/>
    <m/>
    <x v="2"/>
    <s v="Completamente"/>
    <x v="0"/>
    <x v="15"/>
    <s v="Parcialmente nublado"/>
    <s v="Bosque secundario"/>
    <s v="Ricardo Ocampo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10:16:21 p. m."/>
    <n v="-76.641814999999994"/>
    <s v="3.349258333333333"/>
    <n v="2390"/>
    <m/>
    <x v="1"/>
    <n v="20"/>
    <n v="3"/>
    <m/>
    <x v="2"/>
    <s v="Completamente"/>
    <x v="0"/>
    <x v="15"/>
    <s v="Parcialmente nublado"/>
    <s v="Bosque secundario"/>
    <s v="Angie Alejandra Loaiza Lopez"/>
    <s v="Herbaceo 0.3-1.5 m"/>
    <s v="Pristimantis palmeri"/>
    <n v="7"/>
    <s v="Amplexo. Machos y 1 hembra"/>
    <m/>
    <m/>
    <s v="Ninguna"/>
    <s v="Macho"/>
    <s v="Visual"/>
  </r>
  <r>
    <d v="2024-10-17T00:00:00"/>
    <d v="2024-10-17T00:00:00"/>
    <s v="John Sebastian Ovalle Talaga"/>
    <s v="10:04:56 p. m."/>
    <n v="-76.641784999999999"/>
    <s v="3.349836666666667"/>
    <n v="2390"/>
    <m/>
    <x v="1"/>
    <n v="20"/>
    <n v="3"/>
    <m/>
    <x v="2"/>
    <s v="Completamente"/>
    <x v="0"/>
    <x v="15"/>
    <s v="Parcialmente nublado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58:08 p. m."/>
    <n v="-76.641591666666599"/>
    <s v="3.350013333333334"/>
    <n v="2390"/>
    <m/>
    <x v="1"/>
    <n v="20"/>
    <n v="3"/>
    <m/>
    <x v="2"/>
    <s v="Completamente"/>
    <x v="0"/>
    <x v="15"/>
    <s v="Parcialmente nublado"/>
    <s v="Bosque secundario"/>
    <s v="Guillermo Pantoj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45:42 p. m."/>
    <n v="-76.641526666666607"/>
    <n v="3.349955"/>
    <n v="2390"/>
    <m/>
    <x v="1"/>
    <n v="20"/>
    <n v="3"/>
    <m/>
    <x v="2"/>
    <s v="Completamente"/>
    <x v="0"/>
    <x v="15"/>
    <s v="Parcialmente nublado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39:08 p. m."/>
    <n v="-76.641421666666602"/>
    <s v="3.3499316666666665"/>
    <n v="2390"/>
    <m/>
    <x v="1"/>
    <n v="20"/>
    <n v="3"/>
    <m/>
    <x v="2"/>
    <s v="Completamente"/>
    <x v="0"/>
    <x v="15"/>
    <s v="Parcialmente nublado"/>
    <s v="Bosque secundario"/>
    <s v="Guillermo Pantoja"/>
    <s v="Herbaceo 0.3-1.5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9:32:53 p. m."/>
    <n v="-76.641255000000001"/>
    <s v="3.3499216666666665"/>
    <n v="2390"/>
    <m/>
    <x v="1"/>
    <n v="20"/>
    <n v="3"/>
    <m/>
    <x v="2"/>
    <s v="Completamente"/>
    <x v="0"/>
    <x v="15"/>
    <s v="Parcialmente nublado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28:58 p. m."/>
    <n v="-76.641343333333296"/>
    <s v="3.3498583333333327"/>
    <n v="2390"/>
    <m/>
    <x v="1"/>
    <n v="20"/>
    <n v="3"/>
    <m/>
    <x v="2"/>
    <s v="Completamente"/>
    <x v="0"/>
    <x v="15"/>
    <s v="Parcialmente nublado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19:55 p. m."/>
    <n v="-76.640951666666595"/>
    <n v="3.3500100000000002"/>
    <n v="2390"/>
    <m/>
    <x v="1"/>
    <n v="20"/>
    <n v="3"/>
    <m/>
    <x v="2"/>
    <s v="Completamente"/>
    <x v="0"/>
    <x v="15"/>
    <s v="Parcialmente nublado"/>
    <s v="Bosque secundario"/>
    <s v="Angie Alejandra Loaiza Lopez"/>
    <s v="Rasante &lt;0.3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9:14:28 p. m."/>
    <n v="-76.641395000000003"/>
    <s v="3.350086666666667"/>
    <n v="2390"/>
    <m/>
    <x v="1"/>
    <n v="20"/>
    <n v="3"/>
    <m/>
    <x v="2"/>
    <s v="Completamente"/>
    <x v="0"/>
    <x v="15"/>
    <s v="Parcialmente nublado"/>
    <s v="Bosque secundario"/>
    <s v="Angie Alejandra Loaiza Lopez"/>
    <s v="Rasante &lt;0.3 m"/>
    <s v="Pristimantis palmeri"/>
    <n v="2"/>
    <m/>
    <m/>
    <m/>
    <s v="Ninguna"/>
    <s v="Indeterminado"/>
    <s v="Visual"/>
  </r>
  <r>
    <d v="2024-10-17T00:00:00"/>
    <d v="2024-10-17T00:00:00"/>
    <s v="John Sebastian Ovalle Talaga"/>
    <s v="11:53:14 p. m."/>
    <n v="-76.642971666666597"/>
    <s v="3.3497683333333335"/>
    <n v="2439"/>
    <m/>
    <x v="1"/>
    <n v="25"/>
    <n v="45"/>
    <m/>
    <x v="2"/>
    <s v="Completamente"/>
    <x v="1"/>
    <x v="10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1:50:11 p. m."/>
    <n v="-76.643298333333306"/>
    <s v="3.3498250000000005"/>
    <n v="2439"/>
    <m/>
    <x v="1"/>
    <n v="25"/>
    <n v="45"/>
    <m/>
    <x v="2"/>
    <s v="Completamente"/>
    <x v="1"/>
    <x v="10"/>
    <s v="Despejado luna llena"/>
    <s v="Bosque secundario"/>
    <s v="Guillermo Pantoj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1:45:05 p. m."/>
    <n v="-76.643008333333299"/>
    <s v="3.349503333333333"/>
    <n v="2439"/>
    <m/>
    <x v="1"/>
    <n v="25"/>
    <n v="45"/>
    <m/>
    <x v="2"/>
    <s v="Completamente"/>
    <x v="1"/>
    <x v="10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11:40:34 p. m."/>
    <n v="-76.642928333333302"/>
    <n v="3.3494000000000002"/>
    <n v="2439"/>
    <m/>
    <x v="1"/>
    <n v="25"/>
    <n v="45"/>
    <m/>
    <x v="2"/>
    <s v="Completamente"/>
    <x v="1"/>
    <x v="10"/>
    <s v="Despejado luna llena"/>
    <s v="Bosque secundario"/>
    <s v="Angie Alejandra Loaiza Lopez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9:08:09 p. m."/>
    <n v="-76.640958333333302"/>
    <s v="3.350043333333333"/>
    <n v="2372"/>
    <m/>
    <x v="1"/>
    <n v="20"/>
    <n v="3"/>
    <m/>
    <x v="2"/>
    <s v="Completamente"/>
    <x v="1"/>
    <x v="15"/>
    <s v="Parcialmente nublado"/>
    <s v="Bosque secundario"/>
    <s v="John Sebastian Ovalle Talaga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58:05 p. m."/>
    <n v="-76.640811666666593"/>
    <s v="3.350073333333333"/>
    <n v="2372"/>
    <m/>
    <x v="1"/>
    <n v="20"/>
    <n v="3"/>
    <m/>
    <x v="2"/>
    <s v="Completamente"/>
    <x v="1"/>
    <x v="15"/>
    <s v="Parcialmente nublado"/>
    <s v="Bosque secundario"/>
    <s v="John Sebastian Ovalle Talaga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52:03 p. m."/>
    <n v="-76.640543333333298"/>
    <s v="3.3502383333333334"/>
    <n v="2372"/>
    <m/>
    <x v="1"/>
    <n v="20"/>
    <n v="3"/>
    <m/>
    <x v="2"/>
    <s v="Completamente"/>
    <x v="1"/>
    <x v="15"/>
    <s v="Parcialmente nublado"/>
    <s v="Bosque secundario"/>
    <s v="John Sebastian Ovalle Talaga"/>
    <s v="Herbaceo 0.3-1.5 m"/>
    <s v="Pristimantis palmeri"/>
    <n v="1"/>
    <s v="Revisar fotos"/>
    <m/>
    <m/>
    <s v="Ninguna"/>
    <s v="Indeterminado"/>
    <s v="Visual"/>
  </r>
  <r>
    <d v="2024-10-17T00:00:00"/>
    <d v="2024-10-17T00:00:00"/>
    <s v="John Sebastian Ovalle Talaga"/>
    <s v="8:43:20 p. m."/>
    <n v="-76.640569999999997"/>
    <s v="3.3502616666666665"/>
    <n v="2372"/>
    <m/>
    <x v="1"/>
    <n v="20"/>
    <n v="3"/>
    <m/>
    <x v="2"/>
    <s v="Completamente"/>
    <x v="1"/>
    <x v="15"/>
    <s v="Parcialmente nublado"/>
    <s v="Bosque secundario"/>
    <s v="John Sebastian Ovalle Talaga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38:00 p. m."/>
    <n v="-76.640673333333297"/>
    <s v="3.3502333333333336"/>
    <n v="2372"/>
    <m/>
    <x v="1"/>
    <n v="20"/>
    <n v="3"/>
    <m/>
    <x v="2"/>
    <s v="Completamente"/>
    <x v="1"/>
    <x v="15"/>
    <s v="Parcialmente nublado"/>
    <s v="Bosque secundario"/>
    <s v="Angie Alejandra Loaiza Lopez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30:07 p. m."/>
    <n v="-76.640526666666602"/>
    <n v="3.3503500000000002"/>
    <n v="2372"/>
    <m/>
    <x v="1"/>
    <n v="20"/>
    <n v="3"/>
    <m/>
    <x v="2"/>
    <s v="Completamente"/>
    <x v="1"/>
    <x v="15"/>
    <s v="Parcialmente nublado"/>
    <s v="Bosque secundario"/>
    <s v="John Sebastian Ovalle Talaga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24:34 p. m."/>
    <n v="-76.640313333333296"/>
    <s v="3.350378333333333"/>
    <n v="2372"/>
    <m/>
    <x v="1"/>
    <n v="20"/>
    <n v="3"/>
    <m/>
    <x v="2"/>
    <s v="Completamente"/>
    <x v="1"/>
    <x v="15"/>
    <s v="Parcialmente nublado"/>
    <s v="Bosque secundario"/>
    <s v="Angie Alejandra Loaiza Lopez"/>
    <s v="Herbaceo 0.3-1.5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23:41 p. m."/>
    <n v="-76.640355"/>
    <n v="3.3504049999999999"/>
    <n v="2372"/>
    <m/>
    <x v="1"/>
    <n v="20"/>
    <n v="3"/>
    <m/>
    <x v="2"/>
    <s v="Completamente"/>
    <x v="1"/>
    <x v="15"/>
    <s v="Parcialmente nublado"/>
    <s v="Bosque secundario"/>
    <s v="Ricardo Ocampo"/>
    <s v="Herbaceo 0.3-1.5 m"/>
    <s v="Pristimantis brevifrons"/>
    <n v="1"/>
    <m/>
    <m/>
    <m/>
    <s v="Ninguna"/>
    <s v="Indeterminado"/>
    <s v="Auditivo"/>
  </r>
  <r>
    <d v="2024-10-17T00:00:00"/>
    <d v="2024-10-17T00:00:00"/>
    <s v="John Sebastian Ovalle Talaga"/>
    <s v="8:16:33 p. m."/>
    <n v="-76.640316666666607"/>
    <s v="3.350363333333333"/>
    <n v="2372"/>
    <m/>
    <x v="1"/>
    <n v="20"/>
    <n v="3"/>
    <m/>
    <x v="2"/>
    <s v="Completamente"/>
    <x v="1"/>
    <x v="15"/>
    <s v="Llovizna"/>
    <s v="Bosque secundario"/>
    <s v="Angie Alejandra Loaiza Lopez"/>
    <s v="Rasante &lt;0.3 m"/>
    <s v="Pristimantis palmeri"/>
    <n v="1"/>
    <m/>
    <m/>
    <m/>
    <s v="Ninguna"/>
    <s v="Indeterminado"/>
    <s v="Visual"/>
  </r>
  <r>
    <d v="2024-10-17T00:00:00"/>
    <d v="2024-10-17T00:00:00"/>
    <s v="John Sebastian Ovalle Talaga"/>
    <s v="8:10:21 p. m."/>
    <n v="-76.640218333333294"/>
    <s v="3.350451666666667"/>
    <n v="2372"/>
    <m/>
    <x v="1"/>
    <n v="20"/>
    <n v="3"/>
    <m/>
    <x v="2"/>
    <s v="Completamente"/>
    <x v="1"/>
    <x v="15"/>
    <s v="Llovizna"/>
    <s v="Bosque secundario"/>
    <s v="John Sebastian Ovalle Talaga"/>
    <s v="Herbaceo 0.3-1.5 m"/>
    <s v="Pristimantis brevifrons"/>
    <n v="3"/>
    <s v="Pipi"/>
    <m/>
    <m/>
    <s v="Ninguna"/>
    <s v="Indeterminado"/>
    <s v="Auditivo"/>
  </r>
  <r>
    <d v="2024-10-16T00:00:00"/>
    <d v="2024-10-16T00:00:00"/>
    <s v="Leonardo Belalcazar Salcedo"/>
    <s v="9:35:07 a. m."/>
    <n v="-76.725157752759699"/>
    <s v="3.499722333872519"/>
    <n v="1812"/>
    <n v="2"/>
    <x v="1"/>
    <n v="20"/>
    <n v="0"/>
    <m/>
    <x v="1"/>
    <s v="Completamente"/>
    <x v="2"/>
    <x v="9"/>
    <s v="Despejado"/>
    <s v="Bosque ripario"/>
    <m/>
    <m/>
    <s v="Ninguna"/>
    <n v="0"/>
    <m/>
    <m/>
    <m/>
    <s v="Ninguna"/>
    <m/>
    <m/>
  </r>
  <r>
    <d v="2024-10-16T00:00:00"/>
    <d v="2024-10-16T00:00:00"/>
    <s v="Leonardo Belalcazar Salcedo"/>
    <s v="11:18:28 a. m."/>
    <n v="-76.722479793827603"/>
    <s v="3.5027296761782534"/>
    <n v="1837"/>
    <n v="0"/>
    <x v="1"/>
    <n v="17"/>
    <n v="5"/>
    <m/>
    <x v="1"/>
    <s v="Completamente"/>
    <x v="2"/>
    <x v="9"/>
    <s v="Despejado"/>
    <s v="Bosque secundario"/>
    <m/>
    <m/>
    <s v="Ninguna"/>
    <n v="0"/>
    <m/>
    <m/>
    <m/>
    <s v="Ninguna"/>
    <m/>
    <m/>
  </r>
  <r>
    <d v="2024-10-16T00:00:00"/>
    <d v="2024-10-16T00:00:00"/>
    <s v="Leonardo Belalcazar Salcedo"/>
    <s v="7:51:45 p. m."/>
    <n v="-76.722748294870399"/>
    <s v="3.4777684631770307"/>
    <n v="2133"/>
    <n v="0"/>
    <x v="1"/>
    <n v="25"/>
    <n v="10"/>
    <m/>
    <x v="1"/>
    <s v="Completamente"/>
    <x v="1"/>
    <x v="8"/>
    <s v="Llovizna"/>
    <s v="Bosque primario"/>
    <s v="Delia Maribel Cuspian"/>
    <s v="Herbaceo 0.3-1.5 m"/>
    <s v="Pristimantis molybrignus"/>
    <n v="1"/>
    <m/>
    <m/>
    <m/>
    <s v="Ninguna"/>
    <s v="Macho"/>
    <s v="Visual"/>
  </r>
  <r>
    <d v="2024-10-16T00:00:00"/>
    <d v="2024-10-16T00:00:00"/>
    <s v="Leonardo Belalcazar Salcedo"/>
    <s v="7:43:47 p. m."/>
    <n v="-76.722530243459204"/>
    <s v="3.4775032065408022"/>
    <n v="2133"/>
    <n v="0"/>
    <x v="1"/>
    <n v="25"/>
    <n v="10"/>
    <m/>
    <x v="1"/>
    <s v="Completamente"/>
    <x v="1"/>
    <x v="8"/>
    <s v="Llovizna"/>
    <s v="Bosque primario"/>
    <s v="Delia Maribel Cuspian"/>
    <s v="Arbustivo 1.5-5 m"/>
    <s v="Bolitoglossa walkeri"/>
    <n v="1"/>
    <m/>
    <m/>
    <m/>
    <s v="Ninguna"/>
    <s v="Indeterminado"/>
    <m/>
  </r>
  <r>
    <d v="2024-10-16T00:00:00"/>
    <d v="2024-10-16T00:00:00"/>
    <s v="Leonardo Belalcazar Salcedo"/>
    <s v="7:42:04 p. m."/>
    <n v="-76.722508066503707"/>
    <s v="3.4773097087905747"/>
    <n v="2133"/>
    <n v="0"/>
    <x v="1"/>
    <n v="25"/>
    <n v="10"/>
    <m/>
    <x v="1"/>
    <s v="Completamente"/>
    <x v="1"/>
    <x v="8"/>
    <s v="Llovizna"/>
    <s v="Bosque primario"/>
    <s v="Delia Maribel Cuspian"/>
    <s v="Arbustivo 1.5-5 m"/>
    <s v="Pristimantis molybrignus"/>
    <n v="1"/>
    <m/>
    <m/>
    <m/>
    <s v="Ninguna"/>
    <s v="Hembra"/>
    <m/>
  </r>
  <r>
    <d v="2024-10-16T00:00:00"/>
    <d v="2024-10-16T00:00:00"/>
    <s v="Leonardo Belalcazar Salcedo"/>
    <s v="7:39:09 p. m."/>
    <n v="-76.722412361777202"/>
    <s v="3.477275101616343"/>
    <n v="2133"/>
    <n v="0"/>
    <x v="1"/>
    <n v="25"/>
    <n v="10"/>
    <m/>
    <x v="1"/>
    <s v="Completamente"/>
    <x v="1"/>
    <x v="8"/>
    <s v="Llovizna"/>
    <s v="Bosque primario"/>
    <s v="Leonardo Belalcazar Salcedo"/>
    <s v="Herbaceo 0.3-1.5 m"/>
    <s v="Pristimantis gracilis"/>
    <n v="1"/>
    <m/>
    <m/>
    <m/>
    <s v="Ninguna"/>
    <m/>
    <s v="Visual"/>
  </r>
  <r>
    <d v="2024-10-16T00:00:00"/>
    <d v="2024-10-16T00:00:00"/>
    <s v="Leonardo Belalcazar Salcedo"/>
    <s v="7:38:21 p. m."/>
    <n v="-76.722367395823198"/>
    <s v="3.4772026543384067"/>
    <n v="2133"/>
    <n v="0"/>
    <x v="1"/>
    <n v="25"/>
    <n v="10"/>
    <m/>
    <x v="1"/>
    <s v="Completamente"/>
    <x v="1"/>
    <x v="8"/>
    <s v="Llovizna"/>
    <s v="Bosque primario"/>
    <s v="Leonardo Belalcazar Salcedo"/>
    <s v="Arbustivo 1.5-5 m"/>
    <s v="Pristimantis molybrignus"/>
    <n v="2"/>
    <m/>
    <m/>
    <m/>
    <s v="Ninguna"/>
    <m/>
    <s v="Visual"/>
  </r>
  <r>
    <d v="2024-10-16T00:00:00"/>
    <d v="2024-10-16T00:00:00"/>
    <s v="Leonardo Belalcazar Salcedo"/>
    <s v="8:37:29 a. m."/>
    <n v="-76.726517419036497"/>
    <s v="3.5001464996129257"/>
    <n v="1792"/>
    <n v="2"/>
    <x v="1"/>
    <n v="15"/>
    <n v="0"/>
    <m/>
    <x v="1"/>
    <s v="Completamente"/>
    <x v="0"/>
    <x v="9"/>
    <s v="Despejado"/>
    <s v="Bosque ripario"/>
    <s v="Delia Maribel Cuspian"/>
    <s v="Herbaceo 0.3-1.5 m"/>
    <s v="Pristimantis palmeri"/>
    <n v="1"/>
    <m/>
    <m/>
    <m/>
    <s v="Ninguna"/>
    <s v="Indeterminado"/>
    <s v="Visual"/>
  </r>
  <r>
    <d v="2024-10-16T00:00:00"/>
    <d v="2024-10-16T00:00:00"/>
    <s v="Leonardo Belalcazar Salcedo"/>
    <s v="10:48:32 a. m."/>
    <n v="-76.721826795694994"/>
    <s v="3.5019288400581905"/>
    <n v="1824"/>
    <n v="0"/>
    <x v="1"/>
    <n v="15"/>
    <n v="2"/>
    <m/>
    <x v="1"/>
    <s v="Completamente"/>
    <x v="0"/>
    <x v="9"/>
    <s v="Despejado"/>
    <s v="Bosque secundario"/>
    <m/>
    <m/>
    <s v="Ninguna"/>
    <n v="0"/>
    <s v="No se pueden realizar los transectos. No se encontr√≥ sendero por ningun lado y al abrir trocha se enmontaba cada vez mas"/>
    <m/>
    <m/>
    <m/>
    <m/>
    <m/>
  </r>
  <r>
    <d v="2024-10-16T00:00:00"/>
    <d v="2024-10-16T00:00:00"/>
    <s v="Leonardo Belalcazar Salcedo"/>
    <s v="7:21:26 p. m."/>
    <n v="-76.7222675428293"/>
    <s v="3.4769486379079964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Bolitoglossa walkeri"/>
    <n v="1"/>
    <m/>
    <m/>
    <m/>
    <s v="Ninguna"/>
    <s v="Indeterminado"/>
    <s v="Visual"/>
  </r>
  <r>
    <d v="2024-10-16T00:00:00"/>
    <d v="2024-10-16T00:00:00"/>
    <s v="Leonardo Belalcazar Salcedo"/>
    <s v="7:13:11 p. m."/>
    <n v="-76.722247881351606"/>
    <s v="3.4768529755919255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Bolitoglossa walkeri"/>
    <n v="2"/>
    <m/>
    <m/>
    <m/>
    <s v="Ninguna"/>
    <s v="Indeterminado"/>
    <s v="Visual"/>
  </r>
  <r>
    <d v="2024-10-16T00:00:00"/>
    <d v="2024-10-16T00:00:00"/>
    <s v="Leonardo Belalcazar Salcedo"/>
    <s v="7:06:12 p. m."/>
    <n v="-76.722251732743899"/>
    <s v="3.476648496485321"/>
    <n v="2130"/>
    <n v="0"/>
    <x v="1"/>
    <n v="25"/>
    <n v="25"/>
    <m/>
    <x v="1"/>
    <s v="Completamente"/>
    <x v="0"/>
    <x v="8"/>
    <s v="Llovizna"/>
    <s v="Bosque primario"/>
    <s v="Delia Maribel Cuspian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6:59:08 p. m."/>
    <n v="-76.722251851372405"/>
    <s v="3.4766124766683046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6:52:59 p. m."/>
    <n v="-76.722289015807405"/>
    <s v="3.4765750440342567"/>
    <n v="2130"/>
    <n v="0"/>
    <x v="1"/>
    <n v="25"/>
    <n v="25"/>
    <m/>
    <x v="1"/>
    <s v="Completamente"/>
    <x v="0"/>
    <x v="8"/>
    <s v="Llovizna"/>
    <s v="Bosque primario"/>
    <s v="Delia Maribel Cuspian"/>
    <s v="Herbaceo 0.3-1.5 m"/>
    <s v="Pristimantis molybrignus"/>
    <n v="1"/>
    <m/>
    <m/>
    <m/>
    <s v="Ninguna"/>
    <s v="Indeterminado"/>
    <m/>
  </r>
  <r>
    <d v="2024-10-16T00:00:00"/>
    <d v="2024-10-16T00:00:00"/>
    <s v="Leonardo Belalcazar Salcedo"/>
    <s v="6:52:59 p. m."/>
    <n v="-76.722289015807405"/>
    <s v="3.4765750440342567"/>
    <n v="2130"/>
    <n v="0"/>
    <x v="1"/>
    <n v="25"/>
    <n v="25"/>
    <m/>
    <x v="1"/>
    <s v="Completamente"/>
    <x v="0"/>
    <x v="8"/>
    <s v="Llovizna"/>
    <s v="Bosque primario"/>
    <s v="Leonardo Belalcazar Salcedo"/>
    <s v="Herbaceo 0.3-1.5 m"/>
    <s v="Pristimantis silverstonei"/>
    <n v="1"/>
    <m/>
    <m/>
    <m/>
    <s v="Ninguna"/>
    <s v="Indeterminado"/>
    <s v="Visual"/>
  </r>
  <r>
    <d v="2024-10-16T00:00:00"/>
    <d v="2024-10-16T00:00:00"/>
    <s v="Leonardo Belalcazar Salcedo"/>
    <s v="6:52:59 p. m."/>
    <n v="-76.722289015807405"/>
    <s v="3.4765750440342567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Bolitoglossa walkeri"/>
    <n v="1"/>
    <m/>
    <m/>
    <m/>
    <s v="Ninguna"/>
    <s v="Indeterminado"/>
    <s v="Visual"/>
  </r>
  <r>
    <d v="2024-10-16T00:00:00"/>
    <d v="2024-10-16T00:00:00"/>
    <s v="Leonardo Belalcazar Salcedo"/>
    <s v="6:41:26 p. m."/>
    <n v="-76.722325825944196"/>
    <s v="3.476487265656168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6:39:34 p. m."/>
    <n v="-76.722310885278901"/>
    <s v="3.476437903233065"/>
    <n v="2130"/>
    <n v="0"/>
    <x v="1"/>
    <n v="25"/>
    <n v="25"/>
    <m/>
    <x v="1"/>
    <s v="Completamente"/>
    <x v="0"/>
    <x v="8"/>
    <s v="Llovizna"/>
    <s v="Bosque primario"/>
    <s v="Leonardo Belalcazar Salcedo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6:35:06 p. m."/>
    <n v="-76.722322654868194"/>
    <s v="3.476378318204651"/>
    <n v="2130"/>
    <n v="0"/>
    <x v="1"/>
    <n v="25"/>
    <n v="25"/>
    <m/>
    <x v="1"/>
    <s v="Completamente"/>
    <x v="0"/>
    <x v="8"/>
    <s v="Llovizna"/>
    <s v="Bosque primario"/>
    <s v="Leonardo Belalcazar Salcedo"/>
    <s v="Herbaceo 0.3-1.5 m"/>
    <s v="Bolitoglossa walkeri"/>
    <n v="1"/>
    <m/>
    <m/>
    <m/>
    <s v="Ninguna"/>
    <s v="Indeterminado"/>
    <s v="Visual"/>
  </r>
  <r>
    <d v="2024-10-16T00:00:00"/>
    <d v="2024-10-16T00:00:00"/>
    <s v="Leonardo Belalcazar Salcedo"/>
    <s v="6:29:21 p. m."/>
    <n v="-76.722309551861997"/>
    <s v="3.4763025475575606"/>
    <n v="2130"/>
    <n v="0"/>
    <x v="1"/>
    <n v="25"/>
    <n v="25"/>
    <m/>
    <x v="1"/>
    <s v="Completamente"/>
    <x v="0"/>
    <x v="8"/>
    <s v="Llovizna"/>
    <s v="Bosque primario"/>
    <s v="Delia Maribel Cuspian"/>
    <s v="Arbustivo 1.5-5 m"/>
    <s v="Bolitoglossa walkeri"/>
    <n v="1"/>
    <m/>
    <m/>
    <m/>
    <s v="Ninguna"/>
    <s v="Indeterminado"/>
    <s v="Visual"/>
  </r>
  <r>
    <d v="2024-10-16T00:00:00"/>
    <d v="2024-10-16T00:00:00"/>
    <s v="Leonardo Belalcazar Salcedo"/>
    <s v="6:29:21 p. m."/>
    <n v="-76.722309551861997"/>
    <s v="3.4763025475575606"/>
    <n v="2130"/>
    <n v="0"/>
    <x v="1"/>
    <n v="25"/>
    <n v="25"/>
    <m/>
    <x v="1"/>
    <s v="Completamente"/>
    <x v="0"/>
    <x v="8"/>
    <s v="Llovizna"/>
    <s v="Bosque primario"/>
    <s v="Leonardo Belalcazar Salcedo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9:08:51 a. m."/>
    <n v="-76.725924508917103"/>
    <s v="3.4992668375369194"/>
    <n v="1803"/>
    <n v="2"/>
    <x v="1"/>
    <n v="20"/>
    <n v="0"/>
    <m/>
    <x v="1"/>
    <s v="Completamente"/>
    <x v="1"/>
    <x v="9"/>
    <s v="Despejado"/>
    <s v="Bosque ripario"/>
    <m/>
    <m/>
    <s v="Ninguna"/>
    <n v="0"/>
    <m/>
    <m/>
    <m/>
    <s v="Ninguna"/>
    <m/>
    <m/>
  </r>
  <r>
    <d v="2024-10-16T00:00:00"/>
    <d v="2024-10-16T00:00:00"/>
    <s v="Leonardo Belalcazar Salcedo"/>
    <s v="11:40:01 a. m."/>
    <n v="-76.722043095711797"/>
    <s v="3.502363492517513"/>
    <n v="1832"/>
    <n v="0"/>
    <x v="1"/>
    <n v="15"/>
    <n v="5"/>
    <m/>
    <x v="1"/>
    <s v="Completamente"/>
    <x v="1"/>
    <x v="9"/>
    <s v="Despejado"/>
    <s v="Bosque secundario"/>
    <m/>
    <m/>
    <s v="Ninguna"/>
    <n v="0"/>
    <m/>
    <m/>
    <m/>
    <s v="Ninguna"/>
    <m/>
    <m/>
  </r>
  <r>
    <d v="2024-10-16T00:00:00"/>
    <d v="2024-10-16T00:00:00"/>
    <s v="Leonardo Belalcazar Salcedo"/>
    <s v="9:00:22 p. m."/>
    <n v="-76.723404547434896"/>
    <s v="3.480921164807448"/>
    <n v="2091"/>
    <n v="0"/>
    <x v="1"/>
    <n v="20"/>
    <n v="10"/>
    <m/>
    <x v="1"/>
    <s v="Completamente"/>
    <x v="4"/>
    <x v="8"/>
    <s v="Llovizna"/>
    <s v="Bosque primario"/>
    <s v="Delia Maribel Cuspian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8:57:54 p. m."/>
    <n v="-76.723248421740607"/>
    <s v="3.4806497320965297"/>
    <n v="2091"/>
    <n v="0"/>
    <x v="1"/>
    <n v="20"/>
    <n v="10"/>
    <m/>
    <x v="1"/>
    <s v="Completamente"/>
    <x v="4"/>
    <x v="8"/>
    <s v="Llovizna"/>
    <s v="Bosque primario"/>
    <s v="Delia Maribel Cuspian"/>
    <s v="Rasante &lt;0.3 m"/>
    <s v="Hypodactylus mantipus"/>
    <n v="2"/>
    <m/>
    <m/>
    <m/>
    <s v="Ninguna"/>
    <s v="Indeterminado"/>
    <s v="Visual"/>
  </r>
  <r>
    <d v="2024-10-16T00:00:00"/>
    <d v="2024-10-16T00:00:00"/>
    <s v="Leonardo Belalcazar Salcedo"/>
    <s v="8:57:54 p. m."/>
    <n v="-76.723248421740607"/>
    <s v="3.4806497320965297"/>
    <n v="2091"/>
    <n v="0"/>
    <x v="1"/>
    <n v="20"/>
    <n v="10"/>
    <m/>
    <x v="1"/>
    <s v="Completamente"/>
    <x v="4"/>
    <x v="8"/>
    <s v="Llovizna"/>
    <s v="Bosque primario"/>
    <s v="Leonardo Belalcazar Salcedo"/>
    <s v="Herbaceo 0.3-1.5 m"/>
    <s v="Pristimantis palmeri"/>
    <n v="1"/>
    <m/>
    <m/>
    <m/>
    <s v="Ninguna"/>
    <m/>
    <s v="Visual"/>
  </r>
  <r>
    <d v="2024-10-16T00:00:00"/>
    <d v="2024-10-16T00:00:00"/>
    <s v="Leonardo Belalcazar Salcedo"/>
    <s v="8:57:54 p. m."/>
    <n v="-76.723248421740607"/>
    <s v="3.4806497320965297"/>
    <n v="2091"/>
    <n v="0"/>
    <x v="1"/>
    <n v="20"/>
    <n v="10"/>
    <m/>
    <x v="1"/>
    <s v="Completamente"/>
    <x v="4"/>
    <x v="8"/>
    <s v="Llovizna"/>
    <s v="Bosque primario"/>
    <s v="Delia Maribel Cuspian"/>
    <s v="Arbustivo 1.5-5 m"/>
    <s v="Pristimantis molybrignus"/>
    <n v="1"/>
    <m/>
    <m/>
    <m/>
    <s v="Ninguna"/>
    <m/>
    <s v="Visual"/>
  </r>
  <r>
    <d v="2024-10-16T00:00:00"/>
    <d v="2024-10-16T00:00:00"/>
    <s v="Leonardo Belalcazar Salcedo"/>
    <s v="8:41:43 p. m."/>
    <n v="-76.723244521959003"/>
    <n v="3.4803323613476702"/>
    <n v="2091"/>
    <n v="0"/>
    <x v="1"/>
    <n v="20"/>
    <n v="10"/>
    <m/>
    <x v="1"/>
    <s v="Completamente"/>
    <x v="4"/>
    <x v="8"/>
    <s v="Llovizna"/>
    <s v="Bosque primario"/>
    <s v="Leonardo Belalcazar Salcedo"/>
    <s v="Arbustivo 1.5-5 m"/>
    <s v="Pristimantis molybrignus"/>
    <n v="1"/>
    <m/>
    <m/>
    <m/>
    <s v="Ninguna"/>
    <s v="Hembra"/>
    <s v="Visual"/>
  </r>
  <r>
    <d v="2024-10-16T00:00:00"/>
    <d v="2024-10-16T00:00:00"/>
    <s v="Leonardo Belalcazar Salcedo"/>
    <s v="8:39:25 p. m."/>
    <n v="-76.723334287942706"/>
    <n v="3.48029043137588"/>
    <n v="2091"/>
    <n v="0"/>
    <x v="1"/>
    <n v="20"/>
    <n v="10"/>
    <m/>
    <x v="1"/>
    <s v="Completamente"/>
    <x v="4"/>
    <x v="8"/>
    <s v="Llovizna"/>
    <s v="Bosque primario"/>
    <s v="Delia Maribel Cuspian"/>
    <s v="Herbaceo 0.3-1.5 m"/>
    <s v="Pristimantis molybrignus"/>
    <n v="1"/>
    <m/>
    <m/>
    <m/>
    <s v="Ninguna"/>
    <s v="Hembra"/>
    <m/>
  </r>
  <r>
    <d v="2024-10-16T00:00:00"/>
    <d v="2024-10-16T00:00:00"/>
    <s v="Leonardo Belalcazar Salcedo"/>
    <s v="9:19:26 p. m."/>
    <n v="-76.7235192167213"/>
    <n v="3.4834221216222998"/>
    <n v="2054"/>
    <n v="0"/>
    <x v="1"/>
    <n v="15"/>
    <n v="5"/>
    <m/>
    <x v="1"/>
    <s v="Completamente"/>
    <x v="0"/>
    <x v="6"/>
    <s v="Llovizna"/>
    <s v="Bosque primario"/>
    <m/>
    <m/>
    <s v="Ninguna"/>
    <n v="0"/>
    <m/>
    <m/>
    <m/>
    <s v="Ninguna"/>
    <m/>
    <m/>
  </r>
  <r>
    <d v="2024-10-16T00:00:00"/>
    <d v="2024-10-16T00:00:00"/>
    <s v="Leonardo Belalcazar Salcedo"/>
    <s v="9:25:27 p. m."/>
    <n v="-76.723483470037706"/>
    <n v="3.4836949295509898"/>
    <n v="2042"/>
    <n v="0"/>
    <x v="1"/>
    <n v="15"/>
    <n v="5"/>
    <m/>
    <x v="1"/>
    <s v="Completamente"/>
    <x v="1"/>
    <x v="6"/>
    <s v="Llovizna"/>
    <s v="Bosque primario"/>
    <s v="Delia Maribel Cuspian"/>
    <s v="Herbaceo 0.3-1.5 m"/>
    <s v="Pristimantis palmeri"/>
    <n v="1"/>
    <m/>
    <m/>
    <m/>
    <s v="Ninguna"/>
    <s v="Indeterminado"/>
    <s v="Visual"/>
  </r>
  <r>
    <d v="2024-10-16T00:00:00"/>
    <d v="2024-10-16T00:00:00"/>
    <s v="Leonardo Belalcazar Salcedo"/>
    <s v="8:18:39 p. m."/>
    <n v="-76.722810636981094"/>
    <n v="3.47866983663851"/>
    <n v="2119"/>
    <n v="0"/>
    <x v="1"/>
    <n v="20"/>
    <n v="10"/>
    <m/>
    <x v="1"/>
    <s v="Completamente"/>
    <x v="2"/>
    <x v="8"/>
    <s v="Llovizna"/>
    <s v="Bosque primario"/>
    <s v="Leonardo Belalcazar Salcedo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8:16:17 p. m."/>
    <n v="-76.722854605048596"/>
    <n v="3.47851658728205"/>
    <n v="2119"/>
    <n v="0"/>
    <x v="1"/>
    <n v="20"/>
    <n v="10"/>
    <m/>
    <x v="1"/>
    <s v="Completamente"/>
    <x v="2"/>
    <x v="8"/>
    <s v="Llovizna"/>
    <s v="Bosque primario"/>
    <s v="Leonardo Belalcazar Salcedo"/>
    <s v="Herbaceo 0.3-1.5 m"/>
    <s v="Pristimantis molybrignus"/>
    <n v="1"/>
    <m/>
    <m/>
    <m/>
    <s v="Ninguna"/>
    <s v="Indeterminado"/>
    <m/>
  </r>
  <r>
    <d v="2024-10-16T00:00:00"/>
    <d v="2024-10-16T00:00:00"/>
    <s v="Leonardo Belalcazar Salcedo"/>
    <s v="8:07:06 p. m."/>
    <n v="-76.722772906107707"/>
    <n v="3.4783144085273401"/>
    <n v="2119"/>
    <n v="0"/>
    <x v="1"/>
    <n v="20"/>
    <n v="10"/>
    <m/>
    <x v="1"/>
    <s v="Completamente"/>
    <x v="2"/>
    <x v="8"/>
    <s v="Llovizna"/>
    <s v="Bosque primario"/>
    <s v="Leonardo Belalcazar Salcedo"/>
    <s v="Herbaceo 0.3-1.5 m"/>
    <s v="Pristimantis silverstonei"/>
    <n v="1"/>
    <m/>
    <m/>
    <m/>
    <s v="Ninguna"/>
    <s v="Indeterminado"/>
    <s v="Visual"/>
  </r>
  <r>
    <d v="2024-10-16T00:00:00"/>
    <d v="2024-10-16T00:00:00"/>
    <s v="Leonardo Belalcazar Salcedo"/>
    <s v="8:05:10 p. m."/>
    <n v="-76.722813517232098"/>
    <n v="3.47812759084638"/>
    <n v="2119"/>
    <n v="0"/>
    <x v="1"/>
    <n v="20"/>
    <n v="10"/>
    <m/>
    <x v="1"/>
    <s v="Completamente"/>
    <x v="2"/>
    <x v="8"/>
    <s v="Llovizna"/>
    <s v="Bosque primario"/>
    <s v="Delia Maribel Cuspian"/>
    <s v="Herbaceo 0.3-1.5 m"/>
    <s v="Pristimantis erythropleura"/>
    <n v="1"/>
    <m/>
    <m/>
    <m/>
    <s v="Ninguna"/>
    <s v="Indeterminado"/>
    <s v="Visual"/>
  </r>
  <r>
    <d v="2024-10-16T00:00:00"/>
    <d v="2024-10-16T00:00:00"/>
    <s v="Leonardo Belalcazar Salcedo"/>
    <s v="7:59:16 p. m."/>
    <n v="-76.722798618016995"/>
    <n v="3.4781354674379199"/>
    <n v="2119"/>
    <n v="0"/>
    <x v="1"/>
    <n v="20"/>
    <n v="10"/>
    <m/>
    <x v="1"/>
    <s v="Completamente"/>
    <x v="2"/>
    <x v="8"/>
    <s v="Llovizna"/>
    <s v="Bosque primario"/>
    <s v="Delia Maribel Cuspian"/>
    <s v="Herbaceo 0.3-1.5 m"/>
    <s v="Pristimantis molybrignus"/>
    <n v="1"/>
    <m/>
    <m/>
    <m/>
    <s v="Ninguna"/>
    <s v="Indeterminado"/>
    <s v="Visual"/>
  </r>
  <r>
    <d v="2024-10-16T00:00:00"/>
    <d v="2024-10-16T00:00:00"/>
    <s v="Leonardo Belalcazar Salcedo"/>
    <s v="9:58:34 p. m."/>
    <n v="-76.721656053440697"/>
    <n v="3.48478607022943"/>
    <n v="2001"/>
    <n v="0"/>
    <x v="1"/>
    <n v="15"/>
    <n v="0"/>
    <m/>
    <x v="1"/>
    <s v="Completamente"/>
    <x v="3"/>
    <x v="6"/>
    <s v="Llovizna"/>
    <s v="Bosque secundario"/>
    <s v="Leonardo Belalcazar Salcedo"/>
    <s v="Herbaceo 0.3-1.5 m"/>
    <s v="Pristimantis erythropleura"/>
    <n v="1"/>
    <m/>
    <m/>
    <m/>
    <s v="Ninguna"/>
    <s v="Hembra"/>
    <s v="Visual"/>
  </r>
  <r>
    <d v="2024-10-16T00:00:00"/>
    <d v="2024-10-16T00:00:00"/>
    <s v="Leonardo Belalcazar Salcedo"/>
    <s v="9:43:24 p. m."/>
    <n v="-76.7230146301697"/>
    <n v="3.48401900464079"/>
    <n v="2004"/>
    <n v="0"/>
    <x v="1"/>
    <n v="10"/>
    <n v="0"/>
    <m/>
    <x v="1"/>
    <s v="Completamente"/>
    <x v="2"/>
    <x v="6"/>
    <s v="Llovizna"/>
    <s v="Bosque secundario"/>
    <s v="Delia Maribel Cuspian"/>
    <s v="Arbustivo 1.5-5 m"/>
    <s v="Pristimantis palmeri"/>
    <n v="1"/>
    <m/>
    <m/>
    <m/>
    <s v="Ganaderia"/>
    <s v="Indeterminado"/>
    <s v="Visual"/>
  </r>
  <r>
    <d v="2024-10-16T00:00:00"/>
    <d v="2024-10-16T00:00:00"/>
    <s v="Leonardo Belalcazar Salcedo"/>
    <s v="8:35:33 p. m."/>
    <n v="-76.723234678871805"/>
    <n v="3.4799917597369401"/>
    <n v="2119"/>
    <n v="0"/>
    <x v="1"/>
    <n v="20"/>
    <n v="5"/>
    <m/>
    <x v="1"/>
    <s v="Completamente"/>
    <x v="3"/>
    <x v="8"/>
    <s v="Llovizna"/>
    <s v="Bosque primario"/>
    <m/>
    <m/>
    <s v="Ninguna"/>
    <n v="0"/>
    <m/>
    <m/>
    <m/>
    <s v="Ninguna"/>
    <m/>
    <m/>
  </r>
  <r>
    <d v="2024-10-16T00:00:00"/>
    <d v="2024-10-16T00:00:00"/>
    <s v="John Sebastian Ovalle Talaga"/>
    <s v="7:53:38 p. m."/>
    <n v="-76.658763333333297"/>
    <n v="3.3574399999999902"/>
    <n v="2495"/>
    <n v="15"/>
    <x v="1"/>
    <n v="20"/>
    <n v="5"/>
    <m/>
    <x v="2"/>
    <s v="Completamente"/>
    <x v="3"/>
    <x v="14"/>
    <s v="Parcialmente nublado luna llena"/>
    <s v="Bosque ribere√±o"/>
    <m/>
    <m/>
    <s v="Ninguna"/>
    <m/>
    <m/>
    <m/>
    <m/>
    <m/>
    <m/>
    <m/>
  </r>
  <r>
    <d v="2024-10-16T00:00:00"/>
    <d v="2024-10-16T00:00:00"/>
    <s v="John Sebastian Ovalle Talaga"/>
    <s v="9:17:13 p. m."/>
    <n v="-76.657399999999996"/>
    <n v="3.3567216666666599"/>
    <n v="2648"/>
    <n v="1"/>
    <x v="1"/>
    <n v="25"/>
    <n v="5"/>
    <m/>
    <x v="2"/>
    <s v="Completamente"/>
    <x v="2"/>
    <x v="14"/>
    <s v="Despejado luna llena"/>
    <s v="Bosque ribere√±o"/>
    <s v="Ricardo Ocampo"/>
    <s v="Arbustivo 1.5-5 m"/>
    <s v="Pristimantis palmeri"/>
    <n v="2"/>
    <m/>
    <m/>
    <m/>
    <s v="Ninguna"/>
    <s v="Indeterminado"/>
    <s v="Auditivo"/>
  </r>
  <r>
    <d v="2024-10-16T00:00:00"/>
    <d v="2024-10-16T00:00:00"/>
    <s v="John Sebastian Ovalle Talaga"/>
    <s v="9:14:26 p. m."/>
    <n v="-76.657426666666595"/>
    <n v="3.3569200000000001"/>
    <n v="2648"/>
    <n v="1"/>
    <x v="1"/>
    <n v="25"/>
    <n v="5"/>
    <m/>
    <x v="2"/>
    <s v="Completamente"/>
    <x v="2"/>
    <x v="14"/>
    <s v="Despejado luna llena"/>
    <s v="Bosque ribere√±o"/>
    <s v="Ricardo Ocampo"/>
    <s v="Arbustivo 1.5-5 m"/>
    <s v="Pristimantis palmeri"/>
    <n v="3"/>
    <m/>
    <m/>
    <m/>
    <s v="Ninguna"/>
    <s v="Indeterminado"/>
    <s v="Auditivo"/>
  </r>
  <r>
    <d v="2024-10-16T00:00:00"/>
    <d v="2024-10-16T00:00:00"/>
    <s v="John Sebastian Ovalle Talaga"/>
    <s v="9:02:20 p. m."/>
    <n v="-76.657788333333301"/>
    <n v="3.35707333333333"/>
    <n v="2648"/>
    <n v="1"/>
    <x v="1"/>
    <n v="25"/>
    <n v="5"/>
    <m/>
    <x v="2"/>
    <s v="Completamente"/>
    <x v="2"/>
    <x v="14"/>
    <s v="Despejado luna llena"/>
    <s v="Bosque ribere√±o"/>
    <s v="Ricardo Ocampo"/>
    <s v="Arbustivo 1.5-5 m"/>
    <s v="Pristimantis palmeri"/>
    <n v="5"/>
    <s v="Verificar fotos"/>
    <m/>
    <m/>
    <s v="Ninguna"/>
    <s v="Indeterminado"/>
    <s v="Auditivo, Visual"/>
  </r>
  <r>
    <d v="2024-10-16T00:00:00"/>
    <d v="2024-10-16T00:00:00"/>
    <s v="John Sebastian Ovalle Talaga"/>
    <s v="11:41:44 p. m."/>
    <n v="-76.656083333333299"/>
    <n v="3.35554833333333"/>
    <n v="2554"/>
    <n v="50"/>
    <x v="1"/>
    <n v="25"/>
    <n v="15"/>
    <m/>
    <x v="2"/>
    <s v="Parcialmente"/>
    <x v="3"/>
    <x v="14"/>
    <s v="Despejado luna llena"/>
    <s v="Bosque secundario"/>
    <m/>
    <m/>
    <s v="Ninguna"/>
    <m/>
    <m/>
    <m/>
    <m/>
    <m/>
    <m/>
    <m/>
  </r>
  <r>
    <d v="2024-10-16T00:00:00"/>
    <d v="2024-10-16T00:00:00"/>
    <s v="John Sebastian Ovalle Talaga"/>
    <s v="11:21:03 p. m."/>
    <n v="-76.656031666666607"/>
    <n v="3.355245"/>
    <n v="2634"/>
    <n v="1"/>
    <x v="1"/>
    <n v="18"/>
    <n v="5"/>
    <m/>
    <x v="2"/>
    <s v="Completamente"/>
    <x v="2"/>
    <x v="14"/>
    <s v="Despejado luna llena"/>
    <s v="Bosque ribere√±o"/>
    <s v="Ricardo Ocampo"/>
    <s v="Herbaceo 0.3-1.5 m"/>
    <s v="Pristimantis achatinus"/>
    <n v="1"/>
    <m/>
    <m/>
    <m/>
    <s v="Ninguna"/>
    <s v="Indeterminado"/>
    <s v="Visual"/>
  </r>
  <r>
    <d v="2024-10-16T00:00:00"/>
    <d v="2024-10-16T00:00:00"/>
    <s v="John Sebastian Ovalle Talaga"/>
    <s v="11:10:50 p. m."/>
    <n v="-76.656355000000005"/>
    <n v="3.3552599999999999"/>
    <n v="2634"/>
    <n v="1"/>
    <x v="1"/>
    <n v="18"/>
    <n v="5"/>
    <m/>
    <x v="2"/>
    <s v="Completamente"/>
    <x v="2"/>
    <x v="14"/>
    <s v="Despejado luna llena"/>
    <s v="Bosque ribere√±o"/>
    <s v="Angie Alejandra Loaiza Lopez"/>
    <s v="Herbaceo 0.3-1.5 m"/>
    <s v="Pristimantis achatinus"/>
    <n v="1"/>
    <s v="Revisar fotos"/>
    <m/>
    <m/>
    <s v="Ninguna"/>
    <s v="Indeterminado"/>
    <s v="Visual"/>
  </r>
  <r>
    <d v="2024-10-16T00:00:00"/>
    <d v="2024-10-16T00:00:00"/>
    <s v="John Sebastian Ovalle Talaga"/>
    <s v="7:19:37 p. m."/>
    <n v="-76.6592633333333"/>
    <n v="3.3580733333333299"/>
    <n v="2658"/>
    <n v="1"/>
    <x v="1"/>
    <n v="20"/>
    <n v="10"/>
    <m/>
    <x v="2"/>
    <s v="Completamente"/>
    <x v="4"/>
    <x v="14"/>
    <s v="Parcialmente nublado luna llena"/>
    <s v="Bosque ripario"/>
    <m/>
    <m/>
    <s v="Ninguna"/>
    <m/>
    <m/>
    <m/>
    <m/>
    <m/>
    <m/>
    <m/>
  </r>
  <r>
    <d v="2024-10-16T00:00:00"/>
    <d v="2024-10-17T00:00:00"/>
    <s v="John Sebastian Ovalle Talaga"/>
    <s v="12:16:56 a. m."/>
    <n v="-76.656118333333296"/>
    <n v="3.3547933333333302"/>
    <n v="2621"/>
    <m/>
    <x v="1"/>
    <n v="20"/>
    <n v="15"/>
    <m/>
    <x v="2"/>
    <s v="Completamente"/>
    <x v="1"/>
    <x v="14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6T00:00:00"/>
    <d v="2024-10-17T00:00:00"/>
    <s v="John Sebastian Ovalle Talaga"/>
    <s v="12:15:16 a. m."/>
    <n v="-76.656371666666601"/>
    <n v="3.3549433333333298"/>
    <n v="2621"/>
    <m/>
    <x v="1"/>
    <n v="20"/>
    <n v="15"/>
    <m/>
    <x v="2"/>
    <s v="Completamente"/>
    <x v="1"/>
    <x v="14"/>
    <s v="Despejado luna llena"/>
    <s v="Bosque secundario"/>
    <s v="John Sebastian Ovalle Talaga"/>
    <s v="Herbaceo 0.3-1.5 m"/>
    <s v="Pristimantis acatallelus"/>
    <n v="1"/>
    <m/>
    <m/>
    <m/>
    <s v="Ninguna"/>
    <s v="Hembra"/>
    <s v="Visual"/>
  </r>
  <r>
    <d v="2024-10-16T00:00:00"/>
    <d v="2024-10-17T00:00:00"/>
    <s v="John Sebastian Ovalle Talaga"/>
    <s v="11:57:11 p. m."/>
    <n v="-76.656589999999994"/>
    <n v="3.355035"/>
    <n v="2621"/>
    <m/>
    <x v="1"/>
    <n v="20"/>
    <n v="15"/>
    <m/>
    <x v="2"/>
    <s v="Completamente"/>
    <x v="1"/>
    <x v="14"/>
    <s v="Despejado luna llena"/>
    <s v="Bosque secundario"/>
    <s v="John Sebastian Ovalle Talaga"/>
    <s v="Arbustivo 1.5-5 m"/>
    <s v="Pristimantis palmeri"/>
    <n v="3"/>
    <m/>
    <m/>
    <m/>
    <s v="Ninguna"/>
    <s v="Indeterminado"/>
    <s v="Auditivo"/>
  </r>
  <r>
    <d v="2024-10-16T00:00:00"/>
    <d v="2024-10-16T00:00:00"/>
    <s v="John Sebastian Ovalle Talaga"/>
    <s v="10:12:00 p. m."/>
    <n v="-76.656988333333302"/>
    <n v="3.3564483333333301"/>
    <n v="2608"/>
    <m/>
    <x v="1"/>
    <n v="23"/>
    <n v="15"/>
    <m/>
    <x v="2"/>
    <s v="Completamente"/>
    <x v="0"/>
    <x v="14"/>
    <s v="Despejado luna llena"/>
    <s v="Bosque secundario"/>
    <s v="Ricardo Ocampo"/>
    <s v="Herbaceo 0.3-1.5 m"/>
    <s v="Pristimantis palmeri"/>
    <n v="1"/>
    <m/>
    <m/>
    <m/>
    <s v="Ninguna"/>
    <s v="Indeterminado"/>
    <s v="Visual"/>
  </r>
  <r>
    <d v="2024-10-16T00:00:00"/>
    <d v="2024-10-16T00:00:00"/>
    <s v="John Sebastian Ovalle Talaga"/>
    <s v="10:06:24 p. m."/>
    <n v="-76.657548333333295"/>
    <n v="3.3566533333333299"/>
    <n v="2608"/>
    <m/>
    <x v="1"/>
    <n v="23"/>
    <n v="15"/>
    <m/>
    <x v="2"/>
    <s v="Completamente"/>
    <x v="0"/>
    <x v="14"/>
    <s v="Despejado luna llena"/>
    <s v="Bosque secundario"/>
    <s v="John Sebastian Ovalle Talaga"/>
    <s v="Arbustivo 1.5-5 m"/>
    <s v="Pristimantis palmeri"/>
    <n v="3"/>
    <m/>
    <m/>
    <m/>
    <s v="Ninguna"/>
    <s v="Indeterminado"/>
    <s v="Auditivo"/>
  </r>
  <r>
    <d v="2024-10-16T00:00:00"/>
    <d v="2024-10-16T00:00:00"/>
    <s v="John Sebastian Ovalle Talaga"/>
    <s v="9:57:52 p. m."/>
    <n v="-76.657346666666598"/>
    <n v="3.3566133333333301"/>
    <n v="2608"/>
    <m/>
    <x v="1"/>
    <n v="23"/>
    <n v="15"/>
    <m/>
    <x v="2"/>
    <s v="Completamente"/>
    <x v="0"/>
    <x v="14"/>
    <s v="Despejado luna llena"/>
    <s v="Bosque secundario"/>
    <s v="Ricardo Ocampo"/>
    <s v="Arbustivo 1.5-5 m"/>
    <s v="Pristimantis palmeri"/>
    <n v="1"/>
    <s v="Muy tuberculada, revisar fotos. Color cafe y verde"/>
    <m/>
    <m/>
    <s v="Ninguna"/>
    <s v="Indeterminado"/>
    <s v="Visual"/>
  </r>
  <r>
    <d v="2024-10-16T00:00:00"/>
    <d v="2024-10-16T00:00:00"/>
    <s v="John Sebastian Ovalle Talaga"/>
    <s v="9:43:44 p. m."/>
    <n v="-76.656665000000004"/>
    <n v="3.3565383333333298"/>
    <n v="2608"/>
    <m/>
    <x v="1"/>
    <n v="23"/>
    <n v="15"/>
    <m/>
    <x v="2"/>
    <s v="Completamente"/>
    <x v="0"/>
    <x v="14"/>
    <s v="Despejado luna llena"/>
    <s v="Bosque secundario"/>
    <s v="John Sebastian Ovalle Talaga"/>
    <m/>
    <s v="Pristimantis palmeri"/>
    <n v="2"/>
    <m/>
    <m/>
    <m/>
    <s v="Ninguna"/>
    <s v="Indeterminado"/>
    <s v="Auditivo"/>
  </r>
  <r>
    <d v="2024-10-15T00:00:00"/>
    <d v="2024-10-15T00:00:00"/>
    <s v="Leonardo Belalcazar Salcedo"/>
    <s v="9:49:27 p. m."/>
    <n v="-76.725547307636702"/>
    <n v="3.4996134972550199"/>
    <n v="1803"/>
    <n v="2"/>
    <x v="1"/>
    <n v="25"/>
    <n v="2"/>
    <m/>
    <x v="1"/>
    <s v="Completamente"/>
    <x v="2"/>
    <x v="9"/>
    <m/>
    <s v="Bosque secundario"/>
    <s v="Delia Maribel Cuspian"/>
    <s v="Herbaceo 0.3-1.5 m"/>
    <s v="Pristimantis erythropleura"/>
    <n v="1"/>
    <m/>
    <m/>
    <m/>
    <s v="Ninguna"/>
    <s v="Indeterminado"/>
    <s v="Visual"/>
  </r>
  <r>
    <d v="2024-10-15T00:00:00"/>
    <d v="2024-10-15T00:00:00"/>
    <s v="Leonardo Belalcazar Salcedo"/>
    <s v="9:37:57 p. m."/>
    <n v="-76.7255830053778"/>
    <n v="3.4996020226037401"/>
    <n v="1803"/>
    <n v="2"/>
    <x v="1"/>
    <n v="25"/>
    <n v="2"/>
    <m/>
    <x v="1"/>
    <s v="Completamente"/>
    <x v="2"/>
    <x v="9"/>
    <s v="Despejado luna llena"/>
    <s v="Bosque secundario"/>
    <s v="Leonardo Belalcazar Salcedo"/>
    <s v="Arbustivo 1.5-5 m"/>
    <s v="Pristimantis palmeri"/>
    <n v="1"/>
    <m/>
    <m/>
    <m/>
    <s v="Ninguna"/>
    <s v="Indeterminado"/>
    <s v="Visual"/>
  </r>
  <r>
    <d v="2024-10-15T00:00:00"/>
    <d v="2024-10-15T00:00:00"/>
    <s v="Leonardo Belalcazar Salcedo"/>
    <s v="9:36:06 p. m."/>
    <n v="-76.725643206868497"/>
    <n v="3.4996316029446"/>
    <n v="1803"/>
    <n v="2"/>
    <x v="1"/>
    <n v="25"/>
    <n v="2"/>
    <m/>
    <x v="1"/>
    <s v="Completamente"/>
    <x v="2"/>
    <x v="9"/>
    <s v="Despejado luna llena"/>
    <s v="Bosque secundario"/>
    <s v="Delia Maribel Cuspian"/>
    <s v="Arbustivo 1.5-5 m"/>
    <s v="Pristimantis molybrignus"/>
    <n v="1"/>
    <m/>
    <m/>
    <m/>
    <s v="Ninguna"/>
    <s v="Indeterminado"/>
    <s v="Visual"/>
  </r>
  <r>
    <d v="2024-10-15T00:00:00"/>
    <d v="2024-10-15T00:00:00"/>
    <s v="Leonardo Belalcazar Salcedo"/>
    <s v="8:43:38 p. m."/>
    <n v="-76.726122470897195"/>
    <n v="3.4996101082871198"/>
    <n v="1796"/>
    <n v="2"/>
    <x v="1"/>
    <n v="20"/>
    <n v="0"/>
    <m/>
    <x v="1"/>
    <s v="Completamente"/>
    <x v="1"/>
    <x v="9"/>
    <m/>
    <s v="Bosque ripario"/>
    <s v="Delia Maribel Cuspian"/>
    <s v="Arbustivo 1.5-5 m"/>
    <s v="Pristimantis palmeri"/>
    <n v="1"/>
    <m/>
    <m/>
    <m/>
    <s v="Ninguna"/>
    <s v="Macho"/>
    <s v="Visual"/>
  </r>
  <r>
    <d v="2024-10-15T00:00:00"/>
    <d v="2024-10-15T00:00:00"/>
    <s v="Leonardo Belalcazar Salcedo"/>
    <s v="8:40:50 p. m."/>
    <n v="-76.726200183035203"/>
    <n v="3.4997722524120198"/>
    <n v="1796"/>
    <n v="2"/>
    <x v="1"/>
    <n v="20"/>
    <n v="0"/>
    <m/>
    <x v="1"/>
    <s v="Completamente"/>
    <x v="1"/>
    <x v="9"/>
    <s v="Despejado luna llena"/>
    <s v="Bosque ripario"/>
    <s v="Delia Maribel Cuspian"/>
    <s v="Herbaceo 0.3-1.5 m"/>
    <s v="Pristimantis palmeri"/>
    <n v="1"/>
    <m/>
    <m/>
    <m/>
    <s v="Ninguna"/>
    <s v="Indeterminado"/>
    <s v="Visual"/>
  </r>
  <r>
    <d v="2024-10-15T00:00:00"/>
    <d v="2024-10-15T00:00:00"/>
    <s v="Leonardo Belalcazar Salcedo"/>
    <s v="8:40:50 p. m."/>
    <n v="-76.726200183035203"/>
    <n v="3.4997722524120198"/>
    <n v="1796"/>
    <n v="2"/>
    <x v="1"/>
    <n v="20"/>
    <n v="0"/>
    <m/>
    <x v="1"/>
    <s v="Completamente"/>
    <x v="1"/>
    <x v="9"/>
    <s v="Despejado luna llena"/>
    <s v="Bosque ripario"/>
    <s v="Leonardo Belalcazar Salcedo"/>
    <s v="Herbaceo 0.3-1.5 m"/>
    <s v="Pristimantis palmeri"/>
    <n v="1"/>
    <m/>
    <m/>
    <m/>
    <s v="Ninguna"/>
    <s v="Macho"/>
    <s v="Visual"/>
  </r>
  <r>
    <d v="2024-10-15T00:00:00"/>
    <d v="2024-10-15T00:00:00"/>
    <s v="John Sebastian Ovalle Talaga"/>
    <s v="7:25:33 p. m."/>
    <n v="-76.647130000000004"/>
    <n v="3.34948333333333"/>
    <n v="2400"/>
    <n v="1"/>
    <x v="1"/>
    <n v="7"/>
    <n v="5"/>
    <m/>
    <x v="2"/>
    <s v="Completamente"/>
    <x v="1"/>
    <x v="11"/>
    <s v="Parcialmente nublado luna llena"/>
    <s v="Arbustal"/>
    <s v="John Sebastian Ovalle Talaga"/>
    <s v="Rasante &lt;0.3 m"/>
    <s v="Pristimantis erythropleura"/>
    <n v="1"/>
    <m/>
    <m/>
    <m/>
    <s v="Ninguna"/>
    <s v="Macho"/>
    <s v="Visual"/>
  </r>
  <r>
    <d v="2024-10-15T00:00:00"/>
    <d v="2024-10-15T00:00:00"/>
    <s v="John Sebastian Ovalle Talaga"/>
    <s v="9:47:27 p. m."/>
    <n v="-76.647108333333307"/>
    <n v="3.3484833333333301"/>
    <n v="2400"/>
    <n v="30"/>
    <x v="1"/>
    <n v="6"/>
    <n v="10"/>
    <m/>
    <x v="2"/>
    <s v="Completamente"/>
    <x v="0"/>
    <x v="11"/>
    <s v="Parcialmente nublado luna llena"/>
    <s v="Bosque ribere√±o"/>
    <s v="Ricardo Ocampo"/>
    <s v="Arbustivo 1.5-5 m"/>
    <s v="Centrolene robledoi"/>
    <n v="1"/>
    <s v="Revisar fotos Sebasti√°n "/>
    <m/>
    <m/>
    <s v="Ninguna"/>
    <s v="Indeterminado"/>
    <s v="Visual"/>
  </r>
  <r>
    <d v="2024-10-15T00:00:00"/>
    <d v="2024-10-15T00:00:00"/>
    <s v="John Sebastian Ovalle Talaga"/>
    <s v="8:27:06 p. m."/>
    <n v="-76.646879999999996"/>
    <n v="3.34896666666666"/>
    <n v="2400"/>
    <n v="30"/>
    <x v="1"/>
    <n v="6"/>
    <n v="10"/>
    <m/>
    <x v="2"/>
    <s v="Completamente"/>
    <x v="0"/>
    <x v="11"/>
    <s v="Parcialmente nublado luna llena"/>
    <s v="Arbustal"/>
    <s v="Ricardo Ocampo"/>
    <s v="Herbaceo 0.3-1.5 m"/>
    <s v="Pristimantis palmeri"/>
    <n v="1"/>
    <m/>
    <m/>
    <m/>
    <s v="Ninguna"/>
    <s v="Indeterminado"/>
    <s v="Visual"/>
  </r>
  <r>
    <d v="2024-09-20T00:00:00"/>
    <d v="2024-09-20T00:00:00"/>
    <s v="Leonardo Belalcazar Salcedo"/>
    <s v="8:14:01 p. m."/>
    <n v="-76.680930000000004"/>
    <n v="3.40150666666666"/>
    <n v="3124"/>
    <n v="0"/>
    <x v="1"/>
    <n v="20"/>
    <n v="5"/>
    <m/>
    <x v="3"/>
    <s v="Completamente"/>
    <x v="0"/>
    <x v="16"/>
    <s v="Despejado"/>
    <s v="Bosque primario"/>
    <m/>
    <m/>
    <s v="Ninguna"/>
    <m/>
    <m/>
    <m/>
    <m/>
    <m/>
    <m/>
    <m/>
  </r>
  <r>
    <d v="2024-09-20T00:00:00"/>
    <d v="2024-09-20T00:00:00"/>
    <s v="Leonardo Belalcazar Salcedo"/>
    <s v="7:44:53 p. m."/>
    <n v="-76.679458333333301"/>
    <n v="3.4008366666666601"/>
    <n v="3124"/>
    <n v="0"/>
    <x v="1"/>
    <n v="20"/>
    <n v="5"/>
    <m/>
    <x v="3"/>
    <s v="Completamente"/>
    <x v="1"/>
    <x v="16"/>
    <s v="Despejado"/>
    <s v="Bosque primario"/>
    <s v="Ricardo Ocampo"/>
    <s v="Herbaceo 0.3-1.5 m"/>
    <s v="Pristimantis calcaratus"/>
    <n v="1"/>
    <m/>
    <m/>
    <m/>
    <s v="Ninguna"/>
    <s v="Indeterminado"/>
    <s v="Visual"/>
  </r>
  <r>
    <d v="2017-09-19T00:00:00"/>
    <m/>
    <m/>
    <d v="1899-12-30T09:12:00"/>
    <n v="-76.688502777777785"/>
    <n v="3.4086722222222221"/>
    <n v="3410"/>
    <n v="2"/>
    <x v="2"/>
    <n v="5"/>
    <n v="30"/>
    <m/>
    <x v="3"/>
    <m/>
    <x v="0"/>
    <x v="17"/>
    <m/>
    <m/>
    <s v="Gustavo Rodriguez"/>
    <m/>
    <s v="Ninguna"/>
    <n v="0"/>
    <s v="Bolsa plastica"/>
    <m/>
    <m/>
    <s v="Ninguna"/>
    <m/>
    <m/>
  </r>
  <r>
    <d v="2017-09-19T00:00:00"/>
    <m/>
    <m/>
    <d v="1899-12-30T09:36:00"/>
    <n v="-76.688802777777781"/>
    <n v="3.409130555555556"/>
    <n v="3389"/>
    <n v="1.3"/>
    <x v="2"/>
    <n v="3"/>
    <n v="35"/>
    <m/>
    <x v="3"/>
    <m/>
    <x v="0"/>
    <x v="17"/>
    <m/>
    <m/>
    <s v="Gustavo Rodriguez"/>
    <m/>
    <s v="Ninguna"/>
    <n v="0"/>
    <m/>
    <m/>
    <m/>
    <s v="Ninguna"/>
    <m/>
    <m/>
  </r>
  <r>
    <d v="2017-09-19T00:00:00"/>
    <m/>
    <m/>
    <d v="1899-12-30T09:14:00"/>
    <n v="-76.688336111111099"/>
    <n v="3.4086722222222221"/>
    <n v="3410"/>
    <n v="2"/>
    <x v="2"/>
    <n v="5"/>
    <n v="30"/>
    <m/>
    <x v="3"/>
    <m/>
    <x v="0"/>
    <x v="17"/>
    <m/>
    <m/>
    <s v="Alvaro Fierro"/>
    <m/>
    <s v="Ninguna"/>
    <n v="0"/>
    <m/>
    <m/>
    <m/>
    <s v="Ninguna"/>
    <m/>
    <m/>
  </r>
  <r>
    <d v="2017-09-19T00:00:00"/>
    <m/>
    <m/>
    <d v="1899-12-30T09:41:00"/>
    <n v="-76.688600000000008"/>
    <n v="3.4091916666666671"/>
    <n v="3391"/>
    <n v="0.8"/>
    <x v="2"/>
    <n v="5"/>
    <n v="60"/>
    <m/>
    <x v="3"/>
    <m/>
    <x v="0"/>
    <x v="17"/>
    <m/>
    <m/>
    <s v="Alvaro Fierro"/>
    <m/>
    <s v="Ninguna"/>
    <n v="0"/>
    <s v="Bolsa plastica"/>
    <m/>
    <m/>
    <s v="Ninguna"/>
    <m/>
    <m/>
  </r>
  <r>
    <d v="2017-09-19T00:00:00"/>
    <m/>
    <m/>
    <d v="1899-12-30T10:14:00"/>
    <n v="-76.688336111111113"/>
    <n v="3.409880555555556"/>
    <n v="3367"/>
    <n v="1.3"/>
    <x v="2"/>
    <n v="6"/>
    <n v="5"/>
    <m/>
    <x v="3"/>
    <m/>
    <x v="1"/>
    <x v="17"/>
    <m/>
    <m/>
    <s v="Alvaro Fierro"/>
    <m/>
    <s v="Ninguna"/>
    <n v="0"/>
    <m/>
    <m/>
    <m/>
    <s v="Ninguna"/>
    <m/>
    <m/>
  </r>
  <r>
    <d v="2017-09-19T00:00:00"/>
    <m/>
    <m/>
    <d v="1899-12-30T10:31:00"/>
    <n v="-76.688472222222231"/>
    <n v="3.4099861111111109"/>
    <n v="3355"/>
    <n v="1.1000000000000001"/>
    <x v="2"/>
    <n v="8"/>
    <n v="15"/>
    <m/>
    <x v="3"/>
    <m/>
    <x v="1"/>
    <x v="17"/>
    <m/>
    <m/>
    <s v="Alvaro Fierro"/>
    <m/>
    <s v="Ninguna"/>
    <n v="0"/>
    <s v="Bolsa plastica. lata de atún"/>
    <m/>
    <m/>
    <s v="Ninguna"/>
    <m/>
    <m/>
  </r>
  <r>
    <d v="2017-09-19T00:00:00"/>
    <m/>
    <m/>
    <d v="1899-12-30T10:40:00"/>
    <n v="-76.688394444444455"/>
    <n v="3.410563888888889"/>
    <n v="3354"/>
    <n v="1"/>
    <x v="2"/>
    <n v="6"/>
    <n v="7"/>
    <m/>
    <x v="3"/>
    <m/>
    <x v="1"/>
    <x v="17"/>
    <m/>
    <m/>
    <s v="Alvaro Fierro"/>
    <m/>
    <s v="Ninguna"/>
    <n v="0"/>
    <s v="Bolsa de agua"/>
    <m/>
    <m/>
    <s v="Ninguna"/>
    <m/>
    <m/>
  </r>
  <r>
    <d v="2017-09-19T00:00:00"/>
    <m/>
    <m/>
    <d v="1899-12-30T10:48:00"/>
    <n v="-76.688547222222226"/>
    <n v="3.410566666666667"/>
    <n v="3352"/>
    <n v="1.3"/>
    <x v="2"/>
    <n v="5"/>
    <n v="12"/>
    <m/>
    <x v="3"/>
    <m/>
    <x v="1"/>
    <x v="17"/>
    <m/>
    <m/>
    <s v="Gustavo Rodriguez"/>
    <m/>
    <s v="Ninguna"/>
    <n v="0"/>
    <s v="Bolsa. lata. bolsa de yogurt"/>
    <m/>
    <m/>
    <s v="Ninguna"/>
    <m/>
    <m/>
  </r>
  <r>
    <d v="2017-09-19T00:00:00"/>
    <m/>
    <m/>
    <d v="1899-12-30T10:54:00"/>
    <n v="-76.688541666666666"/>
    <n v="3.410563888888889"/>
    <n v="3356"/>
    <n v="1"/>
    <x v="2"/>
    <n v="4"/>
    <n v="10"/>
    <m/>
    <x v="3"/>
    <m/>
    <x v="1"/>
    <x v="17"/>
    <m/>
    <m/>
    <s v="Gustavo Rodriguez"/>
    <m/>
    <s v="Ninguna"/>
    <n v="0"/>
    <s v="Bolsa plastica"/>
    <m/>
    <m/>
    <s v="Ninguna"/>
    <m/>
    <m/>
  </r>
  <r>
    <d v="2017-09-19T00:00:00"/>
    <m/>
    <m/>
    <d v="1899-12-30T11:30:00"/>
    <n v="-76.689163888888899"/>
    <n v="3.4109472222222221"/>
    <n v="3313"/>
    <m/>
    <x v="2"/>
    <n v="3"/>
    <n v="25"/>
    <m/>
    <x v="3"/>
    <m/>
    <x v="2"/>
    <x v="17"/>
    <m/>
    <m/>
    <s v="Alvaro Fierro"/>
    <m/>
    <s v="Ninguna"/>
    <n v="0"/>
    <s v="Tarro plastico."/>
    <m/>
    <m/>
    <s v="Ninguna"/>
    <m/>
    <m/>
  </r>
  <r>
    <d v="2017-09-19T00:00:00"/>
    <m/>
    <m/>
    <d v="1899-12-30T11:49:00"/>
    <n v="-76.689147222222232"/>
    <n v="3.4113833333333332"/>
    <n v="3314"/>
    <m/>
    <x v="2"/>
    <n v="6"/>
    <n v="30"/>
    <m/>
    <x v="3"/>
    <m/>
    <x v="2"/>
    <x v="17"/>
    <m/>
    <m/>
    <s v="Alvaro Fierro"/>
    <m/>
    <s v="Ninguna"/>
    <n v="0"/>
    <s v="Llantas. tarro. manguera"/>
    <m/>
    <m/>
    <s v="Ninguna"/>
    <m/>
    <m/>
  </r>
  <r>
    <d v="2017-09-19T00:00:00"/>
    <m/>
    <m/>
    <d v="1899-12-30T11:40:00"/>
    <n v="-76.689163888888899"/>
    <n v="3.4109472222222221"/>
    <n v="3312"/>
    <m/>
    <x v="2"/>
    <n v="6"/>
    <n v="20"/>
    <m/>
    <x v="3"/>
    <m/>
    <x v="2"/>
    <x v="17"/>
    <m/>
    <m/>
    <s v="Gustavo Rodriguez"/>
    <m/>
    <s v="Ninguna"/>
    <n v="0"/>
    <s v="Manguera"/>
    <m/>
    <m/>
    <s v="Ninguna"/>
    <m/>
    <m/>
  </r>
  <r>
    <d v="2017-09-19T00:00:00"/>
    <m/>
    <m/>
    <d v="1899-12-30T12:00:00"/>
    <n v="-76.689111111111117"/>
    <n v="3.4113027777777778"/>
    <n v="3315"/>
    <m/>
    <x v="2"/>
    <n v="7"/>
    <n v="10"/>
    <m/>
    <x v="3"/>
    <m/>
    <x v="2"/>
    <x v="17"/>
    <m/>
    <m/>
    <s v="Gustavo Rodriguez"/>
    <m/>
    <s v="Ninguna"/>
    <n v="0"/>
    <s v="Manguera"/>
    <m/>
    <m/>
    <s v="Ninguna"/>
    <m/>
    <m/>
  </r>
  <r>
    <d v="2017-09-19T00:00:00"/>
    <m/>
    <m/>
    <m/>
    <n v="-76.689163888888899"/>
    <n v="3.411661111111111"/>
    <n v="3314"/>
    <m/>
    <x v="2"/>
    <n v="4"/>
    <n v="6"/>
    <m/>
    <x v="3"/>
    <m/>
    <x v="2"/>
    <x v="17"/>
    <m/>
    <m/>
    <m/>
    <m/>
    <s v="Ninguna"/>
    <n v="0"/>
    <s v="Bolsa. explosivos. manguera. bolsa de yogurt"/>
    <m/>
    <m/>
    <s v="Ninguna"/>
    <m/>
    <m/>
  </r>
  <r>
    <d v="2017-09-19T00:00:00"/>
    <m/>
    <m/>
    <d v="1899-12-30T10:14:00"/>
    <n v="-76.688336111111113"/>
    <n v="3.409880555555556"/>
    <n v="3367"/>
    <n v="1.3"/>
    <x v="2"/>
    <n v="6"/>
    <n v="5"/>
    <m/>
    <x v="3"/>
    <m/>
    <x v="1"/>
    <x v="17"/>
    <m/>
    <m/>
    <s v="Alvaro Fierro"/>
    <m/>
    <s v="Ninguna"/>
    <n v="0"/>
    <m/>
    <m/>
    <m/>
    <s v="Ninguna"/>
    <m/>
    <m/>
  </r>
  <r>
    <d v="2017-09-19T00:00:00"/>
    <m/>
    <m/>
    <d v="1899-12-30T10:31:00"/>
    <n v="-76.688472222222231"/>
    <n v="3.4099861111111109"/>
    <n v="3355"/>
    <n v="1.1000000000000001"/>
    <x v="2"/>
    <n v="8"/>
    <n v="15"/>
    <m/>
    <x v="3"/>
    <m/>
    <x v="1"/>
    <x v="17"/>
    <m/>
    <m/>
    <s v="Alvaro Fierro"/>
    <m/>
    <s v="Ninguna"/>
    <n v="0"/>
    <s v="Bolsa plastica. lata de atún"/>
    <m/>
    <m/>
    <s v="Ninguna"/>
    <m/>
    <m/>
  </r>
  <r>
    <d v="2017-09-19T00:00:00"/>
    <m/>
    <m/>
    <d v="1899-12-30T10:40:00"/>
    <n v="-76.688394444444455"/>
    <n v="3.410563888888889"/>
    <n v="3354"/>
    <n v="1"/>
    <x v="2"/>
    <n v="6"/>
    <n v="7"/>
    <m/>
    <x v="3"/>
    <m/>
    <x v="1"/>
    <x v="17"/>
    <m/>
    <m/>
    <s v="Alvaro Fierro"/>
    <m/>
    <s v="Ninguna"/>
    <n v="0"/>
    <s v="Bolsa de agua"/>
    <m/>
    <m/>
    <s v="Ninguna"/>
    <m/>
    <m/>
  </r>
  <r>
    <d v="2017-09-19T00:00:00"/>
    <m/>
    <m/>
    <d v="1899-12-30T22:00:00"/>
    <n v="-76.689166666666665"/>
    <n v="3.4113055555555549"/>
    <n v="3293"/>
    <m/>
    <x v="2"/>
    <n v="4"/>
    <n v="25"/>
    <m/>
    <x v="3"/>
    <m/>
    <x v="2"/>
    <x v="17"/>
    <m/>
    <m/>
    <s v="Gustavo Rodriguez"/>
    <m/>
    <s v="Pristimantis aff kelephus"/>
    <n v="1"/>
    <s v="peso 1.38. LRC = 2.5"/>
    <m/>
    <m/>
    <s v="Ninguna"/>
    <m/>
    <m/>
  </r>
  <r>
    <d v="2017-09-19T00:00:00"/>
    <m/>
    <m/>
    <d v="1899-12-30T22:50:00"/>
    <n v="-76.689361111111111"/>
    <n v="3.4115833333333332"/>
    <n v="3295"/>
    <n v="0.5"/>
    <x v="2"/>
    <n v="6"/>
    <n v="10"/>
    <m/>
    <x v="3"/>
    <m/>
    <x v="3"/>
    <x v="17"/>
    <m/>
    <m/>
    <s v="Oscar Cuellar"/>
    <m/>
    <s v="Ninguna"/>
    <n v="0"/>
    <s v="Lata de atun"/>
    <m/>
    <m/>
    <s v="Ninguna"/>
    <m/>
    <m/>
  </r>
  <r>
    <d v="2017-09-20T00:00:00"/>
    <m/>
    <m/>
    <d v="1899-12-30T10:10:00"/>
    <n v="-76.690694444444446"/>
    <n v="3.406194444444445"/>
    <n v="3416"/>
    <m/>
    <x v="2"/>
    <n v="0.3"/>
    <n v="14"/>
    <m/>
    <x v="3"/>
    <m/>
    <x v="3"/>
    <x v="18"/>
    <m/>
    <m/>
    <s v="Alvaro Fierro"/>
    <m/>
    <s v="Ninguna"/>
    <n v="0"/>
    <s v="Bolsa plastica"/>
    <m/>
    <m/>
    <s v="Ninguna"/>
    <m/>
    <m/>
  </r>
  <r>
    <d v="2017-09-20T00:00:00"/>
    <m/>
    <m/>
    <d v="1899-12-30T10:01:00"/>
    <n v="-76.690777777777782"/>
    <n v="3.4060555555555561"/>
    <n v="3422"/>
    <m/>
    <x v="2"/>
    <n v="1.5"/>
    <n v="15"/>
    <m/>
    <x v="3"/>
    <m/>
    <x v="3"/>
    <x v="18"/>
    <m/>
    <m/>
    <s v="Gustavo Rodriguez"/>
    <m/>
    <s v="Ninguna"/>
    <n v="0"/>
    <s v="3 Botellas plasticas"/>
    <m/>
    <m/>
    <s v="Ninguna"/>
    <m/>
    <m/>
  </r>
  <r>
    <d v="2017-09-20T00:00:00"/>
    <m/>
    <m/>
    <d v="1899-12-30T10:10:00"/>
    <n v="-76.690750000000008"/>
    <n v="3.4061111111111111"/>
    <n v="3419"/>
    <m/>
    <x v="2"/>
    <n v="2"/>
    <n v="12"/>
    <m/>
    <x v="3"/>
    <m/>
    <x v="3"/>
    <x v="18"/>
    <m/>
    <m/>
    <s v="Yimmy Angulo"/>
    <m/>
    <s v="Ninguna"/>
    <n v="0"/>
    <s v="Plastico"/>
    <m/>
    <m/>
    <s v="Ninguna"/>
    <m/>
    <m/>
  </r>
  <r>
    <d v="2017-09-20T00:00:00"/>
    <m/>
    <m/>
    <d v="1899-12-30T11:01:00"/>
    <n v="-76.688527777777779"/>
    <n v="3.4080277777777779"/>
    <n v="3420"/>
    <m/>
    <x v="2"/>
    <n v="2"/>
    <n v="8"/>
    <m/>
    <x v="3"/>
    <m/>
    <x v="0"/>
    <x v="18"/>
    <m/>
    <m/>
    <s v="Alvaro Fierro"/>
    <m/>
    <s v="Ninguna"/>
    <n v="0"/>
    <s v="Bolsa plastica"/>
    <m/>
    <m/>
    <s v="Ninguna"/>
    <m/>
    <m/>
  </r>
  <r>
    <d v="2017-09-20T00:00:00"/>
    <m/>
    <m/>
    <d v="1899-12-30T21:48:00"/>
    <n v="-76.690583333333336"/>
    <n v="3.4066666666666672"/>
    <n v="3420"/>
    <m/>
    <x v="2"/>
    <n v="2"/>
    <n v="6"/>
    <m/>
    <x v="3"/>
    <m/>
    <x v="2"/>
    <x v="18"/>
    <m/>
    <s v="Bosque secundario"/>
    <s v="Alvaro Fierro"/>
    <m/>
    <s v="Pristimantis aff leptolophus"/>
    <n v="1"/>
    <m/>
    <m/>
    <m/>
    <s v="Ninguna"/>
    <m/>
    <m/>
  </r>
  <r>
    <d v="2017-09-20T00:00:00"/>
    <m/>
    <m/>
    <d v="1899-12-30T22:10:00"/>
    <n v="-76.69061111111111"/>
    <n v="3.4063888888888889"/>
    <n v="3429"/>
    <m/>
    <x v="2"/>
    <m/>
    <n v="8"/>
    <m/>
    <x v="3"/>
    <m/>
    <x v="3"/>
    <x v="18"/>
    <m/>
    <s v="Bosque secundario"/>
    <s v="Alvaro Fierro"/>
    <m/>
    <s v="Pristimantis aff leptolophus"/>
    <n v="1"/>
    <m/>
    <m/>
    <m/>
    <s v="Ninguna"/>
    <m/>
    <m/>
  </r>
  <r>
    <d v="2017-09-20T00:00:00"/>
    <m/>
    <m/>
    <d v="1899-12-30T23:04:00"/>
    <n v="-76.690555555555562"/>
    <n v="3.4060833333333331"/>
    <n v="3430"/>
    <m/>
    <x v="2"/>
    <n v="2"/>
    <n v="15"/>
    <m/>
    <x v="3"/>
    <m/>
    <x v="3"/>
    <x v="18"/>
    <m/>
    <s v="Bosque secundario"/>
    <s v="Alvaro Fierro"/>
    <m/>
    <s v="Pristimantis aff leptolophus"/>
    <n v="1"/>
    <m/>
    <m/>
    <m/>
    <s v="Ninguna"/>
    <m/>
    <m/>
  </r>
  <r>
    <d v="2017-09-20T00:00:00"/>
    <m/>
    <m/>
    <d v="1899-12-30T21:35:00"/>
    <n v="-76.6905"/>
    <n v="3.4067777777777781"/>
    <n v="3430"/>
    <m/>
    <x v="2"/>
    <n v="3.5"/>
    <n v="10"/>
    <m/>
    <x v="3"/>
    <m/>
    <x v="2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2:00:00"/>
    <n v="-76.69061111111111"/>
    <n v="3.4063888888888889"/>
    <n v="3429"/>
    <m/>
    <x v="2"/>
    <n v="1"/>
    <n v="20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2:23:00"/>
    <n v="-76.69061111111111"/>
    <n v="3.4063888888888889"/>
    <n v="3429"/>
    <m/>
    <x v="2"/>
    <n v="1"/>
    <n v="20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2:23:00"/>
    <n v="-76.69061111111111"/>
    <n v="3.4063888888888889"/>
    <n v="3429"/>
    <m/>
    <x v="2"/>
    <n v="1"/>
    <n v="20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2:42:00"/>
    <n v="-76.690583333333336"/>
    <n v="3.406222222222222"/>
    <n v="3420"/>
    <m/>
    <x v="2"/>
    <n v="2.5"/>
    <n v="15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2:53:00"/>
    <n v="-76.690694444444446"/>
    <n v="3.406138888888889"/>
    <n v="3430"/>
    <m/>
    <x v="2"/>
    <n v="1"/>
    <n v="10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3:06:00"/>
    <n v="-76.69072222222222"/>
    <n v="3.4060555555555561"/>
    <n v="3420"/>
    <m/>
    <x v="2"/>
    <n v="1"/>
    <n v="25"/>
    <m/>
    <x v="3"/>
    <m/>
    <x v="3"/>
    <x v="18"/>
    <m/>
    <s v="Bosque secundario"/>
    <s v="Oscar Martinez"/>
    <m/>
    <s v="Pristimantis aff leptolophus"/>
    <n v="1"/>
    <m/>
    <m/>
    <m/>
    <s v="Ninguna"/>
    <m/>
    <m/>
  </r>
  <r>
    <d v="2017-09-20T00:00:00"/>
    <m/>
    <m/>
    <d v="1899-12-30T21:30:00"/>
    <n v="-76.690222222222232"/>
    <n v="3.407027777777778"/>
    <n v="3497"/>
    <m/>
    <x v="2"/>
    <m/>
    <m/>
    <m/>
    <x v="3"/>
    <m/>
    <x v="2"/>
    <x v="18"/>
    <m/>
    <m/>
    <s v="Gustavo Rodriguez"/>
    <m/>
    <s v="Ninguna"/>
    <n v="0"/>
    <m/>
    <m/>
    <m/>
    <s v="Ninguna"/>
    <m/>
    <m/>
  </r>
  <r>
    <d v="2017-09-20T00:00:00"/>
    <m/>
    <m/>
    <d v="1899-12-30T19:56:00"/>
    <n v="-76.688638888888889"/>
    <n v="3.4079999999999999"/>
    <n v="3420"/>
    <m/>
    <x v="2"/>
    <n v="0.6"/>
    <n v="6"/>
    <m/>
    <x v="3"/>
    <m/>
    <x v="0"/>
    <x v="18"/>
    <m/>
    <m/>
    <s v="Alvaro Fierro"/>
    <m/>
    <s v="Ninguna"/>
    <n v="0"/>
    <s v="Bolsa plastica"/>
    <m/>
    <m/>
    <s v="Ninguna"/>
    <m/>
    <m/>
  </r>
  <r>
    <d v="2017-09-21T00:00:00"/>
    <m/>
    <m/>
    <d v="1899-12-30T20:00:00"/>
    <n v="-76.680027777777781"/>
    <n v="3.4011111111111112"/>
    <n v="3070"/>
    <m/>
    <x v="2"/>
    <m/>
    <m/>
    <m/>
    <x v="3"/>
    <m/>
    <x v="1"/>
    <x v="16"/>
    <m/>
    <m/>
    <s v="Gustavo Rodriguez"/>
    <m/>
    <s v="Ninguna"/>
    <n v="0"/>
    <m/>
    <m/>
    <m/>
    <s v="Ninguna"/>
    <m/>
    <m/>
  </r>
  <r>
    <d v="2017-09-21T00:00:00"/>
    <m/>
    <m/>
    <d v="1899-12-30T22:45:00"/>
    <n v="-76.678472222222226"/>
    <n v="3.401666666666666"/>
    <n v="2990"/>
    <m/>
    <x v="2"/>
    <n v="20"/>
    <n v="15"/>
    <m/>
    <x v="3"/>
    <m/>
    <x v="0"/>
    <x v="19"/>
    <m/>
    <m/>
    <s v="Gustavo Rodriguez"/>
    <m/>
    <s v="Ninguna"/>
    <n v="0"/>
    <s v="Botella plastica"/>
    <m/>
    <m/>
    <s v="Ninguna"/>
    <m/>
    <m/>
  </r>
  <r>
    <d v="2017-09-21T00:00:00"/>
    <m/>
    <m/>
    <d v="1899-12-30T22:50:00"/>
    <n v="-76.678750000000008"/>
    <n v="3.4009722222222218"/>
    <n v="3110"/>
    <m/>
    <x v="2"/>
    <m/>
    <m/>
    <m/>
    <x v="3"/>
    <m/>
    <x v="2"/>
    <x v="16"/>
    <m/>
    <m/>
    <s v="Gustavo Rodriguez"/>
    <m/>
    <s v="Ninguna"/>
    <n v="0"/>
    <m/>
    <m/>
    <m/>
    <s v="Ninguna"/>
    <m/>
    <m/>
  </r>
  <r>
    <d v="2017-09-21T00:00:00"/>
    <m/>
    <m/>
    <d v="1899-12-30T23:30:00"/>
    <n v="-76.678166666666669"/>
    <n v="3.4021111111111111"/>
    <n v="3000"/>
    <m/>
    <x v="2"/>
    <m/>
    <m/>
    <m/>
    <x v="3"/>
    <m/>
    <x v="0"/>
    <x v="19"/>
    <m/>
    <m/>
    <s v="Gustavo Rodriguez"/>
    <m/>
    <s v="Ninguna"/>
    <n v="0"/>
    <m/>
    <m/>
    <m/>
    <s v="Ninguna"/>
    <m/>
    <m/>
  </r>
  <r>
    <d v="2017-09-22T00:00:00"/>
    <m/>
    <m/>
    <d v="1899-12-30T20:00:00"/>
    <n v="-76.687305555555554"/>
    <n v="3.3858888888888892"/>
    <n v="3600"/>
    <m/>
    <x v="2"/>
    <m/>
    <m/>
    <m/>
    <x v="3"/>
    <m/>
    <x v="0"/>
    <x v="20"/>
    <m/>
    <m/>
    <s v="Gustavo Rodriguez"/>
    <m/>
    <s v="Ninguna"/>
    <n v="0"/>
    <m/>
    <m/>
    <m/>
    <s v="Ninguna"/>
    <m/>
    <m/>
  </r>
  <r>
    <d v="2017-09-22T00:00:00"/>
    <m/>
    <m/>
    <d v="1899-12-30T21:00:00"/>
    <n v="-76.687638888888898"/>
    <n v="3.3858611111111112"/>
    <n v="3610"/>
    <m/>
    <x v="2"/>
    <m/>
    <m/>
    <m/>
    <x v="3"/>
    <m/>
    <x v="1"/>
    <x v="20"/>
    <m/>
    <m/>
    <s v="Gustavo Rodriguez"/>
    <m/>
    <s v="Ninguna"/>
    <n v="0"/>
    <m/>
    <m/>
    <m/>
    <s v="Ninguna"/>
    <m/>
    <m/>
  </r>
  <r>
    <d v="2017-09-22T00:00:00"/>
    <m/>
    <m/>
    <d v="1899-12-30T22:00:00"/>
    <n v="-76.688416666666669"/>
    <n v="3.385472222222222"/>
    <n v="3600"/>
    <m/>
    <x v="2"/>
    <m/>
    <m/>
    <m/>
    <x v="3"/>
    <m/>
    <x v="4"/>
    <x v="20"/>
    <m/>
    <m/>
    <s v="Gustavo Rodriguez"/>
    <m/>
    <s v="Ninguna"/>
    <n v="0"/>
    <m/>
    <m/>
    <m/>
    <s v="Ninguna"/>
    <m/>
    <m/>
  </r>
  <r>
    <d v="2017-11-21T00:00:00"/>
    <m/>
    <m/>
    <d v="1899-12-30T19:45:00"/>
    <n v="-76.722916666666663"/>
    <n v="3.4827499999999998"/>
    <n v="1975"/>
    <m/>
    <x v="2"/>
    <n v="8"/>
    <n v="3"/>
    <m/>
    <x v="1"/>
    <m/>
    <x v="0"/>
    <x v="6"/>
    <m/>
    <s v="Bosque secundario"/>
    <s v="Alvaro Fierro"/>
    <m/>
    <s v="Pristimantis palmeri"/>
    <n v="1"/>
    <m/>
    <m/>
    <m/>
    <s v="Ninguna"/>
    <m/>
    <m/>
  </r>
  <r>
    <d v="2017-11-21T00:00:00"/>
    <m/>
    <m/>
    <d v="1899-12-30T20:00:00"/>
    <n v="-76.722972222222225"/>
    <n v="3.4827222222222218"/>
    <n v="2019"/>
    <m/>
    <x v="2"/>
    <n v="8"/>
    <n v="15"/>
    <m/>
    <x v="1"/>
    <m/>
    <x v="0"/>
    <x v="6"/>
    <m/>
    <s v="Bosque secundario"/>
    <s v="Gustavo Rodriguez"/>
    <m/>
    <s v="Hypodactylus mantipus"/>
    <n v="1"/>
    <m/>
    <m/>
    <m/>
    <s v="Ninguna"/>
    <m/>
    <m/>
  </r>
  <r>
    <d v="2017-11-21T00:00:00"/>
    <m/>
    <m/>
    <d v="1899-12-30T20:06:00"/>
    <n v="-76.722972222222225"/>
    <n v="3.4827222222222218"/>
    <n v="2019"/>
    <m/>
    <x v="2"/>
    <n v="4"/>
    <n v="5"/>
    <m/>
    <x v="1"/>
    <m/>
    <x v="0"/>
    <x v="6"/>
    <m/>
    <s v="Bosque secundario"/>
    <s v="Oscar Martinez"/>
    <m/>
    <s v="Hypodactylus mantipus"/>
    <n v="1"/>
    <m/>
    <m/>
    <m/>
    <s v="Ninguna"/>
    <m/>
    <m/>
  </r>
  <r>
    <d v="2017-11-21T00:00:00"/>
    <m/>
    <m/>
    <d v="1899-12-30T20:16:00"/>
    <n v="-76.722972222222225"/>
    <n v="3.4827222222222218"/>
    <n v="2019"/>
    <m/>
    <x v="2"/>
    <n v="5"/>
    <n v="3"/>
    <m/>
    <x v="1"/>
    <m/>
    <x v="0"/>
    <x v="6"/>
    <m/>
    <s v="Bosque secundario"/>
    <s v="Carolina Burbano"/>
    <m/>
    <s v="Hypodactylus mantipus"/>
    <n v="1"/>
    <m/>
    <m/>
    <m/>
    <s v="Ninguna"/>
    <m/>
    <m/>
  </r>
  <r>
    <d v="2017-11-21T00:00:00"/>
    <m/>
    <m/>
    <d v="1899-12-30T20:20:00"/>
    <n v="-76.722916666666663"/>
    <n v="3.4827499999999998"/>
    <n v="2035"/>
    <m/>
    <x v="2"/>
    <n v="8"/>
    <n v="5"/>
    <m/>
    <x v="1"/>
    <m/>
    <x v="0"/>
    <x v="6"/>
    <m/>
    <s v="Bosque secundario"/>
    <s v="Alvaro Fierro"/>
    <m/>
    <s v="Hypodactylus mantipus"/>
    <n v="1"/>
    <m/>
    <m/>
    <m/>
    <s v="Ninguna"/>
    <m/>
    <m/>
  </r>
  <r>
    <d v="2017-11-21T00:00:00"/>
    <m/>
    <m/>
    <d v="1899-12-30T19:45:00"/>
    <n v="-76.723194444444445"/>
    <n v="3.4828055555555562"/>
    <n v="1972"/>
    <m/>
    <x v="2"/>
    <n v="6"/>
    <n v="1"/>
    <m/>
    <x v="1"/>
    <m/>
    <x v="0"/>
    <x v="6"/>
    <m/>
    <s v="Bosque secundario"/>
    <s v="Gustavo Rodriguez"/>
    <m/>
    <s v="Pristimantis palmeri"/>
    <n v="1"/>
    <m/>
    <m/>
    <m/>
    <s v="Ninguna"/>
    <m/>
    <m/>
  </r>
  <r>
    <d v="2017-11-21T00:00:00"/>
    <m/>
    <m/>
    <d v="1899-12-30T19:45:00"/>
    <n v="-76.723194444444445"/>
    <n v="3.4828055555555562"/>
    <n v="1972"/>
    <m/>
    <x v="2"/>
    <n v="6"/>
    <n v="1"/>
    <m/>
    <x v="1"/>
    <m/>
    <x v="0"/>
    <x v="6"/>
    <m/>
    <s v="Bosque secundario"/>
    <s v="Hamilton Bermudez"/>
    <m/>
    <s v="Pristimantis palmeri"/>
    <n v="1"/>
    <m/>
    <m/>
    <m/>
    <s v="Ninguna"/>
    <m/>
    <m/>
  </r>
  <r>
    <d v="2017-11-21T00:00:00"/>
    <m/>
    <m/>
    <d v="1899-12-30T19:50:00"/>
    <n v="-76.723194444444445"/>
    <n v="3.4828055555555562"/>
    <n v="1972"/>
    <m/>
    <x v="2"/>
    <n v="9"/>
    <n v="5"/>
    <m/>
    <x v="1"/>
    <m/>
    <x v="0"/>
    <x v="6"/>
    <m/>
    <s v="Bosque secundario"/>
    <s v="Gustavo Rodriguez"/>
    <m/>
    <s v="Pristimantis palmeri"/>
    <n v="1"/>
    <m/>
    <m/>
    <m/>
    <s v="Ninguna"/>
    <m/>
    <m/>
  </r>
  <r>
    <d v="2017-11-21T00:00:00"/>
    <m/>
    <m/>
    <d v="1899-12-30T20:15:00"/>
    <n v="-76.722972222222225"/>
    <n v="3.4827222222222218"/>
    <n v="2019"/>
    <m/>
    <x v="2"/>
    <m/>
    <n v="50"/>
    <m/>
    <x v="1"/>
    <m/>
    <x v="0"/>
    <x v="6"/>
    <m/>
    <s v="Bosque secundario"/>
    <s v="Hamilton Bermudez"/>
    <m/>
    <s v="Pristimantis palmeri"/>
    <n v="1"/>
    <m/>
    <m/>
    <m/>
    <s v="Ninguna"/>
    <m/>
    <m/>
  </r>
  <r>
    <d v="2017-11-21T00:00:00"/>
    <m/>
    <m/>
    <d v="1899-12-30T20:16:00"/>
    <n v="-76.722972222222225"/>
    <n v="3.4827222222222218"/>
    <n v="2019"/>
    <m/>
    <x v="2"/>
    <m/>
    <n v="50"/>
    <m/>
    <x v="1"/>
    <m/>
    <x v="0"/>
    <x v="6"/>
    <m/>
    <s v="Bosque secundario"/>
    <s v="Hamilton Bermudez"/>
    <m/>
    <s v="Pristimantis palmeri"/>
    <n v="1"/>
    <m/>
    <m/>
    <m/>
    <s v="Ninguna"/>
    <m/>
    <m/>
  </r>
  <r>
    <d v="2017-11-21T00:00:00"/>
    <m/>
    <m/>
    <d v="1899-12-30T21:15:00"/>
    <n v="-76.722805555555553"/>
    <n v="3.4824166666666669"/>
    <n v="2068"/>
    <m/>
    <x v="2"/>
    <n v="6"/>
    <n v="10"/>
    <m/>
    <x v="1"/>
    <m/>
    <x v="0"/>
    <x v="6"/>
    <m/>
    <s v="Bosque secundario"/>
    <s v="Alvaro Fierro"/>
    <m/>
    <s v="Pristimantis molybrignus"/>
    <n v="1"/>
    <s v="Fotografia 8666-8677"/>
    <m/>
    <m/>
    <s v="Ninguna"/>
    <m/>
    <m/>
  </r>
  <r>
    <d v="2017-11-21T00:00:00"/>
    <m/>
    <m/>
    <d v="1899-12-30T22:20:00"/>
    <n v="-76.722972222222225"/>
    <n v="3.481527777777778"/>
    <n v="2086"/>
    <m/>
    <x v="2"/>
    <n v="10"/>
    <n v="15"/>
    <m/>
    <x v="1"/>
    <m/>
    <x v="4"/>
    <x v="8"/>
    <m/>
    <s v="Bosque secundario"/>
    <s v="Oscar Martinez"/>
    <m/>
    <s v="Pristimantis molybrignus"/>
    <n v="1"/>
    <s v="Fotografia 8706-8712"/>
    <m/>
    <m/>
    <s v="Ninguna"/>
    <m/>
    <m/>
  </r>
  <r>
    <d v="2017-11-21T00:00:00"/>
    <m/>
    <m/>
    <d v="1899-12-30T22:47:00"/>
    <n v="-76.723027777777773"/>
    <n v="3.4813888888888891"/>
    <n v="2094"/>
    <m/>
    <x v="2"/>
    <n v="10"/>
    <n v="5"/>
    <m/>
    <x v="1"/>
    <m/>
    <x v="4"/>
    <x v="8"/>
    <m/>
    <s v="Bosque secundario"/>
    <s v="Alvaro Fierro"/>
    <m/>
    <s v="Pristimantis molybrignus"/>
    <n v="1"/>
    <m/>
    <m/>
    <m/>
    <s v="Ninguna"/>
    <m/>
    <m/>
  </r>
  <r>
    <d v="2017-11-21T00:00:00"/>
    <m/>
    <m/>
    <d v="1899-12-30T22:25:00"/>
    <n v="-76.722999999999999"/>
    <n v="3.481527777777778"/>
    <n v="2090"/>
    <m/>
    <x v="2"/>
    <n v="12"/>
    <n v="3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22:40:00"/>
    <n v="-76.722861111111115"/>
    <n v="3.4813611111111111"/>
    <n v="2089"/>
    <m/>
    <x v="2"/>
    <n v="10"/>
    <n v="2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22:42:00"/>
    <n v="-76.722861111111115"/>
    <n v="3.4813611111111111"/>
    <n v="2089"/>
    <m/>
    <x v="2"/>
    <n v="15"/>
    <n v="2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23:39:00"/>
    <n v="-76.723138888888897"/>
    <n v="3.480777777777778"/>
    <n v="2108"/>
    <m/>
    <x v="2"/>
    <n v="10"/>
    <n v="15"/>
    <m/>
    <x v="1"/>
    <m/>
    <x v="4"/>
    <x v="8"/>
    <m/>
    <s v="Bosque secundario"/>
    <s v="Carolina Burbano"/>
    <m/>
    <s v="Bolitoglossa walkeri"/>
    <n v="1"/>
    <m/>
    <m/>
    <m/>
    <s v="Ninguna"/>
    <m/>
    <m/>
  </r>
  <r>
    <d v="2017-11-21T00:00:00"/>
    <m/>
    <m/>
    <d v="1899-12-30T23:42:00"/>
    <n v="-76.723111111111109"/>
    <n v="3.48075"/>
    <n v="2108"/>
    <m/>
    <x v="2"/>
    <n v="10"/>
    <n v="20"/>
    <m/>
    <x v="1"/>
    <m/>
    <x v="4"/>
    <x v="8"/>
    <m/>
    <s v="Bosque secundario"/>
    <s v="Carolina Burbano"/>
    <m/>
    <s v="Pristimantis molybrignus"/>
    <n v="1"/>
    <m/>
    <m/>
    <m/>
    <s v="Ninguna"/>
    <m/>
    <m/>
  </r>
  <r>
    <d v="2017-11-21T00:00:00"/>
    <m/>
    <m/>
    <d v="1899-12-30T23:15:00"/>
    <n v="-76.723138888888897"/>
    <n v="3.4810833333333329"/>
    <n v="2101"/>
    <m/>
    <x v="2"/>
    <n v="9"/>
    <n v="15"/>
    <m/>
    <x v="1"/>
    <m/>
    <x v="4"/>
    <x v="8"/>
    <m/>
    <s v="Bosque secundario"/>
    <s v="Hamilton Bermudez"/>
    <m/>
    <s v="Pristimantis palmeri"/>
    <n v="1"/>
    <m/>
    <m/>
    <m/>
    <s v="Ninguna"/>
    <m/>
    <m/>
  </r>
  <r>
    <d v="2017-11-21T00:00:00"/>
    <m/>
    <m/>
    <d v="1899-12-30T23:25:00"/>
    <n v="-76.723138888888897"/>
    <n v="3.4809166666666669"/>
    <n v="2101"/>
    <m/>
    <x v="2"/>
    <n v="10"/>
    <n v="1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23:35:00"/>
    <n v="-76.723250000000007"/>
    <n v="3.480777777777778"/>
    <n v="2107"/>
    <m/>
    <x v="2"/>
    <n v="12"/>
    <n v="15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23:35:00"/>
    <n v="-76.723250000000007"/>
    <n v="3.480777777777778"/>
    <n v="2107"/>
    <m/>
    <x v="2"/>
    <n v="12"/>
    <n v="15"/>
    <m/>
    <x v="1"/>
    <m/>
    <x v="4"/>
    <x v="8"/>
    <m/>
    <s v="Bosque secundario"/>
    <s v="Hamilton Bermudez"/>
    <m/>
    <s v="Bolitoglossa walkeri"/>
    <n v="1"/>
    <m/>
    <m/>
    <m/>
    <s v="Ninguna"/>
    <m/>
    <m/>
  </r>
  <r>
    <d v="2017-11-21T00:00:00"/>
    <m/>
    <m/>
    <d v="1899-12-30T23:45:00"/>
    <n v="-76.723250000000007"/>
    <n v="3.48075"/>
    <n v="2108"/>
    <m/>
    <x v="2"/>
    <n v="10"/>
    <n v="5"/>
    <m/>
    <x v="1"/>
    <m/>
    <x v="4"/>
    <x v="8"/>
    <m/>
    <s v="Bosque secundario"/>
    <s v="Gustavo Rodriguez"/>
    <m/>
    <s v="Pristimantis molybrignus"/>
    <n v="1"/>
    <m/>
    <m/>
    <m/>
    <s v="Ninguna"/>
    <m/>
    <m/>
  </r>
  <r>
    <d v="2017-11-21T00:00:00"/>
    <m/>
    <m/>
    <d v="1899-12-30T23:50:00"/>
    <n v="-76.723250000000007"/>
    <n v="3.4805277777777781"/>
    <n v="2137"/>
    <m/>
    <x v="2"/>
    <n v="10"/>
    <n v="5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7-11-21T00:00:00"/>
    <m/>
    <m/>
    <d v="1899-12-30T00:40:00"/>
    <n v="-76.724000000000004"/>
    <n v="3.4841666666666669"/>
    <n v="2068"/>
    <m/>
    <x v="2"/>
    <n v="8"/>
    <n v="10"/>
    <m/>
    <x v="1"/>
    <m/>
    <x v="1"/>
    <x v="6"/>
    <m/>
    <s v="Bosque secundario"/>
    <s v="Alvaro Fierro"/>
    <m/>
    <s v="Pristimantis palmeri"/>
    <n v="1"/>
    <m/>
    <m/>
    <m/>
    <s v="Ninguna"/>
    <m/>
    <m/>
  </r>
  <r>
    <d v="2017-11-22T00:00:00"/>
    <m/>
    <m/>
    <d v="1899-12-30T20:32:00"/>
    <n v="-76.713916666666663"/>
    <n v="3.487805555555556"/>
    <n v="1859"/>
    <n v="1.1499999999999999"/>
    <x v="2"/>
    <n v="15"/>
    <n v="30"/>
    <m/>
    <x v="1"/>
    <m/>
    <x v="0"/>
    <x v="12"/>
    <m/>
    <s v="Bosque ripario"/>
    <s v="Alvaro Fierro"/>
    <m/>
    <s v="Pristimantis palmeri"/>
    <n v="1"/>
    <m/>
    <m/>
    <m/>
    <s v="Ninguna"/>
    <m/>
    <m/>
  </r>
  <r>
    <d v="2017-11-22T00:00:00"/>
    <m/>
    <m/>
    <d v="1899-12-30T20:39:00"/>
    <n v="-76.714055555555561"/>
    <n v="3.487805555555556"/>
    <n v="1863"/>
    <n v="1"/>
    <x v="2"/>
    <n v="12"/>
    <n v="20"/>
    <m/>
    <x v="1"/>
    <m/>
    <x v="0"/>
    <x v="12"/>
    <m/>
    <s v="Bosque ripario"/>
    <s v="Oscar Matinez"/>
    <m/>
    <s v="Pristimantis palmeri"/>
    <n v="1"/>
    <m/>
    <m/>
    <m/>
    <s v="Ninguna"/>
    <m/>
    <m/>
  </r>
  <r>
    <d v="2017-11-22T00:00:00"/>
    <m/>
    <m/>
    <d v="1899-12-30T20:40:00"/>
    <n v="-76.713999999999999"/>
    <n v="3.487805555555556"/>
    <n v="1865"/>
    <n v="1"/>
    <x v="2"/>
    <n v="15"/>
    <n v="15"/>
    <m/>
    <x v="1"/>
    <m/>
    <x v="0"/>
    <x v="12"/>
    <m/>
    <s v="Bosque ripario"/>
    <s v="Oscar Matinez"/>
    <m/>
    <s v="Pristimantis molybrignus"/>
    <n v="1"/>
    <s v="P. sp5 ¿? Fotografia 8758-8770"/>
    <m/>
    <m/>
    <s v="Ninguna"/>
    <m/>
    <m/>
  </r>
  <r>
    <d v="2017-11-22T00:00:00"/>
    <m/>
    <m/>
    <d v="1899-12-30T20:55:00"/>
    <n v="-76.714194444444445"/>
    <n v="3.4877777777777781"/>
    <n v="1863"/>
    <n v="1.3"/>
    <x v="2"/>
    <n v="15"/>
    <n v="15"/>
    <m/>
    <x v="1"/>
    <m/>
    <x v="1"/>
    <x v="12"/>
    <m/>
    <s v="Bosque ripario"/>
    <s v="Hamilton Bermudez"/>
    <m/>
    <s v="Centrolene savagei"/>
    <n v="1"/>
    <s v="fotografia 8771-8784"/>
    <m/>
    <m/>
    <s v="Ninguna"/>
    <m/>
    <m/>
  </r>
  <r>
    <d v="2017-11-22T00:00:00"/>
    <m/>
    <m/>
    <d v="1899-12-30T21:06:00"/>
    <n v="-76.714194444444445"/>
    <n v="3.4877500000000001"/>
    <n v="1865"/>
    <n v="1.1000000000000001"/>
    <x v="2"/>
    <n v="15"/>
    <n v="20"/>
    <m/>
    <x v="1"/>
    <m/>
    <x v="1"/>
    <x v="12"/>
    <m/>
    <s v="Bosque ripario"/>
    <s v="Oscar Matinez"/>
    <m/>
    <s v="Pristimantis molybrignus"/>
    <n v="1"/>
    <s v="fotografia 8791-8798"/>
    <m/>
    <m/>
    <s v="Ninguna"/>
    <m/>
    <m/>
  </r>
  <r>
    <d v="2017-11-22T00:00:00"/>
    <m/>
    <m/>
    <d v="1899-12-30T20:40:00"/>
    <n v="-76.713999999999999"/>
    <n v="3.487805555555556"/>
    <n v="1865"/>
    <n v="1"/>
    <x v="2"/>
    <n v="15"/>
    <n v="1"/>
    <m/>
    <x v="1"/>
    <m/>
    <x v="0"/>
    <x v="12"/>
    <m/>
    <s v="Bosque ripario"/>
    <s v="Hamilton Bermudez"/>
    <m/>
    <s v="Pristimantis molybrignus"/>
    <n v="1"/>
    <s v="Foto 8749-8757"/>
    <m/>
    <m/>
    <s v="Ninguna"/>
    <m/>
    <m/>
  </r>
  <r>
    <d v="2017-11-22T00:00:00"/>
    <m/>
    <m/>
    <d v="1899-12-30T21:00:00"/>
    <n v="-76.714194444444445"/>
    <n v="3.4877777777777781"/>
    <n v="1863"/>
    <n v="1.5"/>
    <x v="2"/>
    <n v="20"/>
    <n v="1.5"/>
    <m/>
    <x v="1"/>
    <m/>
    <x v="1"/>
    <x v="12"/>
    <m/>
    <s v="Bosque ripario"/>
    <s v="Carolina Burbano"/>
    <m/>
    <s v="Pristimantis molybrignus"/>
    <n v="1"/>
    <m/>
    <m/>
    <m/>
    <s v="Ninguna"/>
    <m/>
    <m/>
  </r>
  <r>
    <d v="2017-11-22T00:00:00"/>
    <m/>
    <m/>
    <d v="1899-12-30T22:01:00"/>
    <n v="-76.714666666666673"/>
    <n v="3.4874999999999998"/>
    <n v="1878"/>
    <n v="1.2"/>
    <x v="2"/>
    <n v="15"/>
    <n v="10"/>
    <m/>
    <x v="1"/>
    <m/>
    <x v="1"/>
    <x v="12"/>
    <m/>
    <s v="Bosque ripario"/>
    <s v="Alvaro Fierro"/>
    <m/>
    <s v="Pristimantis molybrignus"/>
    <n v="1"/>
    <m/>
    <m/>
    <m/>
    <s v="Ninguna"/>
    <m/>
    <m/>
  </r>
  <r>
    <d v="2017-11-22T00:00:00"/>
    <m/>
    <m/>
    <d v="1899-12-30T22:05:00"/>
    <n v="-76.714805555555557"/>
    <n v="3.4873888888888889"/>
    <n v="1878"/>
    <n v="1.1599999999999999"/>
    <x v="2"/>
    <n v="12"/>
    <n v="7"/>
    <m/>
    <x v="1"/>
    <m/>
    <x v="1"/>
    <x v="12"/>
    <m/>
    <s v="Bosque ripario"/>
    <s v="Carolina Gonzalez"/>
    <m/>
    <s v="Pristimantis molybrignus"/>
    <n v="1"/>
    <m/>
    <m/>
    <m/>
    <s v="Ninguna"/>
    <m/>
    <m/>
  </r>
  <r>
    <d v="2017-11-22T00:00:00"/>
    <m/>
    <m/>
    <d v="1899-12-30T22:15:00"/>
    <n v="-76.714777777777783"/>
    <n v="3.487305555555555"/>
    <n v="1880"/>
    <n v="1"/>
    <x v="2"/>
    <n v="15"/>
    <m/>
    <m/>
    <x v="1"/>
    <m/>
    <x v="1"/>
    <x v="12"/>
    <m/>
    <s v="Bosque ripario"/>
    <s v="Alvaro Fierro"/>
    <m/>
    <s v="Pristimantis palmeri"/>
    <n v="1"/>
    <m/>
    <m/>
    <m/>
    <s v="Ninguna"/>
    <m/>
    <m/>
  </r>
  <r>
    <d v="2017-11-22T00:00:00"/>
    <m/>
    <m/>
    <d v="1899-12-30T22:15:00"/>
    <n v="-76.714777777777783"/>
    <n v="3.487305555555555"/>
    <n v="1880"/>
    <n v="1"/>
    <x v="2"/>
    <n v="15"/>
    <m/>
    <m/>
    <x v="1"/>
    <m/>
    <x v="1"/>
    <x v="12"/>
    <m/>
    <s v="Bosque ripario"/>
    <s v="Oscar Martinez"/>
    <m/>
    <s v="Pristimantis molybrignus"/>
    <n v="1"/>
    <m/>
    <m/>
    <m/>
    <s v="Ninguna"/>
    <m/>
    <m/>
  </r>
  <r>
    <d v="2017-11-22T00:00:00"/>
    <m/>
    <m/>
    <d v="1899-12-30T22:39:00"/>
    <n v="-76.714833333333331"/>
    <n v="3.487055555555556"/>
    <n v="1888"/>
    <n v="1"/>
    <x v="2"/>
    <n v="8"/>
    <n v="20"/>
    <m/>
    <x v="1"/>
    <m/>
    <x v="2"/>
    <x v="12"/>
    <m/>
    <s v="Bosque ripario"/>
    <s v="Hamilton Bermudez"/>
    <m/>
    <s v="Pristimantis molybrignus"/>
    <n v="1"/>
    <m/>
    <m/>
    <m/>
    <s v="Ninguna"/>
    <m/>
    <m/>
  </r>
  <r>
    <d v="2017-11-22T00:00:00"/>
    <m/>
    <m/>
    <d v="1899-12-30T21:50:00"/>
    <n v="-76.714638888888885"/>
    <n v="3.4875277777777778"/>
    <n v="1876"/>
    <n v="1"/>
    <x v="2"/>
    <n v="15"/>
    <n v="50"/>
    <m/>
    <x v="1"/>
    <m/>
    <x v="1"/>
    <x v="12"/>
    <m/>
    <s v="Bosque ripario"/>
    <s v="Hamilton Bermudez"/>
    <m/>
    <s v="Pristimantis molybrignus"/>
    <n v="1"/>
    <m/>
    <m/>
    <m/>
    <s v="Ninguna"/>
    <m/>
    <m/>
  </r>
  <r>
    <d v="2017-11-22T00:00:00"/>
    <m/>
    <m/>
    <d v="1899-12-30T22:10:00"/>
    <n v="-76.714722222222221"/>
    <n v="3.487333333333333"/>
    <n v="1878"/>
    <n v="1"/>
    <x v="2"/>
    <n v="12"/>
    <n v="3"/>
    <m/>
    <x v="1"/>
    <m/>
    <x v="1"/>
    <x v="12"/>
    <m/>
    <s v="Bosque ripario"/>
    <s v="Hamilton Bermudez"/>
    <m/>
    <s v="Pristimantis molybrignus"/>
    <n v="1"/>
    <m/>
    <m/>
    <m/>
    <s v="Ninguna"/>
    <m/>
    <m/>
  </r>
  <r>
    <d v="2017-11-22T00:00:00"/>
    <m/>
    <m/>
    <m/>
    <n v="-76.713972222222225"/>
    <n v="3.487833333333334"/>
    <n v="1857"/>
    <m/>
    <x v="2"/>
    <m/>
    <m/>
    <m/>
    <x v="1"/>
    <m/>
    <x v="0"/>
    <x v="12"/>
    <m/>
    <m/>
    <s v="Gustavo Rodriguez"/>
    <m/>
    <s v="Ninguna"/>
    <n v="0"/>
    <m/>
    <m/>
    <m/>
    <s v="Ninguna"/>
    <m/>
    <m/>
  </r>
  <r>
    <d v="2017-10-05T00:00:00"/>
    <m/>
    <m/>
    <d v="1899-12-30T20:50:00"/>
    <n v="-76.644383333333337"/>
    <n v="3.3494888888888892"/>
    <n v="2479"/>
    <m/>
    <x v="2"/>
    <m/>
    <n v="7"/>
    <m/>
    <x v="2"/>
    <m/>
    <x v="0"/>
    <x v="10"/>
    <m/>
    <s v="Bosque secundario"/>
    <s v="Carolina Burbano"/>
    <m/>
    <s v="Pristimantis acatallelus"/>
    <n v="1"/>
    <m/>
    <m/>
    <m/>
    <s v="Ninguna"/>
    <m/>
    <m/>
  </r>
  <r>
    <d v="2017-10-05T00:00:00"/>
    <m/>
    <m/>
    <m/>
    <n v="-76.64425"/>
    <n v="3.3495833333333329"/>
    <n v="2478"/>
    <m/>
    <x v="2"/>
    <m/>
    <m/>
    <m/>
    <x v="2"/>
    <m/>
    <x v="0"/>
    <x v="10"/>
    <m/>
    <s v="Bosque secundario"/>
    <s v="Alvaro Fierro"/>
    <m/>
    <s v="Pristimantis acatallelus"/>
    <n v="1"/>
    <m/>
    <m/>
    <m/>
    <s v="Ninguna"/>
    <m/>
    <m/>
  </r>
  <r>
    <d v="2017-10-05T00:00:00"/>
    <m/>
    <m/>
    <m/>
    <n v="-76.64425"/>
    <n v="3.3495833333333329"/>
    <n v="2478"/>
    <m/>
    <x v="2"/>
    <n v="10"/>
    <m/>
    <m/>
    <x v="2"/>
    <m/>
    <x v="0"/>
    <x v="10"/>
    <m/>
    <s v="Bosque secundario"/>
    <s v="Carolina Burbano"/>
    <m/>
    <s v="Pristimantis acatallelus"/>
    <n v="1"/>
    <m/>
    <m/>
    <m/>
    <s v="Ninguna"/>
    <m/>
    <m/>
  </r>
  <r>
    <d v="2017-10-05T00:00:00"/>
    <m/>
    <m/>
    <d v="1899-12-30T21:54:00"/>
    <n v="-76.644333333333336"/>
    <n v="3.3495555555555558"/>
    <n v="2472"/>
    <m/>
    <x v="2"/>
    <n v="20"/>
    <m/>
    <m/>
    <x v="2"/>
    <m/>
    <x v="0"/>
    <x v="10"/>
    <m/>
    <s v="Bosque secundario"/>
    <s v="Nicole Tovar"/>
    <m/>
    <s v="Pristimantis acatallelus"/>
    <n v="1"/>
    <m/>
    <m/>
    <m/>
    <s v="Ninguna"/>
    <m/>
    <m/>
  </r>
  <r>
    <d v="2017-10-05T00:00:00"/>
    <m/>
    <m/>
    <d v="1899-12-30T20:30:00"/>
    <n v="-76.644383333333337"/>
    <n v="3.3494888888888892"/>
    <n v="2479"/>
    <m/>
    <x v="2"/>
    <n v="8"/>
    <n v="5"/>
    <m/>
    <x v="2"/>
    <m/>
    <x v="0"/>
    <x v="10"/>
    <m/>
    <s v="Bosque secundario"/>
    <s v="Hamilton Bermudez"/>
    <m/>
    <s v="Pristimantis palmeri"/>
    <n v="1"/>
    <m/>
    <m/>
    <m/>
    <s v="Ninguna"/>
    <m/>
    <m/>
  </r>
  <r>
    <d v="2017-10-05T00:00:00"/>
    <m/>
    <m/>
    <d v="1899-12-30T21:10:00"/>
    <n v="-76.644383333333337"/>
    <n v="3.3494888888888892"/>
    <n v="2479"/>
    <m/>
    <x v="2"/>
    <n v="8"/>
    <n v="10"/>
    <m/>
    <x v="2"/>
    <m/>
    <x v="0"/>
    <x v="10"/>
    <m/>
    <s v="Bosque secundario"/>
    <s v="Hamilton Bermudez"/>
    <m/>
    <s v="Pristimantis acatallelus"/>
    <n v="1"/>
    <m/>
    <m/>
    <m/>
    <s v="Ninguna"/>
    <m/>
    <m/>
  </r>
  <r>
    <d v="2017-10-05T00:00:00"/>
    <m/>
    <m/>
    <d v="1899-12-30T21:28:00"/>
    <n v="-76.64425555555556"/>
    <n v="3.3495833333333329"/>
    <n v="2471"/>
    <m/>
    <x v="2"/>
    <n v="10"/>
    <n v="2"/>
    <m/>
    <x v="2"/>
    <m/>
    <x v="0"/>
    <x v="10"/>
    <m/>
    <s v="Bosque secundario"/>
    <s v="Hamilton Bermudez"/>
    <m/>
    <s v="Pristimantis palmeri"/>
    <n v="1"/>
    <m/>
    <m/>
    <m/>
    <s v="Ninguna"/>
    <m/>
    <m/>
  </r>
  <r>
    <d v="2017-10-05T00:00:00"/>
    <m/>
    <m/>
    <d v="1899-12-30T21:40:00"/>
    <n v="-76.644194444444452"/>
    <n v="3.3495833333333329"/>
    <n v="2469"/>
    <m/>
    <x v="2"/>
    <n v="12"/>
    <n v="8"/>
    <m/>
    <x v="2"/>
    <m/>
    <x v="0"/>
    <x v="10"/>
    <m/>
    <s v="Bosque secundario"/>
    <s v="Gustavo Rodriguez"/>
    <m/>
    <s v="Pristimantis palmeri"/>
    <n v="1"/>
    <m/>
    <m/>
    <m/>
    <s v="Ninguna"/>
    <m/>
    <m/>
  </r>
  <r>
    <d v="2017-10-05T00:00:00"/>
    <m/>
    <m/>
    <d v="1899-12-30T22:10:00"/>
    <n v="-76.643416666666667"/>
    <n v="3.3474444444444451"/>
    <n v="2465"/>
    <m/>
    <x v="2"/>
    <n v="5"/>
    <n v="80"/>
    <m/>
    <x v="2"/>
    <m/>
    <x v="1"/>
    <x v="10"/>
    <m/>
    <s v="Bosque secundario"/>
    <s v="Carolina Burbano"/>
    <m/>
    <s v="Bolitoglossa walkeri"/>
    <n v="1"/>
    <m/>
    <m/>
    <m/>
    <s v="Ninguna"/>
    <m/>
    <m/>
  </r>
  <r>
    <d v="2017-10-05T00:00:00"/>
    <m/>
    <m/>
    <d v="1899-12-30T22:31:00"/>
    <n v="-76.643305555555557"/>
    <n v="3.349472222222222"/>
    <n v="2466"/>
    <m/>
    <x v="2"/>
    <n v="10"/>
    <n v="85"/>
    <m/>
    <x v="2"/>
    <m/>
    <x v="1"/>
    <x v="10"/>
    <m/>
    <s v="Bosque secundario"/>
    <s v="Gustavo Rodriguez"/>
    <m/>
    <s v="Pristimantis acatallelus"/>
    <n v="1"/>
    <m/>
    <m/>
    <m/>
    <s v="Ninguna"/>
    <m/>
    <m/>
  </r>
  <r>
    <d v="2017-10-06T00:00:00"/>
    <m/>
    <m/>
    <d v="1899-12-30T01:00:00"/>
    <n v="-76.647083333333342"/>
    <n v="3.3495833333333329"/>
    <n v="2447"/>
    <n v="1.5"/>
    <x v="2"/>
    <m/>
    <m/>
    <m/>
    <x v="2"/>
    <m/>
    <x v="1"/>
    <x v="11"/>
    <m/>
    <s v="Bosque ripario"/>
    <s v="Gustavo Rodriguez"/>
    <m/>
    <s v="Ninguna"/>
    <n v="0"/>
    <m/>
    <m/>
    <m/>
    <s v="Ninguna"/>
    <m/>
    <m/>
  </r>
  <r>
    <d v="2017-10-06T00:00:00"/>
    <m/>
    <m/>
    <d v="1899-12-30T18:50:00"/>
    <n v="-76.6564388888889"/>
    <n v="3.355202777777778"/>
    <n v="2619"/>
    <n v="0.57999999999999996"/>
    <x v="2"/>
    <n v="8"/>
    <n v="5"/>
    <m/>
    <x v="2"/>
    <m/>
    <x v="2"/>
    <x v="14"/>
    <m/>
    <s v="Bosque ripario"/>
    <s v="Hamilton Bermudez"/>
    <m/>
    <s v="Pristimantis acatallelus"/>
    <n v="1"/>
    <m/>
    <m/>
    <m/>
    <s v="Ninguna"/>
    <m/>
    <m/>
  </r>
  <r>
    <d v="2017-10-06T00:00:00"/>
    <m/>
    <m/>
    <d v="1899-12-30T18:50:00"/>
    <n v="-76.6564388888889"/>
    <n v="3.355202777777778"/>
    <n v="2619"/>
    <n v="0.5"/>
    <x v="2"/>
    <n v="8"/>
    <n v="2"/>
    <m/>
    <x v="2"/>
    <m/>
    <x v="2"/>
    <x v="14"/>
    <m/>
    <s v="Bosque ripario"/>
    <s v="Hamilton Bermudez"/>
    <m/>
    <s v="Pristimantis brevifrons"/>
    <n v="1"/>
    <m/>
    <m/>
    <m/>
    <s v="Ninguna"/>
    <m/>
    <m/>
  </r>
  <r>
    <d v="2017-10-06T00:00:00"/>
    <m/>
    <m/>
    <d v="1899-12-30T19:15:00"/>
    <n v="-76.656166666666678"/>
    <n v="3.3552499999999998"/>
    <n v="2599"/>
    <n v="0.8"/>
    <x v="2"/>
    <n v="10"/>
    <n v="10"/>
    <m/>
    <x v="2"/>
    <m/>
    <x v="2"/>
    <x v="14"/>
    <m/>
    <s v="Bosque ripario"/>
    <s v="Hamilton Bermudez"/>
    <m/>
    <s v="Pristimantis acatallelus"/>
    <n v="1"/>
    <m/>
    <m/>
    <m/>
    <s v="Ninguna"/>
    <m/>
    <m/>
  </r>
  <r>
    <d v="2017-10-06T00:00:00"/>
    <m/>
    <m/>
    <d v="1899-12-30T19:16:00"/>
    <n v="-76.656166666666678"/>
    <n v="3.3552499999999998"/>
    <n v="2599"/>
    <n v="0.4"/>
    <x v="2"/>
    <n v="10"/>
    <n v="15"/>
    <m/>
    <x v="2"/>
    <m/>
    <x v="2"/>
    <x v="14"/>
    <m/>
    <s v="Bosque ripario"/>
    <s v="Carolina Burbano"/>
    <m/>
    <s v="Pristimantis acatallelus"/>
    <n v="1"/>
    <m/>
    <m/>
    <m/>
    <s v="Ninguna"/>
    <m/>
    <m/>
  </r>
  <r>
    <d v="2017-10-06T00:00:00"/>
    <m/>
    <m/>
    <d v="1899-12-30T20:00:00"/>
    <n v="-76.656194444444452"/>
    <n v="3.3553888888888892"/>
    <n v="2580"/>
    <n v="0.4"/>
    <x v="2"/>
    <n v="10"/>
    <n v="30"/>
    <m/>
    <x v="2"/>
    <m/>
    <x v="2"/>
    <x v="14"/>
    <m/>
    <s v="Bosque ripario"/>
    <s v="Carolina Burbano"/>
    <m/>
    <s v="Pristimantis palmeri"/>
    <n v="1"/>
    <m/>
    <m/>
    <m/>
    <s v="Ninguna"/>
    <m/>
    <m/>
  </r>
  <r>
    <d v="2017-10-06T00:00:00"/>
    <m/>
    <m/>
    <d v="1899-12-30T20:58:00"/>
    <n v="-76.65613888888889"/>
    <n v="3.3547500000000001"/>
    <n v="2585"/>
    <m/>
    <x v="2"/>
    <n v="15"/>
    <n v="20"/>
    <m/>
    <x v="2"/>
    <m/>
    <x v="1"/>
    <x v="14"/>
    <m/>
    <s v="Bosque secundario"/>
    <s v="Alvaro Fierro"/>
    <m/>
    <s v="Pristimantis palmeri"/>
    <n v="1"/>
    <s v="Juvenil"/>
    <m/>
    <m/>
    <s v="Ninguna"/>
    <m/>
    <m/>
  </r>
  <r>
    <d v="2017-10-06T00:00:00"/>
    <m/>
    <m/>
    <d v="1899-12-30T20:50:00"/>
    <n v="-76.65613888888889"/>
    <n v="3.3547500000000001"/>
    <n v="2585"/>
    <m/>
    <x v="2"/>
    <n v="10"/>
    <n v="50"/>
    <m/>
    <x v="2"/>
    <m/>
    <x v="1"/>
    <x v="14"/>
    <m/>
    <s v="Bosque secundario"/>
    <s v="Hamilton Bermudez"/>
    <m/>
    <s v="Pristimantis acatallelus"/>
    <n v="1"/>
    <s v="cantando"/>
    <m/>
    <m/>
    <s v="Ninguna"/>
    <m/>
    <m/>
  </r>
  <r>
    <d v="2017-10-06T00:00:00"/>
    <m/>
    <m/>
    <d v="1899-12-30T21:20:00"/>
    <n v="-76.65591666666667"/>
    <n v="3.354805555555556"/>
    <n v="2588"/>
    <m/>
    <x v="2"/>
    <n v="8"/>
    <n v="80"/>
    <m/>
    <x v="2"/>
    <m/>
    <x v="1"/>
    <x v="14"/>
    <m/>
    <s v="Bosque secundario"/>
    <s v="Hamilton Bermudez"/>
    <m/>
    <s v="Pristimantis acatallelus"/>
    <n v="1"/>
    <m/>
    <m/>
    <m/>
    <s v="Ninguna"/>
    <m/>
    <m/>
  </r>
  <r>
    <d v="2017-10-06T00:00:00"/>
    <m/>
    <m/>
    <d v="1899-12-30T21:30:00"/>
    <n v="-76.65591666666667"/>
    <n v="3.354805555555556"/>
    <n v="2588"/>
    <m/>
    <x v="2"/>
    <n v="10"/>
    <n v="10"/>
    <m/>
    <x v="2"/>
    <m/>
    <x v="1"/>
    <x v="14"/>
    <m/>
    <s v="Bosque secundario"/>
    <s v="Gustavo Rodriguez"/>
    <m/>
    <s v="Pristimantis brevifrons"/>
    <n v="1"/>
    <m/>
    <m/>
    <m/>
    <s v="Ninguna"/>
    <m/>
    <m/>
  </r>
  <r>
    <d v="2017-10-06T00:00:00"/>
    <m/>
    <m/>
    <d v="1899-12-30T21:31:00"/>
    <n v="-76.65591666666667"/>
    <n v="3.354805555555556"/>
    <n v="2588"/>
    <m/>
    <x v="2"/>
    <n v="10"/>
    <n v="10"/>
    <m/>
    <x v="2"/>
    <m/>
    <x v="1"/>
    <x v="14"/>
    <m/>
    <s v="Bosque secundario"/>
    <s v="Hamilton Bermudez"/>
    <m/>
    <s v="Pristimantis brevifrons"/>
    <n v="1"/>
    <m/>
    <m/>
    <m/>
    <s v="Ninguna"/>
    <m/>
    <m/>
  </r>
  <r>
    <d v="2017-10-06T00:00:00"/>
    <m/>
    <m/>
    <d v="1899-12-30T22:42:00"/>
    <n v="-76.654055555555558"/>
    <n v="3.3535833333333329"/>
    <n v="2594"/>
    <m/>
    <x v="2"/>
    <n v="10"/>
    <n v="5"/>
    <m/>
    <x v="2"/>
    <m/>
    <x v="4"/>
    <x v="13"/>
    <m/>
    <s v="Bosque secundario"/>
    <s v="Alvaro Fierro"/>
    <m/>
    <s v="Pristimantis acatallelus"/>
    <n v="1"/>
    <m/>
    <m/>
    <m/>
    <s v="Ninguna"/>
    <m/>
    <m/>
  </r>
  <r>
    <d v="2017-10-06T00:00:00"/>
    <m/>
    <m/>
    <d v="1899-12-30T22:52:00"/>
    <n v="-76.654055555555558"/>
    <n v="3.3535833333333329"/>
    <n v="2594"/>
    <m/>
    <x v="2"/>
    <n v="5"/>
    <n v="10"/>
    <m/>
    <x v="2"/>
    <m/>
    <x v="4"/>
    <x v="13"/>
    <m/>
    <s v="Bosque secundario"/>
    <s v="Burbano Carolina"/>
    <m/>
    <s v="Pristimantis acatallelus"/>
    <n v="1"/>
    <s v="Foto 8017-8023"/>
    <m/>
    <m/>
    <s v="Ninguna"/>
    <m/>
    <m/>
  </r>
  <r>
    <d v="2017-10-06T00:00:00"/>
    <m/>
    <m/>
    <d v="1899-12-30T23:06:00"/>
    <n v="-76.653750000000002"/>
    <n v="3.353444444444444"/>
    <n v="2583"/>
    <m/>
    <x v="2"/>
    <n v="12"/>
    <n v="30"/>
    <m/>
    <x v="2"/>
    <m/>
    <x v="4"/>
    <x v="13"/>
    <m/>
    <s v="Bosque secundario"/>
    <s v="Alvaro Fierro"/>
    <m/>
    <s v="Pristimantis acatallelus"/>
    <n v="1"/>
    <m/>
    <m/>
    <m/>
    <s v="Ninguna"/>
    <m/>
    <m/>
  </r>
  <r>
    <d v="2017-10-06T00:00:00"/>
    <m/>
    <m/>
    <d v="1899-12-30T23:20:00"/>
    <n v="-76.653472222222234"/>
    <n v="3.353444444444444"/>
    <n v="2585"/>
    <m/>
    <x v="2"/>
    <n v="12"/>
    <n v="40"/>
    <m/>
    <x v="2"/>
    <m/>
    <x v="4"/>
    <x v="13"/>
    <m/>
    <s v="Bosque secundario"/>
    <s v="Alvaro Fierro"/>
    <m/>
    <s v="Pristimantis acatallelus"/>
    <n v="1"/>
    <m/>
    <m/>
    <m/>
    <s v="Ninguna"/>
    <m/>
    <m/>
  </r>
  <r>
    <d v="2017-10-06T00:00:00"/>
    <m/>
    <m/>
    <d v="1899-12-30T22:30:00"/>
    <n v="-76.654111111111121"/>
    <n v="3.3535555555555558"/>
    <n v="2583"/>
    <m/>
    <x v="2"/>
    <n v="8"/>
    <n v="15"/>
    <m/>
    <x v="2"/>
    <m/>
    <x v="4"/>
    <x v="13"/>
    <m/>
    <s v="Bosque secundario"/>
    <s v="Hamilton Bermudez"/>
    <m/>
    <s v="Pristimantis acatallelus"/>
    <n v="1"/>
    <m/>
    <m/>
    <m/>
    <s v="Ninguna"/>
    <m/>
    <m/>
  </r>
  <r>
    <d v="2017-10-06T00:00:00"/>
    <m/>
    <m/>
    <d v="1899-12-30T22:41:00"/>
    <n v="-76.653861111111112"/>
    <n v="3.3535277777777779"/>
    <n v="2582"/>
    <m/>
    <x v="2"/>
    <n v="6"/>
    <n v="6"/>
    <m/>
    <x v="2"/>
    <m/>
    <x v="4"/>
    <x v="13"/>
    <m/>
    <s v="Bosque secundario"/>
    <s v="Hamilton Bermudez"/>
    <m/>
    <s v="Pristimantis acatallelus"/>
    <n v="1"/>
    <m/>
    <m/>
    <m/>
    <s v="Ninguna"/>
    <m/>
    <m/>
  </r>
  <r>
    <d v="2017-10-06T00:00:00"/>
    <m/>
    <m/>
    <d v="1899-12-30T22:48:00"/>
    <n v="-76.653750000000002"/>
    <n v="3.353444444444444"/>
    <n v="2585"/>
    <m/>
    <x v="2"/>
    <n v="10"/>
    <n v="70"/>
    <m/>
    <x v="2"/>
    <m/>
    <x v="4"/>
    <x v="13"/>
    <m/>
    <s v="Bosque secundario"/>
    <s v="Hamilton Bermudez"/>
    <m/>
    <s v="Pristimantis acatallelus"/>
    <n v="1"/>
    <m/>
    <m/>
    <m/>
    <s v="Ninguna"/>
    <m/>
    <m/>
  </r>
  <r>
    <d v="2017-10-06T00:00:00"/>
    <m/>
    <m/>
    <d v="1899-12-30T00:00:00"/>
    <n v="-76.65269444444445"/>
    <n v="3.3535555555555558"/>
    <n v="2558"/>
    <m/>
    <x v="2"/>
    <n v="10"/>
    <n v="70"/>
    <m/>
    <x v="2"/>
    <m/>
    <x v="3"/>
    <x v="13"/>
    <m/>
    <s v="Bosque secundario"/>
    <s v="Hamilton Bermudez"/>
    <m/>
    <s v="Pristimantis palmeri"/>
    <n v="1"/>
    <m/>
    <m/>
    <m/>
    <s v="Ninguna"/>
    <m/>
    <m/>
  </r>
  <r>
    <d v="2017-10-06T00:00:00"/>
    <m/>
    <m/>
    <d v="1899-12-30T00:28:00"/>
    <n v="-76.652111111111111"/>
    <n v="3.353444444444444"/>
    <n v="2551"/>
    <m/>
    <x v="2"/>
    <n v="15"/>
    <n v="90"/>
    <m/>
    <x v="2"/>
    <m/>
    <x v="3"/>
    <x v="13"/>
    <m/>
    <s v="Bosque secundario"/>
    <s v="Carolina Burbano"/>
    <m/>
    <s v="Pristimantis acatallelus"/>
    <n v="1"/>
    <m/>
    <m/>
    <m/>
    <s v="Ninguna"/>
    <m/>
    <m/>
  </r>
  <r>
    <d v="2018-05-10T00:00:00"/>
    <m/>
    <m/>
    <d v="1899-12-30T19:23:00"/>
    <n v="-76.680588888888892"/>
    <n v="3.4012361111111109"/>
    <n v="3065"/>
    <m/>
    <x v="3"/>
    <n v="10"/>
    <n v="70"/>
    <m/>
    <x v="3"/>
    <m/>
    <x v="0"/>
    <x v="16"/>
    <m/>
    <s v="Bosque secundario"/>
    <s v="Oscar Martinez"/>
    <m/>
    <s v="Ninguna"/>
    <n v="0"/>
    <m/>
    <m/>
    <m/>
    <s v="Ninguna"/>
    <m/>
    <m/>
  </r>
  <r>
    <d v="2018-05-10T00:00:00"/>
    <m/>
    <m/>
    <d v="1899-12-30T20:52:00"/>
    <n v="-76.679702777777777"/>
    <n v="3.400816666666667"/>
    <n v="3088"/>
    <m/>
    <x v="3"/>
    <n v="4"/>
    <n v="70"/>
    <m/>
    <x v="3"/>
    <m/>
    <x v="1"/>
    <x v="16"/>
    <m/>
    <s v="Bosque secundario"/>
    <s v="Roger Franco"/>
    <m/>
    <s v="Pristimantis capitonis"/>
    <n v="1"/>
    <m/>
    <m/>
    <m/>
    <s v="Ninguna"/>
    <m/>
    <m/>
  </r>
  <r>
    <d v="2018-05-10T00:00:00"/>
    <m/>
    <m/>
    <d v="1899-12-30T21:30:00"/>
    <n v="-76.67924444444445"/>
    <n v="3.400816666666667"/>
    <n v="3063"/>
    <m/>
    <x v="3"/>
    <n v="4"/>
    <n v="60"/>
    <m/>
    <x v="3"/>
    <m/>
    <x v="1"/>
    <x v="16"/>
    <m/>
    <s v="Bosque secundario"/>
    <s v="Álvaro Javier Fierro"/>
    <m/>
    <s v="Pristimantis capitonis"/>
    <n v="1"/>
    <m/>
    <m/>
    <m/>
    <s v="Ninguna"/>
    <m/>
    <m/>
  </r>
  <r>
    <d v="2018-05-10T00:00:00"/>
    <m/>
    <m/>
    <d v="1899-12-30T22:01:00"/>
    <n v="-76.67902500000001"/>
    <n v="3.4008305555555549"/>
    <n v="3066"/>
    <m/>
    <x v="3"/>
    <n v="8"/>
    <n v="40"/>
    <m/>
    <x v="3"/>
    <m/>
    <x v="2"/>
    <x v="16"/>
    <m/>
    <s v="Bosque secundario"/>
    <s v="Roger Franco"/>
    <m/>
    <s v="Hyloscirtus larinopygion"/>
    <n v="1"/>
    <m/>
    <m/>
    <m/>
    <s v="Ninguna"/>
    <m/>
    <m/>
  </r>
  <r>
    <d v="2018-05-10T00:00:00"/>
    <m/>
    <m/>
    <d v="1899-12-30T19:45:00"/>
    <n v="-76.680930555555562"/>
    <n v="3.4013949999999999"/>
    <n v="3098"/>
    <n v="1.5"/>
    <x v="3"/>
    <n v="12"/>
    <n v="70"/>
    <m/>
    <x v="3"/>
    <m/>
    <x v="0"/>
    <x v="16"/>
    <m/>
    <s v="Bosque secundario"/>
    <s v="Oscar Martinez"/>
    <m/>
    <s v="Pristimantis capitonis"/>
    <n v="1"/>
    <m/>
    <m/>
    <m/>
    <s v="Ninguna"/>
    <m/>
    <m/>
  </r>
  <r>
    <d v="2018-05-10T00:00:00"/>
    <m/>
    <m/>
    <d v="1899-12-30T20:21:00"/>
    <n v="-76.680422222222234"/>
    <n v="3.4010055555555549"/>
    <n v="3050"/>
    <m/>
    <x v="3"/>
    <n v="12"/>
    <n v="80"/>
    <m/>
    <x v="3"/>
    <m/>
    <x v="0"/>
    <x v="16"/>
    <m/>
    <s v="Bosque secundario"/>
    <s v="Roger Franco"/>
    <m/>
    <s v="Pristimantis capitonis"/>
    <n v="1"/>
    <m/>
    <m/>
    <m/>
    <s v="Ninguna"/>
    <m/>
    <m/>
  </r>
  <r>
    <d v="2018-05-10T00:00:00"/>
    <m/>
    <m/>
    <d v="1899-12-30T20:31:00"/>
    <n v="-76.680155555555558"/>
    <n v="3.4010305555555549"/>
    <n v="3072"/>
    <m/>
    <x v="3"/>
    <n v="12"/>
    <n v="70"/>
    <m/>
    <x v="3"/>
    <m/>
    <x v="0"/>
    <x v="16"/>
    <m/>
    <s v="Bosque secundario"/>
    <s v="Oscar Martinez"/>
    <m/>
    <s v="Pristimantis capitonis"/>
    <n v="1"/>
    <m/>
    <m/>
    <m/>
    <s v="Ninguna"/>
    <m/>
    <m/>
  </r>
  <r>
    <d v="2018-05-10T00:00:00"/>
    <m/>
    <m/>
    <d v="1899-12-30T20:46:00"/>
    <n v="-76.680138888888891"/>
    <n v="3.4007972222222218"/>
    <n v="3078"/>
    <m/>
    <x v="3"/>
    <n v="15"/>
    <n v="70"/>
    <m/>
    <x v="3"/>
    <m/>
    <x v="1"/>
    <x v="16"/>
    <m/>
    <s v="Bosque secundario"/>
    <s v="Oscar Martinez"/>
    <m/>
    <s v="Pristimantis calcaratus"/>
    <n v="1"/>
    <m/>
    <m/>
    <m/>
    <s v="Ninguna"/>
    <m/>
    <m/>
  </r>
  <r>
    <d v="2018-05-10T00:00:00"/>
    <m/>
    <m/>
    <d v="1899-12-30T21:06:00"/>
    <n v="-76.679702777777777"/>
    <n v="3.400816666666667"/>
    <n v="3088"/>
    <m/>
    <x v="3"/>
    <n v="15"/>
    <n v="75"/>
    <m/>
    <x v="3"/>
    <m/>
    <x v="1"/>
    <x v="16"/>
    <m/>
    <s v="Bosque secundario"/>
    <s v="Carolina Burbano"/>
    <m/>
    <s v="Pristimantis capitonis"/>
    <n v="1"/>
    <m/>
    <m/>
    <m/>
    <s v="Ninguna"/>
    <m/>
    <m/>
  </r>
  <r>
    <d v="2018-05-10T00:00:00"/>
    <m/>
    <m/>
    <d v="1899-12-30T21:15:00"/>
    <n v="-76.679269444444444"/>
    <n v="3.4008027777777778"/>
    <n v="3058"/>
    <m/>
    <x v="3"/>
    <n v="15"/>
    <n v="80"/>
    <m/>
    <x v="3"/>
    <m/>
    <x v="1"/>
    <x v="16"/>
    <m/>
    <s v="Bosque secundario"/>
    <s v="Carolina Burbano"/>
    <m/>
    <s v="Pristimantis buckleyi"/>
    <n v="1"/>
    <m/>
    <m/>
    <m/>
    <s v="Ninguna"/>
    <m/>
    <m/>
  </r>
  <r>
    <d v="2018-05-10T00:00:00"/>
    <m/>
    <m/>
    <d v="1899-12-30T22:07:00"/>
    <n v="-76.678866666666678"/>
    <n v="3.4009472222222219"/>
    <n v="3072"/>
    <m/>
    <x v="3"/>
    <m/>
    <m/>
    <m/>
    <x v="3"/>
    <m/>
    <x v="2"/>
    <x v="16"/>
    <m/>
    <s v="Bosque secundario"/>
    <s v="Gustavo Rodriguez"/>
    <m/>
    <s v="Ninguna"/>
    <n v="0"/>
    <m/>
    <m/>
    <m/>
    <s v="Ninguna"/>
    <m/>
    <m/>
  </r>
  <r>
    <d v="2018-12-04T00:00:00"/>
    <m/>
    <m/>
    <d v="1899-12-30T07:20:00"/>
    <n v="-76.892361111111114"/>
    <n v="3.5973888888888892"/>
    <n v="582"/>
    <m/>
    <x v="3"/>
    <n v="20"/>
    <n v="45"/>
    <m/>
    <x v="0"/>
    <m/>
    <x v="2"/>
    <x v="0"/>
    <m/>
    <s v="Bosque secundario"/>
    <s v="Carolina Burbano"/>
    <m/>
    <s v="Oophaga lehmanni"/>
    <n v="1"/>
    <m/>
    <m/>
    <m/>
    <s v="Ninguna"/>
    <m/>
    <m/>
  </r>
  <r>
    <d v="2018-12-04T00:00:00"/>
    <m/>
    <m/>
    <d v="1899-12-30T20:40:00"/>
    <n v="-76.878611111111098"/>
    <n v="3.543305555555555"/>
    <n v="496"/>
    <n v="6"/>
    <x v="3"/>
    <n v="20"/>
    <n v="40"/>
    <m/>
    <x v="0"/>
    <m/>
    <x v="0"/>
    <x v="3"/>
    <m/>
    <s v="Bosque ripario"/>
    <s v="Hamilton Bermudez"/>
    <m/>
    <s v="Craugastor raniformis"/>
    <n v="1"/>
    <m/>
    <m/>
    <m/>
    <s v="Ninguna"/>
    <m/>
    <m/>
  </r>
  <r>
    <d v="2018-05-11T00:00:00"/>
    <m/>
    <m/>
    <d v="1899-12-30T21:37:00"/>
    <n v="-76.690619444444451"/>
    <n v="3.4063222222222218"/>
    <n v="3388"/>
    <m/>
    <x v="3"/>
    <n v="2"/>
    <n v="40"/>
    <m/>
    <x v="3"/>
    <m/>
    <x v="3"/>
    <x v="18"/>
    <m/>
    <s v="Arbustal"/>
    <s v="Jimmy Angulo"/>
    <m/>
    <s v="Pristimantis myops"/>
    <n v="1"/>
    <m/>
    <m/>
    <m/>
    <s v="Ninguna"/>
    <m/>
    <m/>
  </r>
  <r>
    <d v="2018-05-11T00:00:00"/>
    <m/>
    <m/>
    <d v="1899-12-30T21:50:00"/>
    <n v="-76.690711111111113"/>
    <n v="3.4061472222222222"/>
    <n v="3324"/>
    <m/>
    <x v="3"/>
    <n v="2"/>
    <n v="65"/>
    <m/>
    <x v="3"/>
    <m/>
    <x v="3"/>
    <x v="18"/>
    <m/>
    <s v="Arbustal"/>
    <s v="Alvaro Fierro"/>
    <m/>
    <s v="Pristimantis myops"/>
    <n v="1"/>
    <m/>
    <m/>
    <m/>
    <s v="Ninguna"/>
    <m/>
    <m/>
  </r>
  <r>
    <d v="2018-05-13T00:00:00"/>
    <m/>
    <m/>
    <m/>
    <n v="-76.689475000000002"/>
    <n v="3.407658333333333"/>
    <n v="3250"/>
    <m/>
    <x v="3"/>
    <m/>
    <m/>
    <m/>
    <x v="3"/>
    <m/>
    <x v="1"/>
    <x v="18"/>
    <m/>
    <s v="Bosque secundario"/>
    <s v="Gustavo Rodriguez"/>
    <m/>
    <s v="Ninguna"/>
    <n v="0"/>
    <m/>
    <m/>
    <m/>
    <s v="Ninguna"/>
    <m/>
    <m/>
  </r>
  <r>
    <d v="2018-05-13T00:00:00"/>
    <m/>
    <m/>
    <d v="1899-12-30T19:37:00"/>
    <n v="-76.689630555555553"/>
    <n v="3.4076416666666671"/>
    <n v="3450"/>
    <m/>
    <x v="3"/>
    <n v="10"/>
    <m/>
    <m/>
    <x v="3"/>
    <m/>
    <x v="1"/>
    <x v="18"/>
    <m/>
    <s v="Bosque secundario"/>
    <s v="Gustavo Rodriguez"/>
    <m/>
    <s v="Ninguna"/>
    <n v="0"/>
    <m/>
    <m/>
    <m/>
    <s v="Ninguna"/>
    <m/>
    <m/>
  </r>
  <r>
    <d v="2018-05-13T00:00:00"/>
    <m/>
    <m/>
    <d v="1899-12-30T19:50:00"/>
    <n v="-76.689730555555556"/>
    <n v="3.4072444444444439"/>
    <n v="3390"/>
    <m/>
    <x v="3"/>
    <n v="10"/>
    <n v="5"/>
    <m/>
    <x v="3"/>
    <m/>
    <x v="1"/>
    <x v="18"/>
    <m/>
    <s v="Bosque secundario"/>
    <s v="Gustavo Rodriguez"/>
    <m/>
    <s v="Pristimantis aff quimbaya"/>
    <n v="1"/>
    <m/>
    <m/>
    <m/>
    <s v="Ninguna"/>
    <m/>
    <m/>
  </r>
  <r>
    <d v="2018-05-13T00:00:00"/>
    <m/>
    <m/>
    <d v="1899-12-30T20:10:00"/>
    <n v="-76.69061111111111"/>
    <n v="3.4066111111111108"/>
    <n v="3427"/>
    <m/>
    <x v="3"/>
    <n v="5"/>
    <n v="5"/>
    <m/>
    <x v="3"/>
    <m/>
    <x v="2"/>
    <x v="18"/>
    <m/>
    <s v="Arbustal"/>
    <s v="Oscar Martinez"/>
    <m/>
    <s v="Pristimantis aff leptolophus"/>
    <n v="1"/>
    <s v="Fotos 0118-0134"/>
    <m/>
    <m/>
    <s v="Ninguna"/>
    <m/>
    <m/>
  </r>
  <r>
    <d v="2018-05-13T00:00:00"/>
    <m/>
    <m/>
    <d v="1899-12-30T21:03:00"/>
    <n v="-76.690347222222229"/>
    <n v="3.406569444444445"/>
    <n v="3430"/>
    <m/>
    <x v="3"/>
    <m/>
    <m/>
    <m/>
    <x v="3"/>
    <m/>
    <x v="2"/>
    <x v="18"/>
    <m/>
    <s v="Arbustal"/>
    <s v="Carolina Burbano"/>
    <m/>
    <s v="Ninguna"/>
    <n v="0"/>
    <m/>
    <m/>
    <m/>
    <s v="Ninguna"/>
    <m/>
    <m/>
  </r>
  <r>
    <d v="2018-04-24T00:00:00"/>
    <m/>
    <m/>
    <d v="1899-12-30T19:40:00"/>
    <n v="-76.723083333333335"/>
    <n v="3.4810277777777778"/>
    <m/>
    <m/>
    <x v="3"/>
    <n v="12"/>
    <n v="20"/>
    <m/>
    <x v="1"/>
    <m/>
    <x v="4"/>
    <x v="8"/>
    <m/>
    <s v="Bosque secundario"/>
    <s v="Roger Franco"/>
    <m/>
    <s v="Pristimantis erythropleura"/>
    <n v="1"/>
    <m/>
    <m/>
    <m/>
    <s v="Ninguna"/>
    <m/>
    <m/>
  </r>
  <r>
    <d v="2018-04-24T00:00:00"/>
    <m/>
    <m/>
    <d v="1899-12-30T19:47:00"/>
    <n v="-76.723138888888897"/>
    <n v="3.4809999999999999"/>
    <n v="2094"/>
    <m/>
    <x v="3"/>
    <n v="10"/>
    <n v="5"/>
    <m/>
    <x v="1"/>
    <m/>
    <x v="4"/>
    <x v="8"/>
    <m/>
    <s v="Bosque secundario"/>
    <s v="Alvaro Fierro"/>
    <m/>
    <s v="Pristimantis molybrignus"/>
    <n v="1"/>
    <s v="Fotos 636-641"/>
    <m/>
    <m/>
    <s v="Ninguna"/>
    <m/>
    <m/>
  </r>
  <r>
    <d v="2018-04-24T00:00:00"/>
    <m/>
    <m/>
    <d v="1899-12-30T17:55:00"/>
    <n v="-76.723166666666671"/>
    <n v="3.4809722222222219"/>
    <n v="2090"/>
    <m/>
    <x v="3"/>
    <n v="12"/>
    <n v="10"/>
    <m/>
    <x v="1"/>
    <m/>
    <x v="4"/>
    <x v="8"/>
    <m/>
    <s v="Bosque secundario"/>
    <s v="Roger Franco"/>
    <m/>
    <s v="Pristimantis palmeri"/>
    <n v="1"/>
    <s v="Fotos 642-645"/>
    <m/>
    <m/>
    <s v="Ninguna"/>
    <m/>
    <m/>
  </r>
  <r>
    <d v="2018-04-24T00:00:00"/>
    <m/>
    <m/>
    <d v="1899-12-30T20:03:00"/>
    <n v="-76.723222222222219"/>
    <n v="3.4808888888888889"/>
    <n v="2094"/>
    <m/>
    <x v="3"/>
    <n v="15"/>
    <n v="5"/>
    <m/>
    <x v="1"/>
    <m/>
    <x v="4"/>
    <x v="8"/>
    <m/>
    <s v="Bosque secundario"/>
    <s v="Alvaro Fierro"/>
    <m/>
    <s v="Pristimantis erythropleura"/>
    <n v="1"/>
    <m/>
    <m/>
    <m/>
    <s v="Ninguna"/>
    <m/>
    <m/>
  </r>
  <r>
    <d v="2018-04-24T00:00:00"/>
    <m/>
    <m/>
    <d v="1899-12-30T20:03:00"/>
    <n v="-76.723222222222219"/>
    <n v="3.4808888888888889"/>
    <n v="2092"/>
    <m/>
    <x v="3"/>
    <n v="15"/>
    <n v="5"/>
    <m/>
    <x v="1"/>
    <m/>
    <x v="4"/>
    <x v="8"/>
    <m/>
    <s v="Bosque secundario"/>
    <s v="Roger Franco"/>
    <m/>
    <s v="Pristimantis molybrignus"/>
    <n v="1"/>
    <s v="Fotos 645-651"/>
    <m/>
    <m/>
    <s v="Ninguna"/>
    <m/>
    <m/>
  </r>
  <r>
    <d v="2018-04-24T00:00:00"/>
    <m/>
    <m/>
    <d v="1899-12-30T20:12:00"/>
    <n v="-76.723222222222219"/>
    <n v="3.4808888888888889"/>
    <n v="2092"/>
    <m/>
    <x v="3"/>
    <n v="20"/>
    <n v="2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0:16:00"/>
    <n v="-76.723222222222219"/>
    <n v="3.4808888888888889"/>
    <n v="2092"/>
    <m/>
    <x v="3"/>
    <n v="12"/>
    <n v="20"/>
    <m/>
    <x v="1"/>
    <m/>
    <x v="4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0:20:00"/>
    <n v="-76.723222222222219"/>
    <n v="3.4808888888888889"/>
    <n v="2092"/>
    <m/>
    <x v="3"/>
    <n v="10"/>
    <n v="25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0:20:00"/>
    <n v="-76.723222222222219"/>
    <n v="3.4808888888888889"/>
    <n v="2092"/>
    <m/>
    <x v="3"/>
    <n v="10"/>
    <n v="25"/>
    <m/>
    <x v="1"/>
    <m/>
    <x v="4"/>
    <x v="8"/>
    <m/>
    <s v="Bosque secundario"/>
    <s v="Oscar Martinez"/>
    <m/>
    <s v="Bolitoglossa walkeri"/>
    <n v="1"/>
    <s v="Fotos 665-671"/>
    <m/>
    <m/>
    <s v="Ninguna"/>
    <m/>
    <m/>
  </r>
  <r>
    <d v="2018-04-24T00:00:00"/>
    <m/>
    <m/>
    <d v="1899-12-30T20:32:00"/>
    <n v="-76.723222222222219"/>
    <n v="3.480861111111111"/>
    <n v="2098"/>
    <m/>
    <x v="3"/>
    <n v="15"/>
    <n v="20"/>
    <m/>
    <x v="1"/>
    <m/>
    <x v="4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0:32:00"/>
    <n v="-76.723222222222219"/>
    <n v="3.480861111111111"/>
    <n v="2098"/>
    <m/>
    <x v="3"/>
    <n v="12"/>
    <n v="15"/>
    <m/>
    <x v="1"/>
    <m/>
    <x v="4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0:32:00"/>
    <n v="-76.723222222222219"/>
    <n v="3.480861111111111"/>
    <n v="2098"/>
    <m/>
    <x v="3"/>
    <n v="12"/>
    <n v="10"/>
    <m/>
    <x v="1"/>
    <m/>
    <x v="4"/>
    <x v="8"/>
    <m/>
    <s v="Bosque secundario"/>
    <s v="Hamilton Bermudez"/>
    <m/>
    <s v="Pristimantis erythropleura"/>
    <n v="1"/>
    <m/>
    <m/>
    <m/>
    <s v="Ninguna"/>
    <m/>
    <m/>
  </r>
  <r>
    <d v="2018-04-24T00:00:00"/>
    <m/>
    <m/>
    <d v="1899-12-30T20:45:00"/>
    <n v="-76.723250000000007"/>
    <n v="3.4807222222222221"/>
    <n v="2101"/>
    <m/>
    <x v="3"/>
    <n v="12"/>
    <n v="12"/>
    <m/>
    <x v="1"/>
    <m/>
    <x v="4"/>
    <x v="8"/>
    <m/>
    <s v="Bosque secundario"/>
    <s v="Alvaro Fierro"/>
    <m/>
    <s v="Hypodactylus mantipus"/>
    <n v="1"/>
    <s v="Fotos 693-699"/>
    <m/>
    <m/>
    <s v="Ninguna"/>
    <m/>
    <m/>
  </r>
  <r>
    <d v="2018-04-24T00:00:00"/>
    <m/>
    <m/>
    <d v="1899-12-30T20:45:00"/>
    <n v="-76.723250000000007"/>
    <n v="3.4807222222222221"/>
    <n v="2101"/>
    <m/>
    <x v="3"/>
    <n v="12"/>
    <n v="20"/>
    <m/>
    <x v="1"/>
    <m/>
    <x v="4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0:45:00"/>
    <n v="-76.723250000000007"/>
    <n v="3.4807222222222221"/>
    <n v="2101"/>
    <m/>
    <x v="3"/>
    <n v="12"/>
    <n v="20"/>
    <m/>
    <x v="1"/>
    <m/>
    <x v="4"/>
    <x v="8"/>
    <m/>
    <s v="Bosque secundario"/>
    <s v="Alvaro Fierro"/>
    <m/>
    <s v="Pristimantis gracilis"/>
    <n v="1"/>
    <s v="Fotos 700-710"/>
    <m/>
    <m/>
    <s v="Ninguna"/>
    <m/>
    <m/>
  </r>
  <r>
    <d v="2018-04-24T00:00:00"/>
    <m/>
    <m/>
    <d v="1899-12-30T21:01:00"/>
    <n v="-76.723250000000007"/>
    <n v="3.4804444444444451"/>
    <n v="2108"/>
    <m/>
    <x v="3"/>
    <n v="20"/>
    <n v="30"/>
    <m/>
    <x v="1"/>
    <m/>
    <x v="4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1:05:00"/>
    <n v="-76.723250000000007"/>
    <n v="3.4804444444444451"/>
    <n v="2108"/>
    <m/>
    <x v="3"/>
    <n v="20"/>
    <n v="30"/>
    <m/>
    <x v="1"/>
    <m/>
    <x v="4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01:00"/>
    <n v="-76.723250000000007"/>
    <n v="3.4804444444444451"/>
    <n v="2108"/>
    <m/>
    <x v="3"/>
    <n v="20"/>
    <n v="30"/>
    <m/>
    <x v="1"/>
    <m/>
    <x v="4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1:05:00"/>
    <n v="-76.723250000000007"/>
    <n v="3.4804444444444451"/>
    <n v="2109"/>
    <m/>
    <x v="3"/>
    <n v="20"/>
    <n v="5"/>
    <m/>
    <x v="1"/>
    <m/>
    <x v="4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1:08:00"/>
    <n v="-76.723222222222219"/>
    <n v="3.4802499999999998"/>
    <n v="2113"/>
    <m/>
    <x v="3"/>
    <n v="15"/>
    <m/>
    <m/>
    <x v="1"/>
    <m/>
    <x v="4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1:17:00"/>
    <n v="-76.723194444444445"/>
    <n v="3.4801111111111109"/>
    <n v="2115"/>
    <m/>
    <x v="3"/>
    <n v="10"/>
    <n v="15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20:00"/>
    <n v="-76.723166666666671"/>
    <n v="3.4801111111111109"/>
    <n v="2115"/>
    <m/>
    <x v="3"/>
    <n v="12"/>
    <n v="15"/>
    <m/>
    <x v="1"/>
    <m/>
    <x v="3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1:29:00"/>
    <n v="-76.723111111111109"/>
    <n v="3.4797777777777781"/>
    <n v="2116"/>
    <m/>
    <x v="3"/>
    <n v="15"/>
    <n v="2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30:00"/>
    <n v="-76.723111111111109"/>
    <n v="3.4797777777777781"/>
    <n v="2116"/>
    <m/>
    <x v="3"/>
    <n v="15"/>
    <n v="10"/>
    <m/>
    <x v="1"/>
    <m/>
    <x v="3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1:35:00"/>
    <n v="-76.723055555555561"/>
    <n v="3.4796388888888892"/>
    <n v="2125"/>
    <m/>
    <x v="3"/>
    <n v="15"/>
    <n v="2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41:00"/>
    <n v="-76.723055555555561"/>
    <n v="3.4796388888888892"/>
    <n v="2125"/>
    <m/>
    <x v="3"/>
    <n v="15"/>
    <n v="20"/>
    <m/>
    <x v="1"/>
    <m/>
    <x v="3"/>
    <x v="8"/>
    <m/>
    <s v="Bosque secundario"/>
    <s v="Hamilton Bermudez"/>
    <m/>
    <s v="Bolitoglossa walkeri"/>
    <n v="1"/>
    <s v="Fotos 714-721"/>
    <m/>
    <m/>
    <s v="Ninguna"/>
    <m/>
    <m/>
  </r>
  <r>
    <d v="2018-04-24T00:00:00"/>
    <m/>
    <m/>
    <d v="1899-12-30T21:41:00"/>
    <n v="-76.723055555555561"/>
    <n v="3.4796388888888892"/>
    <n v="2125"/>
    <m/>
    <x v="3"/>
    <n v="12"/>
    <n v="3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49:00"/>
    <n v="-76.722999999999999"/>
    <n v="3.4794999999999998"/>
    <n v="2123"/>
    <m/>
    <x v="3"/>
    <n v="25"/>
    <n v="30"/>
    <m/>
    <x v="1"/>
    <m/>
    <x v="3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1:49:00"/>
    <n v="-76.722999999999999"/>
    <n v="3.4794999999999998"/>
    <n v="2123"/>
    <m/>
    <x v="3"/>
    <n v="25"/>
    <n v="3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50:00"/>
    <n v="-76.722999999999999"/>
    <n v="3.4794722222222219"/>
    <n v="2123"/>
    <m/>
    <x v="3"/>
    <n v="15"/>
    <n v="40"/>
    <m/>
    <x v="1"/>
    <m/>
    <x v="3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1:52:00"/>
    <n v="-76.722999999999999"/>
    <n v="3.4794722222222219"/>
    <n v="2123"/>
    <m/>
    <x v="3"/>
    <n v="15"/>
    <n v="4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1:54:00"/>
    <n v="-76.722999999999999"/>
    <n v="3.4794722222222219"/>
    <n v="2123"/>
    <m/>
    <x v="3"/>
    <n v="12"/>
    <n v="30"/>
    <m/>
    <x v="1"/>
    <m/>
    <x v="3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1:55:00"/>
    <n v="-76.722999999999999"/>
    <n v="3.4794722222222219"/>
    <n v="2124"/>
    <m/>
    <x v="3"/>
    <n v="18"/>
    <n v="25"/>
    <m/>
    <x v="1"/>
    <m/>
    <x v="3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1:59:00"/>
    <n v="-76.722999999999999"/>
    <n v="3.4794722222222219"/>
    <n v="2124"/>
    <m/>
    <x v="3"/>
    <n v="18"/>
    <n v="25"/>
    <m/>
    <x v="1"/>
    <m/>
    <x v="3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2:02:00"/>
    <n v="-76.723027777777773"/>
    <n v="3.4794722222222219"/>
    <n v="2125"/>
    <m/>
    <x v="3"/>
    <n v="18"/>
    <n v="30"/>
    <m/>
    <x v="1"/>
    <m/>
    <x v="3"/>
    <x v="8"/>
    <m/>
    <s v="Bosque secundario"/>
    <s v="Hamilton Bermudez"/>
    <m/>
    <s v="Bolitoglossa walkeri"/>
    <n v="1"/>
    <s v="Fotos 732-736"/>
    <m/>
    <m/>
    <s v="Ninguna"/>
    <m/>
    <m/>
  </r>
  <r>
    <d v="2018-04-24T00:00:00"/>
    <m/>
    <m/>
    <d v="1899-12-30T22:02:00"/>
    <n v="-76.723027777777773"/>
    <n v="3.4794722222222219"/>
    <n v="2125"/>
    <m/>
    <x v="3"/>
    <n v="18"/>
    <n v="3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2:02:00"/>
    <n v="-76.723027777777773"/>
    <n v="3.4794722222222219"/>
    <n v="2125"/>
    <m/>
    <x v="3"/>
    <n v="18"/>
    <n v="30"/>
    <m/>
    <x v="1"/>
    <m/>
    <x v="3"/>
    <x v="8"/>
    <m/>
    <s v="Bosque secundario"/>
    <s v="Hamilton Bermudez"/>
    <m/>
    <s v="Pristimantis palmeri"/>
    <n v="1"/>
    <m/>
    <m/>
    <m/>
    <s v="Ninguna"/>
    <m/>
    <m/>
  </r>
  <r>
    <d v="2018-04-24T00:00:00"/>
    <m/>
    <m/>
    <d v="1899-12-30T22:02:00"/>
    <n v="-76.723027777777773"/>
    <n v="3.4794722222222219"/>
    <n v="2125"/>
    <m/>
    <x v="3"/>
    <n v="18"/>
    <n v="30"/>
    <m/>
    <x v="1"/>
    <m/>
    <x v="3"/>
    <x v="8"/>
    <m/>
    <s v="Bosque secundario"/>
    <s v="Hamilton Bermudez"/>
    <m/>
    <s v="Bolitoglossa walkeri"/>
    <n v="1"/>
    <m/>
    <m/>
    <m/>
    <s v="Ninguna"/>
    <m/>
    <m/>
  </r>
  <r>
    <d v="2018-04-24T00:00:00"/>
    <m/>
    <m/>
    <d v="1899-12-30T22:08:00"/>
    <n v="-76.722999999999999"/>
    <n v="3.4793611111111109"/>
    <n v="2125"/>
    <m/>
    <x v="3"/>
    <n v="19"/>
    <n v="50"/>
    <m/>
    <x v="1"/>
    <m/>
    <x v="3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2:10:00"/>
    <n v="-76.722999999999999"/>
    <n v="3.4793611111111109"/>
    <n v="2125"/>
    <m/>
    <x v="3"/>
    <n v="19"/>
    <n v="50"/>
    <m/>
    <x v="1"/>
    <m/>
    <x v="3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2:30:00"/>
    <n v="-76.722861111111115"/>
    <n v="3.4789444444444451"/>
    <n v="2143"/>
    <m/>
    <x v="3"/>
    <n v="18"/>
    <n v="35"/>
    <m/>
    <x v="1"/>
    <m/>
    <x v="2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2:32:00"/>
    <n v="-76.722861111111115"/>
    <n v="3.4789444444444451"/>
    <n v="2143"/>
    <m/>
    <x v="3"/>
    <n v="18"/>
    <n v="35"/>
    <m/>
    <x v="1"/>
    <m/>
    <x v="2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2:34:00"/>
    <n v="-76.722805555555553"/>
    <n v="3.4788888888888891"/>
    <n v="2142"/>
    <m/>
    <x v="3"/>
    <n v="22"/>
    <n v="45"/>
    <m/>
    <x v="1"/>
    <m/>
    <x v="2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2:36:00"/>
    <n v="-76.722805555555553"/>
    <n v="3.4788888888888891"/>
    <n v="2142"/>
    <m/>
    <x v="3"/>
    <n v="22"/>
    <n v="45"/>
    <m/>
    <x v="1"/>
    <m/>
    <x v="2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2:39:00"/>
    <n v="-76.722805555555553"/>
    <n v="3.4788611111111112"/>
    <n v="2141"/>
    <m/>
    <x v="3"/>
    <n v="19"/>
    <n v="20"/>
    <m/>
    <x v="1"/>
    <m/>
    <x v="2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2:41:00"/>
    <n v="-76.722833333333341"/>
    <n v="3.4787499999999998"/>
    <n v="2138"/>
    <m/>
    <x v="3"/>
    <n v="18"/>
    <n v="30"/>
    <m/>
    <x v="1"/>
    <m/>
    <x v="2"/>
    <x v="8"/>
    <m/>
    <s v="Bosque secundario"/>
    <s v="Roger Franco"/>
    <m/>
    <s v="Pristimantis molybrignus"/>
    <n v="1"/>
    <m/>
    <m/>
    <m/>
    <s v="Ninguna"/>
    <m/>
    <m/>
  </r>
  <r>
    <d v="2018-04-24T00:00:00"/>
    <m/>
    <m/>
    <d v="1899-12-30T22:47:00"/>
    <n v="-76.722805555555553"/>
    <n v="3.4786388888888888"/>
    <n v="2140"/>
    <m/>
    <x v="3"/>
    <n v="17"/>
    <n v="15"/>
    <m/>
    <x v="1"/>
    <m/>
    <x v="2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2:49:00"/>
    <n v="-76.722805555555553"/>
    <n v="3.4786388888888888"/>
    <n v="2140"/>
    <m/>
    <x v="3"/>
    <n v="10"/>
    <n v="40"/>
    <m/>
    <x v="1"/>
    <m/>
    <x v="2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2:55:00"/>
    <n v="-76.722750000000005"/>
    <n v="3.4785833333333329"/>
    <n v="2139"/>
    <m/>
    <x v="3"/>
    <n v="20"/>
    <n v="30"/>
    <m/>
    <x v="1"/>
    <m/>
    <x v="2"/>
    <x v="8"/>
    <m/>
    <s v="Bosque secundario"/>
    <s v="Roger Franco"/>
    <m/>
    <s v="Pristimantis erythropleura"/>
    <n v="1"/>
    <m/>
    <m/>
    <m/>
    <s v="Ninguna"/>
    <m/>
    <m/>
  </r>
  <r>
    <d v="2018-04-24T00:00:00"/>
    <m/>
    <m/>
    <d v="1899-12-30T22:58:00"/>
    <n v="-76.722750000000005"/>
    <n v="3.4785833333333329"/>
    <n v="2139"/>
    <m/>
    <x v="3"/>
    <n v="18"/>
    <n v="60"/>
    <m/>
    <x v="1"/>
    <m/>
    <x v="2"/>
    <x v="8"/>
    <m/>
    <s v="Bosque secundario"/>
    <s v="Hamilton Bermudez"/>
    <m/>
    <s v="Pristimantis gracilis"/>
    <n v="1"/>
    <s v="Fotos 743-753"/>
    <m/>
    <m/>
    <s v="Ninguna"/>
    <m/>
    <m/>
  </r>
  <r>
    <d v="2018-04-24T00:00:00"/>
    <m/>
    <m/>
    <d v="1899-12-30T22:58:00"/>
    <n v="-76.722750000000005"/>
    <n v="3.4785833333333329"/>
    <n v="2130"/>
    <m/>
    <x v="3"/>
    <n v="18"/>
    <n v="60"/>
    <m/>
    <x v="1"/>
    <m/>
    <x v="2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3:06:00"/>
    <n v="-76.722750000000005"/>
    <n v="3.4785555555555558"/>
    <n v="2139"/>
    <m/>
    <x v="3"/>
    <n v="12"/>
    <n v="30"/>
    <m/>
    <x v="1"/>
    <m/>
    <x v="2"/>
    <x v="8"/>
    <m/>
    <s v="Bosque secundario"/>
    <s v="Oscar Martinez"/>
    <m/>
    <s v="Pristimantis palmeri"/>
    <n v="1"/>
    <m/>
    <m/>
    <m/>
    <s v="Ninguna"/>
    <m/>
    <m/>
  </r>
  <r>
    <d v="2018-04-24T00:00:00"/>
    <m/>
    <m/>
    <d v="1899-12-30T23:09:00"/>
    <n v="-76.722805555555553"/>
    <n v="3.4784166666666669"/>
    <n v="2140"/>
    <m/>
    <x v="3"/>
    <n v="14"/>
    <n v="30"/>
    <m/>
    <x v="1"/>
    <m/>
    <x v="2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10:00"/>
    <n v="-76.722805555555553"/>
    <n v="3.4784166666666669"/>
    <n v="2140"/>
    <m/>
    <x v="3"/>
    <n v="24"/>
    <n v="40"/>
    <m/>
    <x v="1"/>
    <m/>
    <x v="2"/>
    <x v="8"/>
    <m/>
    <s v="Bosque secundario"/>
    <s v="Alvaro Fierro"/>
    <m/>
    <s v="Hypodactylus mantipus"/>
    <n v="1"/>
    <s v="Fotos 754-759"/>
    <m/>
    <m/>
    <s v="Ninguna"/>
    <m/>
    <m/>
  </r>
  <r>
    <d v="2018-04-24T00:00:00"/>
    <m/>
    <m/>
    <d v="1899-12-30T23:27:00"/>
    <n v="-76.722694444444443"/>
    <n v="3.4780555555555561"/>
    <n v="2142"/>
    <m/>
    <x v="3"/>
    <n v="15"/>
    <n v="15"/>
    <m/>
    <x v="1"/>
    <m/>
    <x v="2"/>
    <x v="8"/>
    <m/>
    <s v="Bosque secundario"/>
    <s v="Alvaro Fierro"/>
    <m/>
    <s v="Hypodactylus mantipus"/>
    <n v="1"/>
    <m/>
    <m/>
    <m/>
    <s v="Ninguna"/>
    <m/>
    <m/>
  </r>
  <r>
    <d v="2018-04-24T00:00:00"/>
    <m/>
    <m/>
    <d v="1899-12-30T23:34:00"/>
    <n v="-76.722722222222231"/>
    <n v="3.4778333333333329"/>
    <n v="2145"/>
    <m/>
    <x v="3"/>
    <n v="20"/>
    <n v="25"/>
    <m/>
    <x v="1"/>
    <m/>
    <x v="1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3:36:00"/>
    <n v="-76.722694444444443"/>
    <n v="3.4778333333333329"/>
    <n v="2145"/>
    <m/>
    <x v="3"/>
    <n v="10"/>
    <n v="15"/>
    <m/>
    <x v="1"/>
    <m/>
    <x v="1"/>
    <x v="8"/>
    <m/>
    <s v="Bosque secundario"/>
    <s v="Alvaro Fierro"/>
    <m/>
    <s v="Bolitoglossa walkeri"/>
    <n v="1"/>
    <s v="Fotos 767-772"/>
    <m/>
    <m/>
    <s v="Ninguna"/>
    <m/>
    <m/>
  </r>
  <r>
    <d v="2018-04-24T00:00:00"/>
    <m/>
    <m/>
    <d v="1899-12-30T23:36:00"/>
    <n v="-76.722694444444443"/>
    <n v="3.4778333333333329"/>
    <n v="2145"/>
    <m/>
    <x v="3"/>
    <n v="10"/>
    <n v="15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40:00"/>
    <n v="-76.722694444444443"/>
    <n v="3.4778333333333329"/>
    <n v="2145"/>
    <m/>
    <x v="3"/>
    <n v="10"/>
    <n v="15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41:00"/>
    <n v="-76.722694444444443"/>
    <n v="3.4778055555555558"/>
    <n v="2146"/>
    <m/>
    <x v="3"/>
    <n v="15"/>
    <n v="25"/>
    <m/>
    <x v="1"/>
    <m/>
    <x v="1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3:47:00"/>
    <n v="-76.722694444444443"/>
    <n v="3.4778055555555558"/>
    <n v="2147"/>
    <m/>
    <x v="3"/>
    <n v="18"/>
    <n v="10"/>
    <m/>
    <x v="1"/>
    <m/>
    <x v="1"/>
    <x v="8"/>
    <m/>
    <s v="Bosque secundario"/>
    <s v="Oscar Martinez"/>
    <m/>
    <s v="Pristimantis molybrignus"/>
    <n v="1"/>
    <s v="Fotos 775-788 Amplexus"/>
    <m/>
    <m/>
    <s v="Ninguna"/>
    <m/>
    <m/>
  </r>
  <r>
    <d v="2018-04-24T00:00:00"/>
    <m/>
    <m/>
    <d v="1899-12-30T23:47:00"/>
    <n v="-76.722694444444443"/>
    <n v="3.4778055555555558"/>
    <n v="2147"/>
    <m/>
    <x v="3"/>
    <n v="18"/>
    <n v="10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51:00"/>
    <n v="-76.722694444444443"/>
    <n v="3.477694444444444"/>
    <n v="2147"/>
    <m/>
    <x v="3"/>
    <n v="20"/>
    <n v="12"/>
    <m/>
    <x v="1"/>
    <m/>
    <x v="1"/>
    <x v="8"/>
    <m/>
    <s v="Bosque secundario"/>
    <s v="Alvaro Fierro"/>
    <m/>
    <s v="Hypodactylus mantipus"/>
    <n v="1"/>
    <m/>
    <m/>
    <m/>
    <s v="Ninguna"/>
    <m/>
    <m/>
  </r>
  <r>
    <d v="2018-04-24T00:00:00"/>
    <m/>
    <m/>
    <d v="1899-12-30T23:53:00"/>
    <n v="-76.722583333333333"/>
    <n v="3.477694444444444"/>
    <n v="2147"/>
    <m/>
    <x v="3"/>
    <n v="20"/>
    <n v="12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54:00"/>
    <n v="-76.722583333333333"/>
    <n v="3.477694444444444"/>
    <n v="2147"/>
    <m/>
    <x v="3"/>
    <n v="20"/>
    <n v="12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23:57:00"/>
    <n v="-76.722499999999997"/>
    <n v="3.477527777777778"/>
    <n v="2149"/>
    <m/>
    <x v="3"/>
    <n v="18"/>
    <n v="10"/>
    <m/>
    <x v="1"/>
    <m/>
    <x v="1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3:57:00"/>
    <n v="-76.722499999999997"/>
    <n v="3.477527777777778"/>
    <n v="2149"/>
    <m/>
    <x v="3"/>
    <n v="18"/>
    <n v="10"/>
    <m/>
    <x v="1"/>
    <m/>
    <x v="1"/>
    <x v="8"/>
    <m/>
    <s v="Bosque secundario"/>
    <s v="Alvaro Fierro"/>
    <m/>
    <s v="Pristimantis molybrignus"/>
    <n v="1"/>
    <m/>
    <m/>
    <m/>
    <s v="Ninguna"/>
    <m/>
    <m/>
  </r>
  <r>
    <d v="2018-04-24T00:00:00"/>
    <m/>
    <m/>
    <d v="1899-12-30T23:57:00"/>
    <n v="-76.722499999999997"/>
    <n v="3.477527777777778"/>
    <n v="2149"/>
    <m/>
    <x v="3"/>
    <n v="18"/>
    <n v="10"/>
    <m/>
    <x v="1"/>
    <m/>
    <x v="1"/>
    <x v="8"/>
    <m/>
    <s v="Bosque secundario"/>
    <s v="Hamilton Bermudez"/>
    <m/>
    <s v="Pristimantis molybrignus"/>
    <n v="1"/>
    <m/>
    <m/>
    <m/>
    <s v="Ninguna"/>
    <m/>
    <m/>
  </r>
  <r>
    <d v="2018-04-24T00:00:00"/>
    <m/>
    <m/>
    <d v="1899-12-30T23:58:00"/>
    <n v="-76.722499999999997"/>
    <n v="3.477527777777778"/>
    <n v="2149"/>
    <m/>
    <x v="3"/>
    <n v="18"/>
    <n v="10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00:01:00"/>
    <n v="-76.722499999999997"/>
    <n v="3.4775"/>
    <n v="2149"/>
    <m/>
    <x v="3"/>
    <n v="18"/>
    <n v="15"/>
    <m/>
    <x v="1"/>
    <m/>
    <x v="1"/>
    <x v="8"/>
    <m/>
    <s v="Bosque secundario"/>
    <s v="Oscar Martinez"/>
    <m/>
    <s v="Pristimantis molybrignus"/>
    <n v="1"/>
    <m/>
    <m/>
    <m/>
    <s v="Ninguna"/>
    <m/>
    <m/>
  </r>
  <r>
    <d v="2018-04-24T00:00:00"/>
    <m/>
    <m/>
    <d v="1899-12-30T00:03:00"/>
    <n v="-76.722499999999997"/>
    <n v="3.4775"/>
    <n v="2149"/>
    <m/>
    <x v="3"/>
    <n v="24"/>
    <n v="15"/>
    <m/>
    <x v="1"/>
    <m/>
    <x v="1"/>
    <x v="8"/>
    <m/>
    <s v="Bosque secundario"/>
    <s v="Hamilton Bermudez"/>
    <m/>
    <s v="Pristimantis molybrignus"/>
    <n v="1"/>
    <m/>
    <m/>
    <m/>
    <s v="Ninguna"/>
    <m/>
    <m/>
  </r>
  <r>
    <d v="2018-04-25T00:00:00"/>
    <m/>
    <m/>
    <d v="1899-12-30T19:50:00"/>
    <n v="-76.713861111111115"/>
    <n v="3.487805555555556"/>
    <n v="1882"/>
    <n v="1.2"/>
    <x v="3"/>
    <n v="15"/>
    <n v="30"/>
    <m/>
    <x v="1"/>
    <m/>
    <x v="0"/>
    <x v="12"/>
    <m/>
    <s v="Bosque ripario"/>
    <s v="Oscar Martinez"/>
    <m/>
    <s v="Pristimantis palmeri"/>
    <n v="1"/>
    <m/>
    <m/>
    <m/>
    <s v="Ninguna"/>
    <m/>
    <m/>
  </r>
  <r>
    <d v="2018-04-25T00:00:00"/>
    <m/>
    <m/>
    <d v="1899-12-30T19:58:00"/>
    <n v="-76.713888888888889"/>
    <n v="3.487805555555556"/>
    <n v="1883"/>
    <n v="1"/>
    <x v="3"/>
    <n v="20"/>
    <n v="90"/>
    <m/>
    <x v="1"/>
    <m/>
    <x v="0"/>
    <x v="12"/>
    <m/>
    <s v="Bosque ripario"/>
    <s v="Hamilton Bermudez"/>
    <m/>
    <s v="Pristimantis palmeri"/>
    <n v="1"/>
    <m/>
    <m/>
    <m/>
    <s v="Ninguna"/>
    <m/>
    <m/>
  </r>
  <r>
    <d v="2018-04-25T00:00:00"/>
    <m/>
    <m/>
    <d v="1899-12-30T20:21:00"/>
    <n v="-76.714416666666665"/>
    <n v="3.487805555555556"/>
    <n v="1890"/>
    <m/>
    <x v="3"/>
    <m/>
    <m/>
    <m/>
    <x v="1"/>
    <m/>
    <x v="1"/>
    <x v="12"/>
    <m/>
    <s v="Bosque ripario"/>
    <s v="Alvaro Fierro"/>
    <m/>
    <s v="Pristimantis palmeri"/>
    <n v="1"/>
    <m/>
    <m/>
    <m/>
    <s v="Ninguna"/>
    <m/>
    <m/>
  </r>
  <r>
    <d v="2018-04-25T00:00:00"/>
    <m/>
    <m/>
    <d v="1899-12-30T20:38:00"/>
    <n v="-76.714805555555557"/>
    <n v="3.487130555555555"/>
    <n v="1887"/>
    <n v="1.2"/>
    <x v="3"/>
    <n v="25"/>
    <n v="90"/>
    <m/>
    <x v="1"/>
    <m/>
    <x v="2"/>
    <x v="12"/>
    <m/>
    <s v="Bosque ripario"/>
    <s v="Oscar Martinez"/>
    <m/>
    <s v="Pristimantis erythropleura"/>
    <n v="1"/>
    <m/>
    <m/>
    <m/>
    <s v="Ninguna"/>
    <m/>
    <m/>
  </r>
  <r>
    <d v="2018-04-25T00:00:00"/>
    <m/>
    <m/>
    <d v="1899-12-30T20:59:00"/>
    <n v="-76.714805555555557"/>
    <n v="3.487130555555555"/>
    <n v="1887"/>
    <n v="1.2"/>
    <x v="3"/>
    <n v="18"/>
    <n v="90"/>
    <m/>
    <x v="1"/>
    <m/>
    <x v="2"/>
    <x v="12"/>
    <m/>
    <s v="Bosque ripario"/>
    <s v="Oscar Martinez"/>
    <m/>
    <s v="Pristimantis palmeri"/>
    <n v="1"/>
    <m/>
    <m/>
    <m/>
    <s v="Ninguna"/>
    <m/>
    <m/>
  </r>
  <r>
    <d v="2018-04-25T00:00:00"/>
    <m/>
    <m/>
    <d v="1899-12-30T21:07:00"/>
    <n v="-76.714777777777783"/>
    <n v="3.487083333333334"/>
    <n v="1880"/>
    <n v="1"/>
    <x v="3"/>
    <n v="10"/>
    <n v="30"/>
    <m/>
    <x v="1"/>
    <m/>
    <x v="2"/>
    <x v="12"/>
    <m/>
    <s v="Bosque ripario"/>
    <s v="Roger Franco"/>
    <m/>
    <s v="Ninguna"/>
    <n v="0"/>
    <m/>
    <m/>
    <m/>
    <s v="Ninguna"/>
    <m/>
    <m/>
  </r>
  <r>
    <d v="2018-12-04T00:00:00"/>
    <m/>
    <m/>
    <d v="1899-12-30T20:40:00"/>
    <n v="-76.878611111111098"/>
    <n v="3.543305555555555"/>
    <n v="496"/>
    <n v="6"/>
    <x v="3"/>
    <n v="20"/>
    <n v="40"/>
    <m/>
    <x v="0"/>
    <m/>
    <x v="0"/>
    <x v="3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0:10:00"/>
    <n v="-76.878499999999988"/>
    <n v="3.5437500000000002"/>
    <n v="495"/>
    <n v="4"/>
    <x v="3"/>
    <n v="6"/>
    <n v="10"/>
    <m/>
    <x v="0"/>
    <m/>
    <x v="0"/>
    <x v="3"/>
    <m/>
    <s v="Bosque ripario"/>
    <s v="Carolina Burbano"/>
    <m/>
    <s v="Hyalinobatrachium aureoguttatum"/>
    <n v="1"/>
    <m/>
    <m/>
    <m/>
    <s v="Ninguna"/>
    <m/>
    <m/>
  </r>
  <r>
    <d v="2018-12-04T00:00:00"/>
    <m/>
    <m/>
    <d v="1899-12-30T22:03:00"/>
    <n v="-76.881583333333325"/>
    <n v="3.5525277777777782"/>
    <n v="511"/>
    <m/>
    <x v="3"/>
    <n v="6"/>
    <n v="10"/>
    <m/>
    <x v="0"/>
    <m/>
    <x v="0"/>
    <x v="5"/>
    <m/>
    <s v="Bosque ripario"/>
    <s v="Hamilton Bermudez"/>
    <m/>
    <s v="Hyalinobatrachium aureoguttatum"/>
    <n v="1"/>
    <m/>
    <m/>
    <m/>
    <s v="Ninguna"/>
    <m/>
    <m/>
  </r>
  <r>
    <d v="2018-12-04T00:00:00"/>
    <m/>
    <m/>
    <d v="1899-12-30T22:31:00"/>
    <n v="-76.882583333333329"/>
    <n v="3.5523055555555549"/>
    <n v="515"/>
    <m/>
    <x v="3"/>
    <n v="3"/>
    <n v="5"/>
    <m/>
    <x v="0"/>
    <m/>
    <x v="1"/>
    <x v="5"/>
    <m/>
    <s v="Bosque ripario"/>
    <s v="Hamilton Bermudez"/>
    <m/>
    <s v="Craugastor raniformis"/>
    <n v="1"/>
    <m/>
    <m/>
    <m/>
    <s v="Ninguna"/>
    <m/>
    <m/>
  </r>
  <r>
    <d v="2018-12-04T00:00:00"/>
    <m/>
    <m/>
    <d v="1899-12-30T23:31:00"/>
    <n v="-76.882583333333329"/>
    <n v="3.5523055555555549"/>
    <n v="516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17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18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19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0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1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2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3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4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5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6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1-07T00:00:00"/>
    <m/>
    <m/>
    <d v="1899-12-30T19:05:00"/>
    <n v="-76.647111111111116"/>
    <n v="3.3496944444444452"/>
    <n v="2306"/>
    <n v="0.5"/>
    <x v="3"/>
    <n v="7"/>
    <n v="5"/>
    <m/>
    <x v="2"/>
    <m/>
    <x v="1"/>
    <x v="11"/>
    <m/>
    <s v="Bosque ripario"/>
    <s v="Hamilton Bermudez"/>
    <m/>
    <s v="Pristimantis erythropleura"/>
    <n v="1"/>
    <s v="Juvenil macho"/>
    <m/>
    <m/>
    <s v="Ninguna"/>
    <m/>
    <m/>
  </r>
  <r>
    <d v="2018-11-07T00:00:00"/>
    <m/>
    <m/>
    <d v="1899-12-30T19:00:00"/>
    <n v="-76.64466666666668"/>
    <n v="3.3495833333333329"/>
    <n v="2305"/>
    <n v="0.5"/>
    <x v="3"/>
    <n v="7"/>
    <n v="6"/>
    <m/>
    <x v="2"/>
    <m/>
    <x v="3"/>
    <x v="11"/>
    <m/>
    <s v="Bosque ripario"/>
    <s v="Alvaro Fierro"/>
    <m/>
    <s v="Pristimantis erythropleura"/>
    <n v="1"/>
    <m/>
    <m/>
    <m/>
    <s v="Ninguna"/>
    <m/>
    <m/>
  </r>
  <r>
    <d v="2018-11-07T00:00:00"/>
    <m/>
    <m/>
    <d v="1899-12-30T19:15:00"/>
    <n v="-76.647055555555568"/>
    <n v="3.3494166666666669"/>
    <n v="2302"/>
    <n v="2"/>
    <x v="3"/>
    <n v="8"/>
    <n v="15"/>
    <m/>
    <x v="2"/>
    <m/>
    <x v="1"/>
    <x v="11"/>
    <m/>
    <s v="Bosque ripario"/>
    <s v="Alvaro Fierro"/>
    <m/>
    <s v="Pristimantis palmeri"/>
    <n v="1"/>
    <m/>
    <m/>
    <m/>
    <s v="Ninguna"/>
    <m/>
    <m/>
  </r>
  <r>
    <d v="2018-11-07T00:00:00"/>
    <m/>
    <m/>
    <d v="1899-12-30T19:43:00"/>
    <n v="-76.647083333333342"/>
    <n v="3.3488611111111108"/>
    <n v="2292"/>
    <n v="0.6"/>
    <x v="3"/>
    <n v="8"/>
    <n v="25"/>
    <m/>
    <x v="2"/>
    <m/>
    <x v="0"/>
    <x v="11"/>
    <m/>
    <s v="Bosque ripario"/>
    <s v="Hamilton Bermudez"/>
    <m/>
    <s v="Pristimantis palmeri"/>
    <n v="1"/>
    <m/>
    <m/>
    <m/>
    <s v="Ninguna"/>
    <m/>
    <m/>
  </r>
  <r>
    <d v="2018-11-07T00:00:00"/>
    <m/>
    <m/>
    <d v="1899-12-30T20:51:00"/>
    <n v="-76.644361111111124"/>
    <n v="3.3495277777777779"/>
    <n v="2339"/>
    <m/>
    <x v="3"/>
    <n v="10"/>
    <n v="15"/>
    <m/>
    <x v="2"/>
    <m/>
    <x v="0"/>
    <x v="10"/>
    <m/>
    <s v="Bosque secundario"/>
    <s v="Hamilton Bermudez"/>
    <m/>
    <s v="Pristimantis aff quimbaya"/>
    <n v="1"/>
    <m/>
    <m/>
    <m/>
    <s v="Ninguna"/>
    <m/>
    <m/>
  </r>
  <r>
    <d v="2018-11-07T00:00:00"/>
    <m/>
    <m/>
    <d v="1899-12-30T20:51:00"/>
    <n v="-76.644361111111124"/>
    <n v="3.3495277777777779"/>
    <n v="2339"/>
    <m/>
    <x v="3"/>
    <n v="10"/>
    <n v="15"/>
    <m/>
    <x v="2"/>
    <m/>
    <x v="0"/>
    <x v="10"/>
    <m/>
    <s v="Bosque secundario"/>
    <s v="Guillermo Guerrero"/>
    <m/>
    <s v="Pristimantis palmeri"/>
    <n v="1"/>
    <m/>
    <m/>
    <m/>
    <s v="Ninguna"/>
    <m/>
    <m/>
  </r>
  <r>
    <d v="2018-11-07T00:00:00"/>
    <m/>
    <m/>
    <d v="1899-12-30T20:51:00"/>
    <n v="-76.644361111111124"/>
    <n v="3.3495277777777779"/>
    <n v="2339"/>
    <m/>
    <x v="3"/>
    <n v="10"/>
    <n v="15"/>
    <m/>
    <x v="2"/>
    <m/>
    <x v="0"/>
    <x v="10"/>
    <m/>
    <s v="Bosque secundario"/>
    <s v="Guillermo Guerrero"/>
    <m/>
    <s v="Pristimantis palmeri"/>
    <n v="1"/>
    <m/>
    <m/>
    <m/>
    <s v="Ninguna"/>
    <m/>
    <m/>
  </r>
  <r>
    <d v="2018-11-07T00:00:00"/>
    <m/>
    <m/>
    <d v="1899-12-30T20:53:00"/>
    <n v="-76.644361111111124"/>
    <n v="3.3495277777777779"/>
    <n v="2339"/>
    <m/>
    <x v="3"/>
    <n v="10"/>
    <n v="15"/>
    <m/>
    <x v="2"/>
    <m/>
    <x v="0"/>
    <x v="10"/>
    <m/>
    <s v="Bosque secundario"/>
    <s v="Hamilton Bermudez"/>
    <m/>
    <s v="Pristimantis palmeri"/>
    <n v="1"/>
    <m/>
    <m/>
    <m/>
    <s v="Ninguna"/>
    <m/>
    <m/>
  </r>
  <r>
    <d v="2018-11-07T00:00:00"/>
    <m/>
    <m/>
    <d v="1899-12-30T21:04:00"/>
    <n v="-76.644222222222226"/>
    <n v="3.3496111111111109"/>
    <n v="2339"/>
    <m/>
    <x v="3"/>
    <n v="30"/>
    <n v="25"/>
    <m/>
    <x v="2"/>
    <m/>
    <x v="0"/>
    <x v="10"/>
    <m/>
    <s v="Bosque secundario"/>
    <s v="Hamilton Bermudez"/>
    <m/>
    <s v="Pristimantis palmeri"/>
    <n v="1"/>
    <m/>
    <m/>
    <m/>
    <s v="Ninguna"/>
    <m/>
    <m/>
  </r>
  <r>
    <d v="2018-11-07T00:00:00"/>
    <m/>
    <m/>
    <d v="1899-12-30T21:13:00"/>
    <n v="-76.644027777777779"/>
    <n v="3.3495555555555558"/>
    <n v="2339"/>
    <m/>
    <x v="3"/>
    <n v="25"/>
    <n v="60"/>
    <m/>
    <x v="2"/>
    <m/>
    <x v="0"/>
    <x v="10"/>
    <m/>
    <s v="Bosque secundario"/>
    <s v="Hamilton Bermudez"/>
    <m/>
    <s v="Pristimantis palmeri"/>
    <n v="1"/>
    <m/>
    <m/>
    <m/>
    <s v="Ninguna"/>
    <m/>
    <m/>
  </r>
  <r>
    <d v="2018-11-07T00:00:00"/>
    <m/>
    <m/>
    <d v="1899-12-30T20:55:00"/>
    <n v="-76.644305555555562"/>
    <n v="3.3495555555555558"/>
    <n v="2339"/>
    <m/>
    <x v="3"/>
    <n v="25"/>
    <n v="15"/>
    <m/>
    <x v="2"/>
    <m/>
    <x v="0"/>
    <x v="10"/>
    <m/>
    <s v="Bosque secundario"/>
    <s v="Alvaro Fierro"/>
    <m/>
    <s v="Pristimantis palmeri"/>
    <n v="1"/>
    <m/>
    <m/>
    <m/>
    <s v="Ninguna"/>
    <m/>
    <m/>
  </r>
  <r>
    <d v="2018-11-07T00:00:00"/>
    <m/>
    <m/>
    <d v="1899-12-30T21:52:00"/>
    <n v="-76.643111111111111"/>
    <n v="3.3495555555555558"/>
    <n v="2315"/>
    <m/>
    <x v="3"/>
    <n v="25"/>
    <n v="35"/>
    <m/>
    <x v="2"/>
    <m/>
    <x v="1"/>
    <x v="10"/>
    <m/>
    <s v="Bosque secundario"/>
    <s v="Hamilton Bermudez"/>
    <m/>
    <s v="Pristimantis calcaratus"/>
    <n v="1"/>
    <m/>
    <m/>
    <m/>
    <s v="Ninguna"/>
    <m/>
    <m/>
  </r>
  <r>
    <d v="2018-11-07T00:00:00"/>
    <m/>
    <m/>
    <d v="1899-12-30T22:11:00"/>
    <n v="-76.643055555555563"/>
    <n v="3.3496944444444452"/>
    <n v="2312"/>
    <m/>
    <x v="3"/>
    <n v="30"/>
    <n v="45"/>
    <m/>
    <x v="2"/>
    <m/>
    <x v="1"/>
    <x v="10"/>
    <m/>
    <s v="Bosque secundario"/>
    <s v="Carolina Burbano"/>
    <m/>
    <s v="Pristimantis palmeri"/>
    <n v="1"/>
    <m/>
    <m/>
    <m/>
    <s v="Ninguna"/>
    <m/>
    <m/>
  </r>
  <r>
    <d v="2018-11-07T00:00:00"/>
    <m/>
    <m/>
    <d v="1899-12-30T21:51:00"/>
    <n v="-76.643111111111111"/>
    <n v="3.348444444444445"/>
    <n v="2315"/>
    <m/>
    <x v="3"/>
    <n v="25"/>
    <n v="35"/>
    <m/>
    <x v="2"/>
    <m/>
    <x v="1"/>
    <x v="10"/>
    <m/>
    <s v="Bosque secundario"/>
    <s v="Carolina Burbano"/>
    <m/>
    <s v="Pristimantis palmeri"/>
    <n v="1"/>
    <m/>
    <m/>
    <m/>
    <s v="Ninguna"/>
    <m/>
    <m/>
  </r>
  <r>
    <d v="2018-11-08T00:00:00"/>
    <m/>
    <m/>
    <d v="1899-12-30T18:58:00"/>
    <n v="-76.656194444444452"/>
    <n v="3.3552222222222219"/>
    <n v="2448"/>
    <n v="1"/>
    <x v="3"/>
    <n v="20"/>
    <n v="25"/>
    <m/>
    <x v="2"/>
    <m/>
    <x v="2"/>
    <x v="14"/>
    <m/>
    <s v="Bosque ripario"/>
    <s v="Hamilton Bermudez"/>
    <m/>
    <s v="Pristimantis calcaratus"/>
    <n v="1"/>
    <m/>
    <m/>
    <m/>
    <s v="Ninguna"/>
    <m/>
    <m/>
  </r>
  <r>
    <d v="2018-11-08T00:00:00"/>
    <m/>
    <m/>
    <d v="1899-12-30T19:48:00"/>
    <n v="-76.65613888888889"/>
    <n v="3.354805555555556"/>
    <n v="2450"/>
    <m/>
    <x v="3"/>
    <n v="25"/>
    <n v="45"/>
    <m/>
    <x v="2"/>
    <m/>
    <x v="1"/>
    <x v="14"/>
    <m/>
    <s v="Bosque secundario"/>
    <s v="Hamilton Bermudez"/>
    <m/>
    <s v="Pristimantis palmeri"/>
    <n v="1"/>
    <m/>
    <m/>
    <m/>
    <s v="Ninguna"/>
    <m/>
    <m/>
  </r>
  <r>
    <d v="2018-11-08T00:00:00"/>
    <m/>
    <m/>
    <d v="1899-12-30T19:59:00"/>
    <n v="-76.656000000000006"/>
    <n v="3.3547777777777781"/>
    <n v="2451"/>
    <m/>
    <x v="3"/>
    <n v="30"/>
    <n v="80"/>
    <m/>
    <x v="2"/>
    <m/>
    <x v="1"/>
    <x v="14"/>
    <m/>
    <s v="Bosque secundario"/>
    <s v="Carolina Burbano"/>
    <m/>
    <s v="Pristimantis erythropleura"/>
    <n v="1"/>
    <m/>
    <m/>
    <m/>
    <s v="Ninguna"/>
    <m/>
    <m/>
  </r>
  <r>
    <d v="2018-11-08T00:00:00"/>
    <m/>
    <m/>
    <d v="1899-12-30T20:00:00"/>
    <n v="-76.656000000000006"/>
    <n v="3.3547777777777781"/>
    <n v="2451"/>
    <m/>
    <x v="3"/>
    <n v="30"/>
    <m/>
    <m/>
    <x v="2"/>
    <m/>
    <x v="1"/>
    <x v="14"/>
    <m/>
    <s v="Bosque secundario"/>
    <s v="Hamilton Bermudez"/>
    <m/>
    <s v="Pristimantis palmeri"/>
    <n v="1"/>
    <s v="Juvenil"/>
    <m/>
    <m/>
    <s v="Ninguna"/>
    <m/>
    <m/>
  </r>
  <r>
    <d v="2018-11-08T00:00:00"/>
    <m/>
    <m/>
    <d v="1899-12-30T20:08:00"/>
    <n v="-76.65580555555556"/>
    <n v="3.3545833333333328"/>
    <n v="2449"/>
    <m/>
    <x v="3"/>
    <n v="20"/>
    <n v="75"/>
    <m/>
    <x v="2"/>
    <m/>
    <x v="1"/>
    <x v="14"/>
    <m/>
    <s v="Bosque secundario"/>
    <s v="Hamilton Bermudez"/>
    <m/>
    <s v="Pristimantis erythropleura"/>
    <n v="1"/>
    <m/>
    <m/>
    <m/>
    <s v="Ninguna"/>
    <m/>
    <m/>
  </r>
  <r>
    <d v="2018-11-08T00:00:00"/>
    <m/>
    <m/>
    <d v="1899-12-30T21:04:00"/>
    <n v="-76.655166666666673"/>
    <n v="3.3539444444444451"/>
    <n v="2445"/>
    <m/>
    <x v="3"/>
    <n v="20"/>
    <n v="30"/>
    <m/>
    <x v="2"/>
    <m/>
    <x v="0"/>
    <x v="14"/>
    <m/>
    <s v="Bosque secundario"/>
    <s v="Hamilton Bermudez"/>
    <m/>
    <s v="Pristimantis palmeri"/>
    <n v="1"/>
    <m/>
    <m/>
    <m/>
    <s v="Ninguna"/>
    <m/>
    <m/>
  </r>
  <r>
    <d v="2018-11-08T00:00:00"/>
    <m/>
    <m/>
    <d v="1899-12-30T21:10:00"/>
    <n v="-76.655027777777789"/>
    <n v="3.3538888888888891"/>
    <n v="2445"/>
    <m/>
    <x v="3"/>
    <n v="20"/>
    <n v="30"/>
    <m/>
    <x v="2"/>
    <m/>
    <x v="0"/>
    <x v="14"/>
    <m/>
    <s v="Bosque secundario"/>
    <s v="Hamilton Bermudez"/>
    <m/>
    <s v="Pristimantis acatallelus"/>
    <n v="1"/>
    <m/>
    <m/>
    <m/>
    <s v="Ninguna"/>
    <m/>
    <m/>
  </r>
  <r>
    <d v="2018-11-08T00:00:00"/>
    <m/>
    <m/>
    <d v="1899-12-30T21:18:00"/>
    <n v="-76.654972222222227"/>
    <n v="3.356611111111111"/>
    <n v="2443"/>
    <m/>
    <x v="3"/>
    <n v="25"/>
    <n v="20"/>
    <m/>
    <x v="2"/>
    <m/>
    <x v="3"/>
    <x v="14"/>
    <m/>
    <s v="Bosque secundario"/>
    <s v="Carolina Burbano"/>
    <m/>
    <s v="Pristimantis capitonis"/>
    <n v="1"/>
    <m/>
    <m/>
    <m/>
    <s v="Ninguna"/>
    <m/>
    <m/>
  </r>
  <r>
    <d v="2018-11-08T00:00:00"/>
    <m/>
    <m/>
    <d v="1899-12-30T21:00:00"/>
    <n v="-76.655027777777789"/>
    <n v="3.3538888888888891"/>
    <n v="2445"/>
    <m/>
    <x v="3"/>
    <n v="20"/>
    <n v="30"/>
    <m/>
    <x v="2"/>
    <m/>
    <x v="0"/>
    <x v="14"/>
    <m/>
    <s v="Bosque secundario"/>
    <s v="Alvaro Fierro"/>
    <m/>
    <s v="Pristimantis erythropleura"/>
    <n v="1"/>
    <m/>
    <m/>
    <m/>
    <s v="Ninguna"/>
    <m/>
    <m/>
  </r>
  <r>
    <d v="2018-11-08T00:00:00"/>
    <m/>
    <m/>
    <d v="1899-12-30T21:47:00"/>
    <n v="-76.653000000000006"/>
    <n v="3.353388888888889"/>
    <n v="2414"/>
    <m/>
    <x v="3"/>
    <m/>
    <m/>
    <m/>
    <x v="2"/>
    <m/>
    <x v="4"/>
    <x v="13"/>
    <m/>
    <s v="Bosque secundario"/>
    <m/>
    <m/>
    <s v="Ninguna"/>
    <n v="0"/>
    <m/>
    <m/>
    <m/>
    <s v="Ninguna"/>
    <m/>
    <m/>
  </r>
  <r>
    <d v="2018-11-08T00:00:00"/>
    <m/>
    <m/>
    <d v="1899-12-30T21:47:00"/>
    <n v="-76.653000000000006"/>
    <n v="3.353388888888889"/>
    <n v="2414"/>
    <m/>
    <x v="3"/>
    <m/>
    <m/>
    <m/>
    <x v="2"/>
    <m/>
    <x v="4"/>
    <x v="13"/>
    <m/>
    <s v="Bosque secundario"/>
    <m/>
    <m/>
    <s v="Ninguna"/>
    <n v="0"/>
    <m/>
    <m/>
    <m/>
    <s v="Ninguna"/>
    <m/>
    <m/>
  </r>
  <r>
    <d v="2018-05-13T00:00:00"/>
    <m/>
    <m/>
    <d v="1899-12-30T21:17:00"/>
    <n v="-76.690633333333338"/>
    <n v="3.4063583333333329"/>
    <n v="3425"/>
    <m/>
    <x v="3"/>
    <n v="1.5"/>
    <n v="5"/>
    <m/>
    <x v="3"/>
    <m/>
    <x v="3"/>
    <x v="18"/>
    <m/>
    <s v="Arbustal"/>
    <s v="Alvaro Fierro"/>
    <m/>
    <s v="Pristimantis aff leptolophus"/>
    <n v="1"/>
    <m/>
    <m/>
    <m/>
    <s v="Ninguna"/>
    <m/>
    <m/>
  </r>
  <r>
    <d v="2018-05-13T00:00:00"/>
    <m/>
    <m/>
    <d v="1899-12-30T21:28:00"/>
    <n v="-76.690638888888898"/>
    <n v="3.4063555555555549"/>
    <n v="3425"/>
    <m/>
    <x v="3"/>
    <n v="1.5"/>
    <n v="60"/>
    <m/>
    <x v="3"/>
    <m/>
    <x v="3"/>
    <x v="18"/>
    <m/>
    <s v="Arbustal"/>
    <s v="Roger Franco"/>
    <m/>
    <s v="Pristimantis capitonis"/>
    <n v="1"/>
    <s v="Fotos 0145-0156"/>
    <m/>
    <m/>
    <s v="Ninguna"/>
    <m/>
    <m/>
  </r>
  <r>
    <d v="2018-12-04T00:00:00"/>
    <m/>
    <m/>
    <d v="1899-12-30T23:31:00"/>
    <n v="-76.882583333333329"/>
    <n v="3.5523055555555549"/>
    <n v="527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8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29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30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31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1-08T00:00:00"/>
    <m/>
    <m/>
    <d v="1899-12-30T22:12:00"/>
    <n v="-76.651499999999999"/>
    <n v="3.353194444444445"/>
    <n v="2402"/>
    <m/>
    <x v="3"/>
    <m/>
    <m/>
    <m/>
    <x v="2"/>
    <m/>
    <x v="3"/>
    <x v="13"/>
    <m/>
    <s v="Bosque secundario"/>
    <m/>
    <m/>
    <s v="Ninguna"/>
    <n v="0"/>
    <m/>
    <m/>
    <m/>
    <s v="Ninguna"/>
    <m/>
    <m/>
  </r>
  <r>
    <d v="2018-11-08T00:00:00"/>
    <m/>
    <m/>
    <d v="1899-12-30T22:12:00"/>
    <n v="-76.651499999999999"/>
    <n v="3.353194444444445"/>
    <n v="2402"/>
    <m/>
    <x v="3"/>
    <m/>
    <m/>
    <m/>
    <x v="2"/>
    <m/>
    <x v="3"/>
    <x v="13"/>
    <m/>
    <s v="Bosque secundario"/>
    <m/>
    <m/>
    <s v="Ninguna"/>
    <n v="0"/>
    <m/>
    <m/>
    <m/>
    <s v="Ninguna"/>
    <m/>
    <m/>
  </r>
  <r>
    <d v="2018-04-11T00:00:00"/>
    <m/>
    <m/>
    <d v="1899-12-30T20:43:00"/>
    <n v="-76.647155555555557"/>
    <n v="3.349394444444445"/>
    <n v="2429"/>
    <n v="1"/>
    <x v="3"/>
    <n v="10"/>
    <n v="60"/>
    <m/>
    <x v="2"/>
    <m/>
    <x v="1"/>
    <x v="11"/>
    <m/>
    <s v="Bosque ripario"/>
    <s v="Hamilton Bermudez"/>
    <m/>
    <s v="Pristimantis palmeri"/>
    <n v="1"/>
    <m/>
    <m/>
    <m/>
    <s v="Ninguna"/>
    <m/>
    <m/>
  </r>
  <r>
    <d v="2018-04-11T00:00:00"/>
    <m/>
    <m/>
    <d v="1899-12-30T21:16:00"/>
    <n v="-76.647041666666667"/>
    <n v="3.3489944444444451"/>
    <n v="2421"/>
    <n v="0.5"/>
    <x v="3"/>
    <n v="5"/>
    <n v="30"/>
    <m/>
    <x v="2"/>
    <m/>
    <x v="0"/>
    <x v="11"/>
    <m/>
    <s v="Bosque ripario"/>
    <s v="Hamilton Bermudez"/>
    <m/>
    <s v="Pristimantis erythropleura"/>
    <n v="1"/>
    <m/>
    <m/>
    <m/>
    <s v="Ninguna"/>
    <m/>
    <m/>
  </r>
  <r>
    <d v="2018-04-11T00:00:00"/>
    <m/>
    <m/>
    <d v="1899-12-30T21:30:00"/>
    <n v="-76.647072222222235"/>
    <n v="3.3487638888888891"/>
    <n v="2418"/>
    <n v="0.5"/>
    <x v="3"/>
    <n v="8"/>
    <n v="20"/>
    <m/>
    <x v="2"/>
    <m/>
    <x v="0"/>
    <x v="11"/>
    <m/>
    <s v="Bosque ripario"/>
    <s v="Hamilton Bermudez"/>
    <m/>
    <s v="Pristimantis palmeri"/>
    <n v="1"/>
    <m/>
    <m/>
    <m/>
    <s v="Ninguna"/>
    <m/>
    <m/>
  </r>
  <r>
    <d v="2018-04-11T00:00:00"/>
    <m/>
    <m/>
    <d v="1899-12-30T23:28:00"/>
    <n v="-76.644461111111113"/>
    <n v="3.3496972222222219"/>
    <n v="2478"/>
    <m/>
    <x v="3"/>
    <n v="10"/>
    <n v="10"/>
    <m/>
    <x v="2"/>
    <m/>
    <x v="3"/>
    <x v="11"/>
    <m/>
    <s v="Bosque secundario"/>
    <s v="Gustavo Rodriguez"/>
    <m/>
    <s v="Pristimantis palmeri"/>
    <n v="1"/>
    <m/>
    <m/>
    <m/>
    <s v="Ninguna"/>
    <m/>
    <m/>
  </r>
  <r>
    <d v="2018-04-11T00:00:00"/>
    <m/>
    <m/>
    <d v="1899-12-30T23:35:00"/>
    <n v="-76.644380555555557"/>
    <n v="3.3495472222222218"/>
    <n v="2470"/>
    <m/>
    <x v="3"/>
    <n v="20"/>
    <n v="20"/>
    <m/>
    <x v="2"/>
    <m/>
    <x v="0"/>
    <x v="10"/>
    <m/>
    <s v="Bosque secundario"/>
    <s v="Hamilton Bermudez"/>
    <m/>
    <s v="Pristimantis acatallelus"/>
    <n v="1"/>
    <m/>
    <m/>
    <m/>
    <s v="Ninguna"/>
    <m/>
    <m/>
  </r>
  <r>
    <d v="2018-04-11T00:00:00"/>
    <m/>
    <m/>
    <d v="1899-12-30T23:35:00"/>
    <n v="-76.644380555555557"/>
    <n v="3.3495472222222218"/>
    <n v="2470"/>
    <m/>
    <x v="3"/>
    <n v="20"/>
    <n v="20"/>
    <m/>
    <x v="2"/>
    <m/>
    <x v="0"/>
    <x v="10"/>
    <m/>
    <s v="Bosque secundario"/>
    <s v="Hamilton Bermudez"/>
    <m/>
    <s v="Ninguna"/>
    <n v="0"/>
    <m/>
    <m/>
    <m/>
    <s v="Ninguna"/>
    <m/>
    <m/>
  </r>
  <r>
    <d v="2018-04-11T00:00:00"/>
    <m/>
    <m/>
    <d v="1899-12-30T00:17:00"/>
    <n v="-76.643636111111121"/>
    <n v="3.3495416666666671"/>
    <n v="2477"/>
    <m/>
    <x v="3"/>
    <n v="30"/>
    <n v="45"/>
    <m/>
    <x v="2"/>
    <m/>
    <x v="0"/>
    <x v="10"/>
    <m/>
    <s v="Bosque secundario"/>
    <s v="Gustavo Rodriguez"/>
    <m/>
    <s v="Pristimantis palmeri"/>
    <n v="1"/>
    <m/>
    <m/>
    <m/>
    <s v="Ninguna"/>
    <m/>
    <m/>
  </r>
  <r>
    <d v="2018-04-11T00:00:00"/>
    <m/>
    <m/>
    <d v="1899-12-30T00:39:00"/>
    <n v="-76.643141666666679"/>
    <n v="3.3494555555555561"/>
    <n v="2461"/>
    <m/>
    <x v="3"/>
    <n v="15"/>
    <n v="20"/>
    <m/>
    <x v="2"/>
    <m/>
    <x v="1"/>
    <x v="10"/>
    <m/>
    <s v="Bosque secundario"/>
    <s v="Roger Franco"/>
    <m/>
    <s v="Pristimantis palmeri"/>
    <n v="1"/>
    <m/>
    <m/>
    <m/>
    <s v="Ninguna"/>
    <m/>
    <m/>
  </r>
  <r>
    <d v="2018-04-12T00:00:00"/>
    <m/>
    <m/>
    <d v="1899-12-30T19:09:00"/>
    <n v="-76.652638888888902"/>
    <n v="3.3538000000000001"/>
    <n v="2568"/>
    <m/>
    <x v="3"/>
    <n v="20"/>
    <n v="70"/>
    <m/>
    <x v="2"/>
    <m/>
    <x v="3"/>
    <x v="13"/>
    <m/>
    <s v="Bosque secundario"/>
    <s v="Hamilton Bermudez"/>
    <m/>
    <s v="Pristimantis palmeri"/>
    <n v="1"/>
    <m/>
    <m/>
    <m/>
    <s v="Ninguna"/>
    <m/>
    <m/>
  </r>
  <r>
    <d v="2018-04-12T00:00:00"/>
    <m/>
    <m/>
    <d v="1899-12-30T19:15:00"/>
    <n v="-76.65303333333334"/>
    <n v="3.3534277777777781"/>
    <n v="2573"/>
    <m/>
    <x v="3"/>
    <n v="20"/>
    <n v="70"/>
    <m/>
    <x v="2"/>
    <m/>
    <x v="4"/>
    <x v="13"/>
    <m/>
    <s v="Bosque secundario"/>
    <s v="Roger Franco"/>
    <m/>
    <s v="Pristimantis palmeri"/>
    <n v="1"/>
    <m/>
    <m/>
    <m/>
    <s v="Ninguna"/>
    <m/>
    <m/>
  </r>
  <r>
    <d v="2018-04-12T00:00:00"/>
    <m/>
    <m/>
    <d v="1899-12-30T19:15:00"/>
    <n v="-76.65303333333334"/>
    <n v="3.3534277777777781"/>
    <n v="2573"/>
    <m/>
    <x v="3"/>
    <n v="20"/>
    <n v="70"/>
    <m/>
    <x v="2"/>
    <m/>
    <x v="4"/>
    <x v="13"/>
    <m/>
    <s v="Bosque secundario"/>
    <s v="Roger Franco"/>
    <m/>
    <s v="Pristimantis palmeri"/>
    <n v="1"/>
    <m/>
    <m/>
    <m/>
    <s v="Ninguna"/>
    <m/>
    <m/>
  </r>
  <r>
    <d v="2018-04-12T00:00:00"/>
    <m/>
    <m/>
    <d v="1899-12-30T19:15:00"/>
    <n v="-76.65303333333334"/>
    <n v="3.3534277777777781"/>
    <n v="2573"/>
    <m/>
    <x v="3"/>
    <n v="20"/>
    <n v="70"/>
    <m/>
    <x v="2"/>
    <m/>
    <x v="4"/>
    <x v="13"/>
    <m/>
    <s v="Bosque secundario"/>
    <s v="Roger Franco"/>
    <m/>
    <s v="Pristimantis acatallelus"/>
    <n v="1"/>
    <m/>
    <m/>
    <m/>
    <s v="Ninguna"/>
    <m/>
    <m/>
  </r>
  <r>
    <d v="2018-04-12T00:00:00"/>
    <m/>
    <m/>
    <d v="1899-12-30T19:50:00"/>
    <n v="-76.653113888888896"/>
    <n v="3.353330555555555"/>
    <n v="2564"/>
    <m/>
    <x v="3"/>
    <n v="15"/>
    <n v="80"/>
    <m/>
    <x v="2"/>
    <m/>
    <x v="4"/>
    <x v="13"/>
    <m/>
    <s v="Bosque secundario"/>
    <s v="Roger Franco"/>
    <m/>
    <s v="Pristimantis erythropleura"/>
    <n v="1"/>
    <m/>
    <m/>
    <m/>
    <s v="Ninguna"/>
    <m/>
    <m/>
  </r>
  <r>
    <d v="2018-04-12T00:00:00"/>
    <m/>
    <m/>
    <d v="1899-12-30T19:55:00"/>
    <n v="-76.653127777777783"/>
    <n v="3.3535555555555558"/>
    <n v="2569"/>
    <m/>
    <x v="3"/>
    <n v="10"/>
    <n v="40"/>
    <m/>
    <x v="2"/>
    <m/>
    <x v="4"/>
    <x v="13"/>
    <m/>
    <s v="Bosque secundario"/>
    <s v="Hamilton Bermudez"/>
    <m/>
    <s v="Pristimantis palmeri"/>
    <n v="1"/>
    <m/>
    <m/>
    <m/>
    <s v="Ninguna"/>
    <m/>
    <m/>
  </r>
  <r>
    <d v="2018-04-12T00:00:00"/>
    <m/>
    <m/>
    <d v="1899-12-30T20:00:00"/>
    <n v="-76.653386111111118"/>
    <n v="3.3534388888888889"/>
    <n v="2601"/>
    <m/>
    <x v="3"/>
    <n v="10"/>
    <n v="30"/>
    <m/>
    <x v="2"/>
    <m/>
    <x v="4"/>
    <x v="13"/>
    <m/>
    <s v="Bosque secundario"/>
    <s v="Roger Franco"/>
    <m/>
    <s v="Pristimantis erythropleura"/>
    <n v="1"/>
    <m/>
    <m/>
    <m/>
    <s v="Ninguna"/>
    <m/>
    <m/>
  </r>
  <r>
    <d v="2018-04-12T00:00:00"/>
    <m/>
    <m/>
    <m/>
    <n v="-76.656450000000007"/>
    <n v="3.355547222222222"/>
    <n v="2660"/>
    <m/>
    <x v="3"/>
    <m/>
    <m/>
    <m/>
    <x v="2"/>
    <m/>
    <x v="2"/>
    <x v="14"/>
    <m/>
    <m/>
    <s v="Gustavo Rodriguez"/>
    <m/>
    <s v="Ninguna"/>
    <n v="0"/>
    <m/>
    <m/>
    <m/>
    <s v="Ninguna"/>
    <m/>
    <m/>
  </r>
  <r>
    <d v="2018-04-12T00:00:00"/>
    <m/>
    <m/>
    <d v="1899-12-30T22:10:00"/>
    <n v="-76.656511111111115"/>
    <n v="3.355083333333333"/>
    <n v="2594"/>
    <n v="1"/>
    <x v="3"/>
    <n v="8"/>
    <n v="30"/>
    <m/>
    <x v="2"/>
    <m/>
    <x v="1"/>
    <x v="14"/>
    <m/>
    <s v="Bosque ripario"/>
    <s v="Hamilton Bermudez"/>
    <m/>
    <s v="Pristimantis acatallelus"/>
    <n v="1"/>
    <m/>
    <m/>
    <m/>
    <s v="Ninguna"/>
    <m/>
    <m/>
  </r>
  <r>
    <d v="2018-04-12T00:00:00"/>
    <m/>
    <m/>
    <d v="1899-12-30T22:32:00"/>
    <n v="-76.656494444444448"/>
    <n v="3.3549527777777781"/>
    <n v="2596"/>
    <m/>
    <x v="3"/>
    <n v="8"/>
    <n v="5"/>
    <m/>
    <x v="2"/>
    <m/>
    <x v="1"/>
    <x v="14"/>
    <m/>
    <s v="Bosque secundario"/>
    <s v="Hamilton Bermudez"/>
    <m/>
    <s v="Pristimantis palmeri"/>
    <n v="1"/>
    <m/>
    <m/>
    <m/>
    <s v="Ninguna"/>
    <m/>
    <m/>
  </r>
  <r>
    <d v="2018-11-22T00:00:00"/>
    <m/>
    <m/>
    <d v="1899-12-30T20:00:00"/>
    <n v="-76.688611111111115"/>
    <n v="3.407972222222222"/>
    <n v="3221"/>
    <m/>
    <x v="3"/>
    <m/>
    <m/>
    <m/>
    <x v="3"/>
    <m/>
    <x v="0"/>
    <x v="18"/>
    <m/>
    <s v="Arbustal"/>
    <m/>
    <m/>
    <s v="Ninguna"/>
    <n v="0"/>
    <m/>
    <m/>
    <m/>
    <s v="Ninguna"/>
    <m/>
    <m/>
  </r>
  <r>
    <d v="2018-11-22T00:00:00"/>
    <m/>
    <m/>
    <d v="1899-12-30T20:00:00"/>
    <n v="-76.688611111111115"/>
    <n v="3.407972222222222"/>
    <n v="3221"/>
    <m/>
    <x v="3"/>
    <m/>
    <m/>
    <m/>
    <x v="3"/>
    <m/>
    <x v="0"/>
    <x v="18"/>
    <m/>
    <s v="Arbustal"/>
    <m/>
    <m/>
    <s v="Ninguna"/>
    <n v="0"/>
    <m/>
    <m/>
    <m/>
    <s v="Ninguna"/>
    <m/>
    <m/>
  </r>
  <r>
    <d v="2018-11-22T00:00:00"/>
    <m/>
    <m/>
    <d v="1899-12-30T20:00:00"/>
    <n v="-76.689638888888894"/>
    <n v="3.4073888888888888"/>
    <n v="3226"/>
    <m/>
    <x v="3"/>
    <m/>
    <m/>
    <m/>
    <x v="3"/>
    <m/>
    <x v="1"/>
    <x v="18"/>
    <m/>
    <s v="Arbustal"/>
    <m/>
    <m/>
    <s v="Ninguna"/>
    <n v="0"/>
    <m/>
    <m/>
    <m/>
    <s v="Ninguna"/>
    <m/>
    <m/>
  </r>
  <r>
    <d v="2018-11-22T00:00:00"/>
    <m/>
    <m/>
    <d v="1899-12-30T20:00:00"/>
    <n v="-76.689638888888894"/>
    <n v="3.4073888888888888"/>
    <n v="3226"/>
    <m/>
    <x v="3"/>
    <m/>
    <m/>
    <m/>
    <x v="3"/>
    <m/>
    <x v="1"/>
    <x v="18"/>
    <m/>
    <s v="Arbustal"/>
    <m/>
    <m/>
    <s v="Ninguna"/>
    <n v="0"/>
    <m/>
    <m/>
    <m/>
    <s v="Ninguna"/>
    <m/>
    <m/>
  </r>
  <r>
    <d v="2018-11-22T00:00:00"/>
    <m/>
    <m/>
    <d v="1899-12-30T20:49:00"/>
    <n v="-76.69061111111111"/>
    <n v="3.406416666666666"/>
    <n v="3223"/>
    <m/>
    <x v="3"/>
    <n v="2"/>
    <n v="10"/>
    <m/>
    <x v="3"/>
    <m/>
    <x v="3"/>
    <x v="18"/>
    <m/>
    <s v="Arbustal"/>
    <s v="Guillermo Guerrero"/>
    <m/>
    <s v="Pristimantis acatallelus"/>
    <n v="1"/>
    <m/>
    <m/>
    <m/>
    <s v="Ninguna"/>
    <m/>
    <m/>
  </r>
  <r>
    <d v="2018-11-22T00:00:00"/>
    <m/>
    <m/>
    <m/>
    <n v="-76.69061111111111"/>
    <n v="3.406416666666666"/>
    <n v="3223"/>
    <m/>
    <x v="3"/>
    <n v="2"/>
    <n v="10"/>
    <m/>
    <x v="3"/>
    <m/>
    <x v="3"/>
    <x v="18"/>
    <m/>
    <s v="Arbustal"/>
    <s v="Roger Franco"/>
    <m/>
    <s v="Pristimantis aff leptolophus"/>
    <n v="1"/>
    <m/>
    <m/>
    <m/>
    <s v="Ninguna"/>
    <m/>
    <m/>
  </r>
  <r>
    <d v="2018-11-22T00:00:00"/>
    <m/>
    <m/>
    <d v="1899-12-30T21:10:00"/>
    <n v="-76.690694444444446"/>
    <n v="3.406305555555555"/>
    <n v="3223"/>
    <m/>
    <x v="3"/>
    <n v="2"/>
    <n v="5"/>
    <m/>
    <x v="3"/>
    <m/>
    <x v="3"/>
    <x v="18"/>
    <m/>
    <s v="Arbustal"/>
    <s v="Carolina Burbano"/>
    <m/>
    <s v="Pristimantis aff leptolophus"/>
    <n v="1"/>
    <s v="hembra"/>
    <m/>
    <m/>
    <s v="Ninguna"/>
    <m/>
    <m/>
  </r>
  <r>
    <d v="2018-11-22T00:00:00"/>
    <m/>
    <m/>
    <d v="1899-12-30T21:16:00"/>
    <n v="-76.69072222222222"/>
    <n v="3.40625"/>
    <n v="3223"/>
    <m/>
    <x v="3"/>
    <n v="2"/>
    <n v="5"/>
    <m/>
    <x v="3"/>
    <m/>
    <x v="3"/>
    <x v="18"/>
    <m/>
    <s v="Arbustal"/>
    <s v="Carolina Burbano"/>
    <m/>
    <s v="Pristimantis aff leptolophus"/>
    <n v="1"/>
    <m/>
    <m/>
    <m/>
    <s v="Ninguna"/>
    <m/>
    <m/>
  </r>
  <r>
    <d v="2018-11-23T00:00:00"/>
    <m/>
    <m/>
    <d v="1899-12-30T19:18:00"/>
    <n v="-76.687333333333342"/>
    <n v="3.386138888888889"/>
    <n v="3409"/>
    <m/>
    <x v="3"/>
    <n v="1"/>
    <m/>
    <m/>
    <x v="3"/>
    <m/>
    <x v="5"/>
    <x v="20"/>
    <m/>
    <s v="Arbustal"/>
    <s v="Carolina Burbano"/>
    <m/>
    <s v="Pristimantis myops"/>
    <n v="1"/>
    <m/>
    <m/>
    <m/>
    <s v="Ninguna"/>
    <m/>
    <m/>
  </r>
  <r>
    <d v="2018-11-23T00:00:00"/>
    <m/>
    <m/>
    <d v="1899-12-30T19:30:00"/>
    <n v="-76.687416666666664"/>
    <n v="3.386166666666667"/>
    <n v="3409"/>
    <m/>
    <x v="3"/>
    <n v="1"/>
    <m/>
    <m/>
    <x v="3"/>
    <m/>
    <x v="5"/>
    <x v="20"/>
    <m/>
    <s v="Arbustal"/>
    <s v="Hamilton Bermudez"/>
    <m/>
    <s v="Pristimantis calcaratus"/>
    <n v="1"/>
    <m/>
    <m/>
    <m/>
    <s v="Ninguna"/>
    <m/>
    <m/>
  </r>
  <r>
    <d v="2018-11-23T00:00:00"/>
    <m/>
    <m/>
    <d v="1899-12-30T19:44:00"/>
    <n v="-76.687472222222226"/>
    <n v="3.386194444444445"/>
    <n v="3409"/>
    <m/>
    <x v="3"/>
    <n v="1"/>
    <m/>
    <m/>
    <x v="3"/>
    <m/>
    <x v="5"/>
    <x v="20"/>
    <m/>
    <s v="Arbustal"/>
    <s v="Hamilton Bermudez"/>
    <m/>
    <s v="Pristimantis aff duende"/>
    <n v="1"/>
    <m/>
    <m/>
    <m/>
    <s v="Ninguna"/>
    <m/>
    <m/>
  </r>
  <r>
    <d v="2018-11-23T00:00:00"/>
    <m/>
    <m/>
    <d v="1899-12-30T19:53:00"/>
    <n v="-76.687527777777788"/>
    <n v="3.38625"/>
    <n v="3109"/>
    <m/>
    <x v="3"/>
    <n v="1"/>
    <m/>
    <m/>
    <x v="3"/>
    <m/>
    <x v="6"/>
    <x v="20"/>
    <m/>
    <s v="Arbustal"/>
    <s v="Hamilton Bermudez"/>
    <m/>
    <s v="Pristimantis aff duende"/>
    <n v="1"/>
    <m/>
    <m/>
    <m/>
    <s v="Ninguna"/>
    <m/>
    <m/>
  </r>
  <r>
    <d v="2018-11-23T00:00:00"/>
    <m/>
    <m/>
    <d v="1899-12-30T20:12:00"/>
    <n v="-76.68772222222222"/>
    <n v="3.3853333333333331"/>
    <n v="3402"/>
    <m/>
    <x v="3"/>
    <n v="1"/>
    <m/>
    <m/>
    <x v="3"/>
    <m/>
    <x v="2"/>
    <x v="20"/>
    <m/>
    <s v="Arbustal"/>
    <s v="Hamilton Bermudez"/>
    <m/>
    <s v="Pristimantis myops"/>
    <n v="1"/>
    <m/>
    <m/>
    <m/>
    <s v="Ninguna"/>
    <m/>
    <m/>
  </r>
  <r>
    <d v="2018-11-24T00:00:00"/>
    <m/>
    <m/>
    <d v="1899-12-30T20:12:00"/>
    <n v="-76.680500000000009"/>
    <n v="3.4011666666666671"/>
    <n v="2904"/>
    <m/>
    <x v="3"/>
    <n v="20"/>
    <n v="15"/>
    <m/>
    <x v="3"/>
    <m/>
    <x v="0"/>
    <x v="16"/>
    <m/>
    <s v="Bosque ripario"/>
    <s v="Carolina Burbano"/>
    <m/>
    <s v="Pristimantis calcaratus"/>
    <n v="1"/>
    <m/>
    <m/>
    <m/>
    <s v="Ninguna"/>
    <m/>
    <m/>
  </r>
  <r>
    <d v="2018-11-24T00:00:00"/>
    <m/>
    <m/>
    <d v="1899-12-30T20:12:00"/>
    <n v="-76.680527777777783"/>
    <n v="3.4011666666666671"/>
    <n v="2901"/>
    <m/>
    <x v="3"/>
    <n v="20"/>
    <n v="30"/>
    <m/>
    <x v="3"/>
    <m/>
    <x v="0"/>
    <x v="16"/>
    <m/>
    <s v="Bosque ripario"/>
    <s v="Carolina Burbano"/>
    <m/>
    <s v="Pristimantis brevifrons"/>
    <n v="1"/>
    <m/>
    <m/>
    <m/>
    <s v="Ninguna"/>
    <m/>
    <m/>
  </r>
  <r>
    <d v="2018-11-24T00:00:00"/>
    <m/>
    <m/>
    <d v="1899-12-30T20:25:00"/>
    <n v="-76.680361111111111"/>
    <n v="3.4010833333333328"/>
    <n v="2899"/>
    <m/>
    <x v="3"/>
    <n v="20"/>
    <n v="30"/>
    <m/>
    <x v="3"/>
    <m/>
    <x v="0"/>
    <x v="16"/>
    <m/>
    <s v="Bosque ripario"/>
    <s v="Geovanny Marin"/>
    <m/>
    <s v="Hyloscirtus larinopygion"/>
    <n v="1"/>
    <m/>
    <m/>
    <m/>
    <s v="Ninguna"/>
    <m/>
    <m/>
  </r>
  <r>
    <d v="2018-11-24T00:00:00"/>
    <m/>
    <m/>
    <d v="1899-12-30T19:35:00"/>
    <n v="-76.679111111111112"/>
    <n v="3.402333333333333"/>
    <n v="2911"/>
    <m/>
    <x v="3"/>
    <n v="20"/>
    <n v="30"/>
    <m/>
    <x v="3"/>
    <m/>
    <x v="0"/>
    <x v="19"/>
    <m/>
    <s v="Bosque ripario"/>
    <s v="Guillermo Guerrero"/>
    <m/>
    <s v="Centrolene buckleyi"/>
    <n v="1"/>
    <m/>
    <m/>
    <m/>
    <s v="Ninguna"/>
    <m/>
    <m/>
  </r>
  <r>
    <d v="2018-11-24T00:00:00"/>
    <m/>
    <m/>
    <d v="1899-12-30T21:31:00"/>
    <n v="-76.679583333333341"/>
    <n v="3.400694444444444"/>
    <n v="2880"/>
    <m/>
    <x v="3"/>
    <n v="20"/>
    <n v="20"/>
    <m/>
    <x v="3"/>
    <m/>
    <x v="1"/>
    <x v="16"/>
    <m/>
    <s v="Bosque ripario"/>
    <s v="Carolina Burbano"/>
    <m/>
    <s v="Pristimantis jubatus"/>
    <n v="1"/>
    <m/>
    <m/>
    <m/>
    <s v="Ninguna"/>
    <m/>
    <m/>
  </r>
  <r>
    <d v="2018-11-24T00:00:00"/>
    <m/>
    <m/>
    <d v="1899-12-30T20:48:00"/>
    <n v="-76.680027777777781"/>
    <n v="3.400722222222222"/>
    <n v="2890"/>
    <m/>
    <x v="3"/>
    <n v="20"/>
    <n v="10"/>
    <m/>
    <x v="3"/>
    <m/>
    <x v="1"/>
    <x v="16"/>
    <m/>
    <s v="Bosque ripario"/>
    <s v="Hamilton Bermudez"/>
    <m/>
    <s v="Pristimantis brevifrons"/>
    <n v="1"/>
    <m/>
    <m/>
    <m/>
    <s v="Ninguna"/>
    <m/>
    <m/>
  </r>
  <r>
    <d v="2018-11-24T00:00:00"/>
    <m/>
    <m/>
    <d v="1899-12-30T21:04:00"/>
    <n v="-76.680361111111111"/>
    <n v="3.4009444444444439"/>
    <n v="2888"/>
    <m/>
    <x v="3"/>
    <n v="15"/>
    <n v="30"/>
    <m/>
    <x v="3"/>
    <m/>
    <x v="0"/>
    <x v="16"/>
    <m/>
    <s v="Bosque ripario"/>
    <s v="Hamilton Bermudez"/>
    <m/>
    <s v="Pristimantis myops"/>
    <n v="1"/>
    <m/>
    <m/>
    <m/>
    <s v="Ninguna"/>
    <m/>
    <m/>
  </r>
  <r>
    <d v="2018-11-24T00:00:00"/>
    <m/>
    <m/>
    <d v="1899-12-30T22:12:00"/>
    <n v="-76.678777777777782"/>
    <n v="3.4008333333333329"/>
    <n v="2886"/>
    <m/>
    <x v="3"/>
    <n v="15"/>
    <n v="10"/>
    <m/>
    <x v="3"/>
    <m/>
    <x v="2"/>
    <x v="16"/>
    <m/>
    <s v="Bosque ripario"/>
    <s v="Carolina Burbano"/>
    <m/>
    <s v="Pristimantis thectopternus"/>
    <n v="1"/>
    <m/>
    <m/>
    <m/>
    <s v="Ninguna"/>
    <m/>
    <m/>
  </r>
  <r>
    <d v="2018-11-24T00:00:00"/>
    <m/>
    <m/>
    <d v="1899-12-30T22:02:00"/>
    <n v="-76.679055555555564"/>
    <n v="3.4007499999999999"/>
    <n v="2883"/>
    <m/>
    <x v="3"/>
    <n v="15"/>
    <n v="10"/>
    <m/>
    <x v="3"/>
    <m/>
    <x v="2"/>
    <x v="16"/>
    <m/>
    <s v="Bosque ripario"/>
    <s v="Hamilton Bermudez"/>
    <m/>
    <s v="Hyloscirtus larinopygion"/>
    <n v="1"/>
    <m/>
    <m/>
    <m/>
    <s v="Ninguna"/>
    <m/>
    <m/>
  </r>
  <r>
    <d v="2018-11-24T00:00:00"/>
    <m/>
    <m/>
    <d v="1899-12-30T22:20:00"/>
    <n v="-76.678638888888898"/>
    <n v="3.400694444444444"/>
    <n v="2886"/>
    <m/>
    <x v="3"/>
    <n v="15"/>
    <n v="10"/>
    <m/>
    <x v="3"/>
    <m/>
    <x v="2"/>
    <x v="16"/>
    <m/>
    <s v="Bosque ripario"/>
    <s v="Guillermo Guerrero"/>
    <m/>
    <s v="Pristimantis thectopternus"/>
    <n v="1"/>
    <m/>
    <m/>
    <m/>
    <s v="Ninguna"/>
    <m/>
    <m/>
  </r>
  <r>
    <d v="2018-12-04T00:00:00"/>
    <m/>
    <m/>
    <d v="1899-12-30T23:31:00"/>
    <n v="-76.882583333333329"/>
    <n v="3.5523055555555549"/>
    <n v="532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33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34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3:31:00"/>
    <n v="-76.882583333333329"/>
    <n v="3.5523055555555549"/>
    <n v="535"/>
    <m/>
    <x v="3"/>
    <n v="3"/>
    <n v="5"/>
    <m/>
    <x v="0"/>
    <m/>
    <x v="1"/>
    <x v="5"/>
    <m/>
    <s v="Bosque ripario"/>
    <s v="Hamilton Bermudez"/>
    <m/>
    <s v="Rhinella horribilis"/>
    <n v="1"/>
    <m/>
    <m/>
    <m/>
    <s v="Ninguna"/>
    <m/>
    <m/>
  </r>
  <r>
    <d v="2018-12-04T00:00:00"/>
    <m/>
    <m/>
    <d v="1899-12-30T22:47:00"/>
    <n v="-76.882611111111103"/>
    <n v="3.5524444444444438"/>
    <n v="516"/>
    <m/>
    <x v="3"/>
    <n v="20"/>
    <n v="10"/>
    <m/>
    <x v="0"/>
    <m/>
    <x v="3"/>
    <x v="5"/>
    <m/>
    <s v="Bosque ripario"/>
    <s v="Hamilton Bermudez"/>
    <m/>
    <s v="Agalychnis spurrelli"/>
    <n v="1"/>
    <m/>
    <m/>
    <m/>
    <s v="Ninguna"/>
    <m/>
    <m/>
  </r>
  <r>
    <d v="2018-12-04T00:00:00"/>
    <m/>
    <m/>
    <d v="1899-12-30T22:47:00"/>
    <n v="-76.882611111111103"/>
    <n v="3.5524444444444438"/>
    <n v="516"/>
    <m/>
    <x v="3"/>
    <n v="20"/>
    <n v="10"/>
    <m/>
    <x v="0"/>
    <m/>
    <x v="3"/>
    <x v="5"/>
    <m/>
    <s v="Bosque ripario"/>
    <s v="Hamilton Bermudez"/>
    <m/>
    <s v="Agalychnis spurrelli"/>
    <n v="1"/>
    <m/>
    <m/>
    <m/>
    <s v="Ninguna"/>
    <m/>
    <m/>
  </r>
  <r>
    <d v="2018-12-04T00:00:00"/>
    <m/>
    <m/>
    <d v="1899-12-30T22:47:00"/>
    <n v="-76.882611111111103"/>
    <n v="3.5524444444444438"/>
    <n v="516"/>
    <m/>
    <x v="3"/>
    <n v="20"/>
    <n v="10"/>
    <m/>
    <x v="0"/>
    <m/>
    <x v="3"/>
    <x v="5"/>
    <m/>
    <s v="Bosque ripario"/>
    <s v="Guillermo Guerrero"/>
    <m/>
    <s v="Agalychnis spurrelli"/>
    <n v="1"/>
    <m/>
    <m/>
    <m/>
    <s v="Ninguna"/>
    <m/>
    <m/>
  </r>
  <r>
    <d v="2018-12-04T00:00:00"/>
    <m/>
    <m/>
    <d v="1899-12-30T22:47:00"/>
    <n v="-76.882611111111103"/>
    <n v="3.5524444444444438"/>
    <n v="516"/>
    <m/>
    <x v="3"/>
    <n v="20"/>
    <n v="10"/>
    <m/>
    <x v="0"/>
    <m/>
    <x v="3"/>
    <x v="5"/>
    <m/>
    <s v="Bosque ripario"/>
    <s v="Guillermo Guerrero"/>
    <m/>
    <s v="Boana boans"/>
    <n v="1"/>
    <m/>
    <m/>
    <m/>
    <s v="Ninguna"/>
    <m/>
    <m/>
  </r>
  <r>
    <d v="2018-12-04T00:00:00"/>
    <m/>
    <m/>
    <d v="1899-12-30T22:09:00"/>
    <n v="-76.881583333333325"/>
    <n v="3.5526944444444442"/>
    <n v="511"/>
    <m/>
    <x v="3"/>
    <n v="6"/>
    <n v="10"/>
    <m/>
    <x v="0"/>
    <m/>
    <x v="0"/>
    <x v="5"/>
    <m/>
    <s v="Bosque ripario"/>
    <s v="Carolina Burbano"/>
    <m/>
    <s v="Hyalinobatrachium aureoguttatum"/>
    <n v="1"/>
    <m/>
    <m/>
    <m/>
    <s v="Ninguna"/>
    <m/>
    <m/>
  </r>
  <r>
    <d v="2018-12-04T00:00:00"/>
    <m/>
    <m/>
    <d v="1899-12-30T22:22:00"/>
    <n v="-76.881999999999991"/>
    <n v="3.5524444444444438"/>
    <n v="515"/>
    <m/>
    <x v="3"/>
    <n v="10"/>
    <n v="5"/>
    <m/>
    <x v="0"/>
    <m/>
    <x v="1"/>
    <x v="5"/>
    <m/>
    <s v="Bosque ripario"/>
    <s v="Carolina Burbano"/>
    <m/>
    <s v="Hyalinobatrachium aureoguttatum"/>
    <n v="1"/>
    <m/>
    <m/>
    <m/>
    <s v="Ninguna"/>
    <m/>
    <m/>
  </r>
  <r>
    <d v="2018-12-04T00:00:00"/>
    <m/>
    <m/>
    <d v="1899-12-30T22:47:00"/>
    <n v="-76.882611111111103"/>
    <n v="3.5524444444444438"/>
    <n v="516"/>
    <m/>
    <x v="3"/>
    <n v="20"/>
    <n v="10"/>
    <m/>
    <x v="0"/>
    <m/>
    <x v="3"/>
    <x v="5"/>
    <m/>
    <s v="Bosque ripario"/>
    <s v="Carolina Burbano"/>
    <m/>
    <s v="Smilisca phaeota"/>
    <n v="1"/>
    <m/>
    <m/>
    <m/>
    <s v="Ninguna"/>
    <m/>
    <m/>
  </r>
  <r>
    <d v="2018-12-04T00:00:00"/>
    <m/>
    <m/>
    <d v="1899-12-30T21:40:00"/>
    <n v="-76.880694444444444"/>
    <n v="3.5526666666666671"/>
    <n v="503"/>
    <m/>
    <x v="3"/>
    <m/>
    <m/>
    <m/>
    <x v="0"/>
    <m/>
    <x v="0"/>
    <x v="5"/>
    <m/>
    <s v="Bosque ripario"/>
    <s v="Carolina Burbano"/>
    <m/>
    <s v="Ninguna"/>
    <n v="0"/>
    <m/>
    <m/>
    <m/>
    <s v="Ninguna"/>
    <m/>
    <m/>
  </r>
  <r>
    <d v="2018-12-04T00:00:00"/>
    <m/>
    <m/>
    <d v="1899-12-30T21:51:00"/>
    <n v="-76.880861111111102"/>
    <n v="3.5526666666666671"/>
    <n v="503"/>
    <m/>
    <x v="3"/>
    <n v="2"/>
    <n v="7"/>
    <m/>
    <x v="0"/>
    <m/>
    <x v="0"/>
    <x v="5"/>
    <m/>
    <s v="Bosque ripario"/>
    <s v="Carolina Burbano"/>
    <m/>
    <s v="Hyalinobatrachium aureoguttatum"/>
    <n v="1"/>
    <m/>
    <m/>
    <m/>
    <s v="Ninguna"/>
    <m/>
    <m/>
  </r>
  <r>
    <d v="2018-04-26T00:00:00"/>
    <m/>
    <m/>
    <d v="1899-12-30T20:15:00"/>
    <n v="-76.88047222222221"/>
    <n v="3.5526944444444442"/>
    <n v="586"/>
    <m/>
    <x v="3"/>
    <m/>
    <n v="5"/>
    <m/>
    <x v="0"/>
    <m/>
    <x v="0"/>
    <x v="5"/>
    <m/>
    <m/>
    <s v="Alvaro Fierro"/>
    <m/>
    <s v="Rhaebo haematiticus"/>
    <n v="1"/>
    <m/>
    <m/>
    <m/>
    <s v="Ninguna"/>
    <m/>
    <m/>
  </r>
  <r>
    <d v="2018-04-26T00:00:00"/>
    <m/>
    <m/>
    <d v="1899-12-30T22:33:00"/>
    <n v="-76.890277777777783"/>
    <n v="3.5511111111111111"/>
    <n v="680"/>
    <m/>
    <x v="3"/>
    <m/>
    <m/>
    <m/>
    <x v="0"/>
    <m/>
    <x v="0"/>
    <x v="4"/>
    <m/>
    <m/>
    <s v="Hamilton Bermudez"/>
    <m/>
    <s v="Rhaebo haematiticus"/>
    <n v="1"/>
    <m/>
    <m/>
    <m/>
    <s v="Ninguna"/>
    <m/>
    <m/>
  </r>
  <r>
    <d v="2018-04-27T00:00:00"/>
    <m/>
    <m/>
    <d v="1899-12-30T08:13:00"/>
    <n v="-76.880444444444436"/>
    <n v="3.576888888888889"/>
    <n v="662"/>
    <m/>
    <x v="3"/>
    <n v="10"/>
    <n v="90"/>
    <m/>
    <x v="0"/>
    <m/>
    <x v="0"/>
    <x v="2"/>
    <m/>
    <s v="Bosque secundario"/>
    <s v="Roger Franco"/>
    <m/>
    <s v="Oophaga lehmanni"/>
    <n v="1"/>
    <m/>
    <m/>
    <m/>
    <s v="Ninguna"/>
    <m/>
    <m/>
  </r>
  <r>
    <d v="2018-04-27T00:00:00"/>
    <m/>
    <m/>
    <d v="1899-12-30T08:52:00"/>
    <n v="-76.880416666666662"/>
    <n v="3.5791388888888891"/>
    <n v="741"/>
    <m/>
    <x v="3"/>
    <n v="8"/>
    <n v="90"/>
    <m/>
    <x v="0"/>
    <m/>
    <x v="3"/>
    <x v="2"/>
    <m/>
    <s v="Bosque secundario"/>
    <s v="Roger Franco"/>
    <m/>
    <s v="Oophaga lehmanni"/>
    <n v="1"/>
    <m/>
    <m/>
    <m/>
    <s v="Ninguna"/>
    <m/>
    <m/>
  </r>
  <r>
    <d v="2018-04-27T00:00:00"/>
    <m/>
    <m/>
    <d v="1899-12-30T08:22:00"/>
    <n v="-76.880416666666662"/>
    <n v="3.5791388888888891"/>
    <n v="741"/>
    <m/>
    <x v="3"/>
    <m/>
    <m/>
    <m/>
    <x v="0"/>
    <m/>
    <x v="3"/>
    <x v="2"/>
    <m/>
    <s v="Bosque secundario"/>
    <s v="Alvaro Fierro"/>
    <m/>
    <s v="Oophaga lehmanni"/>
    <n v="1"/>
    <s v="Auditivo"/>
    <m/>
    <m/>
    <s v="Ninguna"/>
    <m/>
    <m/>
  </r>
  <r>
    <d v="2018-04-27T00:00:00"/>
    <m/>
    <m/>
    <d v="1899-12-30T08:22:00"/>
    <n v="-76.880416666666662"/>
    <n v="3.5791388888888891"/>
    <n v="741"/>
    <m/>
    <x v="3"/>
    <m/>
    <m/>
    <m/>
    <x v="0"/>
    <m/>
    <x v="3"/>
    <x v="2"/>
    <m/>
    <s v="Bosque secundario"/>
    <s v="Roger Franco"/>
    <m/>
    <s v="Oophaga lehmanni"/>
    <n v="1"/>
    <s v="Auditivo"/>
    <m/>
    <m/>
    <s v="Ninguna"/>
    <m/>
    <m/>
  </r>
  <r>
    <d v="2018-04-27T00:00:00"/>
    <m/>
    <m/>
    <d v="1899-12-30T09:10:00"/>
    <n v="-76.880416666666662"/>
    <n v="3.5791388888888891"/>
    <n v="741"/>
    <m/>
    <x v="3"/>
    <m/>
    <m/>
    <m/>
    <x v="0"/>
    <m/>
    <x v="3"/>
    <x v="2"/>
    <m/>
    <s v="Bosque secundario"/>
    <s v="Roger Franco"/>
    <m/>
    <s v="Oophaga lehmanni"/>
    <n v="1"/>
    <s v="Auditivo"/>
    <m/>
    <m/>
    <s v="Ninguna"/>
    <m/>
    <m/>
  </r>
  <r>
    <d v="2018-04-27T00:00:00"/>
    <m/>
    <m/>
    <d v="1899-12-30T09:12:00"/>
    <n v="-76.880416666666662"/>
    <n v="3.5791388888888891"/>
    <n v="741"/>
    <m/>
    <x v="3"/>
    <m/>
    <m/>
    <m/>
    <x v="0"/>
    <m/>
    <x v="3"/>
    <x v="2"/>
    <m/>
    <s v="Bosque secundario"/>
    <s v="Oscar Martinez"/>
    <m/>
    <s v="Oophaga lehmanni"/>
    <n v="1"/>
    <s v="Auditivo"/>
    <m/>
    <m/>
    <s v="Ninguna"/>
    <m/>
    <m/>
  </r>
  <r>
    <d v="2018-04-27T00:00:00"/>
    <m/>
    <m/>
    <d v="1899-12-30T09:50:00"/>
    <n v="-76.88047222222221"/>
    <n v="3.5787499999999999"/>
    <n v="712"/>
    <m/>
    <x v="3"/>
    <n v="7"/>
    <n v="70"/>
    <m/>
    <x v="0"/>
    <m/>
    <x v="2"/>
    <x v="2"/>
    <m/>
    <s v="Bosque secundario"/>
    <s v="Roger Franco"/>
    <m/>
    <s v="Oophaga lehmanni"/>
    <n v="1"/>
    <m/>
    <m/>
    <m/>
    <s v="Ninguna"/>
    <m/>
    <m/>
  </r>
  <r>
    <d v="2018-04-27T00:00:00"/>
    <m/>
    <m/>
    <d v="1899-12-30T09:52:00"/>
    <n v="-76.88047222222221"/>
    <n v="3.5787499999999999"/>
    <n v="712"/>
    <m/>
    <x v="3"/>
    <n v="7"/>
    <n v="70"/>
    <m/>
    <x v="0"/>
    <m/>
    <x v="2"/>
    <x v="2"/>
    <m/>
    <s v="Bosque secundario"/>
    <s v="Hamilton Bermudez"/>
    <m/>
    <s v="Oophaga lehmanni"/>
    <n v="1"/>
    <m/>
    <m/>
    <m/>
    <s v="Ninguna"/>
    <m/>
    <m/>
  </r>
  <r>
    <d v="2018-04-27T00:00:00"/>
    <m/>
    <m/>
    <m/>
    <m/>
    <m/>
    <m/>
    <m/>
    <x v="3"/>
    <m/>
    <m/>
    <m/>
    <x v="0"/>
    <m/>
    <x v="1"/>
    <x v="2"/>
    <m/>
    <m/>
    <m/>
    <m/>
    <s v="Ninguna"/>
    <m/>
    <m/>
    <m/>
    <m/>
    <m/>
    <m/>
    <m/>
  </r>
  <r>
    <d v="2018-04-28T00:00:00"/>
    <m/>
    <m/>
    <d v="1899-12-30T20:25:00"/>
    <n v="-76.891833333333338"/>
    <n v="3.594586111111111"/>
    <n v="624"/>
    <m/>
    <x v="3"/>
    <n v="12"/>
    <n v="10"/>
    <m/>
    <x v="0"/>
    <m/>
    <x v="0"/>
    <x v="0"/>
    <m/>
    <s v="Bosque secundario"/>
    <s v="Alvaro Fierro"/>
    <m/>
    <s v="Hyloscirtus palmeri"/>
    <n v="1"/>
    <m/>
    <m/>
    <m/>
    <s v="Ninguna"/>
    <m/>
    <m/>
  </r>
  <r>
    <d v="2018-04-28T00:00:00"/>
    <m/>
    <m/>
    <d v="1899-12-30T20:34:00"/>
    <n v="-76.891430555555559"/>
    <n v="3.594213888888889"/>
    <n v="523"/>
    <m/>
    <x v="3"/>
    <n v="3"/>
    <n v="10"/>
    <m/>
    <x v="0"/>
    <m/>
    <x v="0"/>
    <x v="0"/>
    <m/>
    <s v="Bosque secundario"/>
    <s v="Alvaro Fierro"/>
    <m/>
    <s v="Craugastor raniformis"/>
    <n v="1"/>
    <m/>
    <m/>
    <m/>
    <s v="Ninguna"/>
    <m/>
    <m/>
  </r>
  <r>
    <d v="2018-04-28T00:00:00"/>
    <m/>
    <m/>
    <d v="1899-12-30T20:43:00"/>
    <n v="-76.891852777777785"/>
    <n v="3.594558333333334"/>
    <n v="596"/>
    <m/>
    <x v="3"/>
    <n v="15"/>
    <n v="5"/>
    <m/>
    <x v="0"/>
    <m/>
    <x v="0"/>
    <x v="0"/>
    <m/>
    <s v="Bosque secundario"/>
    <s v="Alvaro Fierro"/>
    <m/>
    <s v="Craugastor raniformis"/>
    <n v="1"/>
    <m/>
    <m/>
    <m/>
    <s v="Ninguna"/>
    <m/>
    <m/>
  </r>
  <r>
    <d v="2018-04-28T00:00:00"/>
    <m/>
    <m/>
    <d v="1899-12-30T20:50:00"/>
    <n v="-76.892086111111112"/>
    <n v="3.5949"/>
    <n v="585"/>
    <m/>
    <x v="3"/>
    <n v="30"/>
    <n v="90"/>
    <m/>
    <x v="0"/>
    <m/>
    <x v="0"/>
    <x v="0"/>
    <m/>
    <s v="Bosque secundario"/>
    <s v="Hamilton Bermudez"/>
    <m/>
    <s v="Espadarana prosoblepon"/>
    <n v="1"/>
    <m/>
    <m/>
    <m/>
    <s v="Ninguna"/>
    <m/>
    <m/>
  </r>
  <r>
    <d v="2018-04-28T00:00:00"/>
    <m/>
    <m/>
    <d v="1899-12-30T21:23:00"/>
    <n v="-76.89262777777779"/>
    <n v="3.5956250000000001"/>
    <n v="576"/>
    <m/>
    <x v="3"/>
    <n v="15"/>
    <n v="5"/>
    <m/>
    <x v="0"/>
    <m/>
    <x v="1"/>
    <x v="0"/>
    <m/>
    <s v="Bosque secundario"/>
    <s v="Alvaro Fierro"/>
    <m/>
    <s v="Craugastor raniformis"/>
    <n v="1"/>
    <m/>
    <m/>
    <m/>
    <s v="Ninguna"/>
    <m/>
    <m/>
  </r>
  <r>
    <d v="2018-12-05T00:00:00"/>
    <m/>
    <m/>
    <d v="1899-12-30T07:51:00"/>
    <n v="-76.880499999999998"/>
    <n v="3.5787499999999999"/>
    <n v="620"/>
    <m/>
    <x v="3"/>
    <n v="20"/>
    <n v="40"/>
    <m/>
    <x v="0"/>
    <m/>
    <x v="2"/>
    <x v="2"/>
    <m/>
    <s v="Bosque secundario"/>
    <s v="Guillermo Guerrero"/>
    <m/>
    <s v="Oophaga lehmanni"/>
    <n v="1"/>
    <m/>
    <m/>
    <m/>
    <s v="Ninguna"/>
    <m/>
    <m/>
  </r>
  <r>
    <d v="2018-12-05T00:00:00"/>
    <m/>
    <m/>
    <d v="1899-12-30T08:05:00"/>
    <n v="-76.880499999999998"/>
    <n v="3.578638888888888"/>
    <n v="620"/>
    <m/>
    <x v="3"/>
    <n v="2"/>
    <n v="50"/>
    <m/>
    <x v="0"/>
    <m/>
    <x v="2"/>
    <x v="2"/>
    <m/>
    <s v="Bosque secundario"/>
    <s v="Guillermo Guerrero"/>
    <m/>
    <s v="Oophaga lehmanni"/>
    <n v="1"/>
    <m/>
    <m/>
    <m/>
    <s v="Ninguna"/>
    <m/>
    <m/>
  </r>
  <r>
    <d v="2018-12-06T00:00:00"/>
    <m/>
    <m/>
    <d v="1899-12-30T08:45:00"/>
    <n v="-76.89200000000001"/>
    <n v="3.5956944444444452"/>
    <n v="508"/>
    <m/>
    <x v="3"/>
    <n v="15"/>
    <n v="30"/>
    <m/>
    <x v="0"/>
    <m/>
    <x v="1"/>
    <x v="0"/>
    <m/>
    <s v="Bosque secundario"/>
    <s v="Guillermo Guerrero"/>
    <m/>
    <s v="Oophaga lehmanni"/>
    <n v="1"/>
    <m/>
    <m/>
    <m/>
    <s v="Ninguna"/>
    <m/>
    <m/>
  </r>
  <r>
    <d v="2018-12-06T00:00:00"/>
    <m/>
    <m/>
    <d v="1899-12-30T08:45:00"/>
    <n v="-76.89200000000001"/>
    <n v="3.5956944444444452"/>
    <n v="508"/>
    <m/>
    <x v="3"/>
    <n v="15"/>
    <n v="30"/>
    <m/>
    <x v="0"/>
    <m/>
    <x v="1"/>
    <x v="0"/>
    <m/>
    <s v="Bosque secundario"/>
    <s v="Guillermo Guerrero"/>
    <m/>
    <s v="Oophaga lehmanni"/>
    <n v="1"/>
    <m/>
    <m/>
    <m/>
    <s v="Ninguna"/>
    <m/>
    <m/>
  </r>
  <r>
    <d v="2018-12-06T00:00:00"/>
    <m/>
    <m/>
    <d v="1899-12-30T09:12:00"/>
    <n v="-76.892194444444456"/>
    <n v="3.5955833333333329"/>
    <n v="501"/>
    <m/>
    <x v="3"/>
    <n v="30"/>
    <n v="80"/>
    <m/>
    <x v="0"/>
    <m/>
    <x v="1"/>
    <x v="0"/>
    <m/>
    <s v="Bosque secundario"/>
    <s v="Carolina Burbano"/>
    <m/>
    <s v="Oophaga lehmanni"/>
    <n v="1"/>
    <m/>
    <m/>
    <m/>
    <s v="Ninguna"/>
    <m/>
    <m/>
  </r>
  <r>
    <d v="2018-12-06T00:00:00"/>
    <m/>
    <m/>
    <m/>
    <n v="-76.892833333333343"/>
    <n v="3.5960000000000001"/>
    <n v="512"/>
    <m/>
    <x v="3"/>
    <m/>
    <m/>
    <m/>
    <x v="0"/>
    <m/>
    <x v="1"/>
    <x v="0"/>
    <m/>
    <s v="Bosque secundario"/>
    <m/>
    <m/>
    <s v="Ninguna"/>
    <n v="0"/>
    <m/>
    <m/>
    <m/>
    <s v="Ninguna"/>
    <m/>
    <m/>
  </r>
  <r>
    <d v="2018-04-12T00:00:00"/>
    <m/>
    <m/>
    <d v="1899-12-30T22:39:00"/>
    <n v="-76.656272222222228"/>
    <n v="3.3548583333333331"/>
    <n v="2593"/>
    <m/>
    <x v="3"/>
    <n v="20"/>
    <n v="60"/>
    <m/>
    <x v="2"/>
    <m/>
    <x v="1"/>
    <x v="14"/>
    <m/>
    <s v="Bosque secundario"/>
    <s v="Roger Franco"/>
    <m/>
    <s v="Pristimantis acatallelus"/>
    <n v="1"/>
    <m/>
    <m/>
    <m/>
    <s v="Ninguna"/>
    <m/>
    <m/>
  </r>
  <r>
    <d v="2018-04-12T00:00:00"/>
    <m/>
    <m/>
    <d v="1899-12-30T22:45:00"/>
    <n v="-76.656130555555563"/>
    <n v="3.3548249999999999"/>
    <n v="2595"/>
    <m/>
    <x v="3"/>
    <n v="20"/>
    <n v="45"/>
    <m/>
    <x v="2"/>
    <m/>
    <x v="1"/>
    <x v="14"/>
    <m/>
    <s v="Bosque secundario"/>
    <s v="Hamilton Bermudez"/>
    <m/>
    <s v="Pristimantis acatallelus"/>
    <n v="1"/>
    <m/>
    <m/>
    <m/>
    <s v="Ninguna"/>
    <m/>
    <m/>
  </r>
  <r>
    <d v="2018-04-12T00:00:00"/>
    <m/>
    <m/>
    <d v="1899-12-30T22:45:00"/>
    <n v="-76.656130555555563"/>
    <n v="3.3548249999999999"/>
    <n v="2595"/>
    <m/>
    <x v="3"/>
    <n v="20"/>
    <n v="45"/>
    <m/>
    <x v="2"/>
    <m/>
    <x v="1"/>
    <x v="14"/>
    <m/>
    <s v="Bosque secundario"/>
    <s v="Hamilton Bermudez"/>
    <m/>
    <s v="Pristimantis acatallelus"/>
    <n v="1"/>
    <m/>
    <m/>
    <m/>
    <s v="Ninguna"/>
    <m/>
    <m/>
  </r>
  <r>
    <d v="2018-04-12T00:00:00"/>
    <m/>
    <m/>
    <d v="1899-12-30T00:15:00"/>
    <n v="-76.652033333333335"/>
    <n v="3.3534944444444439"/>
    <n v="2554"/>
    <m/>
    <x v="3"/>
    <n v="15"/>
    <n v="50"/>
    <m/>
    <x v="2"/>
    <m/>
    <x v="3"/>
    <x v="13"/>
    <m/>
    <s v="Bosque secundario"/>
    <s v="Hamilton Bermudez"/>
    <m/>
    <s v="Pristimantis palmeri"/>
    <n v="1"/>
    <m/>
    <m/>
    <m/>
    <s v="Ninguna"/>
    <m/>
    <m/>
  </r>
  <r>
    <d v="2018-04-12T00:00:00"/>
    <m/>
    <m/>
    <d v="1899-12-30T00:18:00"/>
    <n v="-76.652033333333335"/>
    <n v="3.3534944444444439"/>
    <n v="2554"/>
    <m/>
    <x v="3"/>
    <n v="20"/>
    <n v="60"/>
    <m/>
    <x v="2"/>
    <m/>
    <x v="3"/>
    <x v="13"/>
    <m/>
    <s v="Bosque secundario"/>
    <s v="Gustavo Rodriguez"/>
    <m/>
    <s v="Pristimantis palmeri"/>
    <n v="1"/>
    <m/>
    <m/>
    <m/>
    <s v="Ninguna"/>
    <m/>
    <m/>
  </r>
  <r>
    <d v="2018-04-12T00:00:00"/>
    <m/>
    <m/>
    <d v="1899-12-30T00:20:00"/>
    <n v="-76.651983333333334"/>
    <n v="3.3534388888888889"/>
    <n v="2548"/>
    <m/>
    <x v="3"/>
    <n v="20"/>
    <n v="90"/>
    <m/>
    <x v="2"/>
    <m/>
    <x v="3"/>
    <x v="13"/>
    <m/>
    <s v="Bosque secundario"/>
    <s v="Roger Franco"/>
    <m/>
    <s v="Pristimantis palmeri"/>
    <n v="1"/>
    <m/>
    <m/>
    <m/>
    <s v="Ninguna"/>
    <m/>
    <m/>
  </r>
  <r>
    <d v="2018-04-12T00:00:00"/>
    <m/>
    <m/>
    <d v="1899-12-30T00:26:00"/>
    <n v="-76.651825000000002"/>
    <n v="3.3532972222222219"/>
    <n v="2545"/>
    <m/>
    <x v="3"/>
    <n v="15"/>
    <n v="30"/>
    <m/>
    <x v="2"/>
    <m/>
    <x v="3"/>
    <x v="13"/>
    <m/>
    <s v="Bosque secundario"/>
    <s v="Hamilton Bermudez"/>
    <m/>
    <s v="Pristimantis palmeri"/>
    <n v="1"/>
    <m/>
    <m/>
    <m/>
    <s v="Ninguna"/>
    <m/>
    <m/>
  </r>
  <r>
    <d v="2018-12-06T00:00:00"/>
    <m/>
    <m/>
    <d v="1899-12-30T09:53:00"/>
    <n v="-76.892472222222224"/>
    <n v="3.5973055555555562"/>
    <n v="583"/>
    <m/>
    <x v="3"/>
    <n v="30"/>
    <n v="45"/>
    <m/>
    <x v="0"/>
    <m/>
    <x v="2"/>
    <x v="0"/>
    <m/>
    <s v="Bosque secundario"/>
    <s v="Hamilton Bermudez"/>
    <m/>
    <s v="Oophaga lehmanni"/>
    <n v="1"/>
    <m/>
    <m/>
    <m/>
    <s v="Ninguna"/>
    <m/>
    <m/>
  </r>
  <r>
    <d v="2019-10-16T00:00:00"/>
    <m/>
    <m/>
    <d v="1899-12-30T21:44:27"/>
    <n v="-76.726098333333297"/>
    <n v="3.4994049999999999"/>
    <n v="1805"/>
    <n v="2.1"/>
    <x v="4"/>
    <n v="20"/>
    <n v="3"/>
    <m/>
    <x v="1"/>
    <m/>
    <x v="1"/>
    <x v="9"/>
    <m/>
    <s v="Bosque ripario"/>
    <s v="Guillermo Guerrero"/>
    <m/>
    <s v="Pristimantis molybrignus"/>
    <n v="1"/>
    <m/>
    <m/>
    <m/>
    <s v="Ninguna"/>
    <m/>
    <m/>
  </r>
  <r>
    <d v="2019-10-16T00:00:00"/>
    <m/>
    <m/>
    <d v="1899-12-30T23:10:30"/>
    <n v="-76.726883333333305"/>
    <n v="3.5003649999999999"/>
    <n v="1808"/>
    <n v="0"/>
    <x v="4"/>
    <n v="5"/>
    <n v="5"/>
    <m/>
    <x v="1"/>
    <m/>
    <x v="0"/>
    <x v="9"/>
    <m/>
    <s v="Potrero"/>
    <s v="Gustavo Gonzales"/>
    <m/>
    <s v="Centrolene savagei"/>
    <n v="1"/>
    <s v="registro auditivo, 6 aproximadamente cantando"/>
    <m/>
    <m/>
    <s v="Ganadería"/>
    <m/>
    <m/>
  </r>
  <r>
    <d v="2019-10-16T00:00:00"/>
    <m/>
    <m/>
    <d v="1899-12-30T21:23:27"/>
    <n v="-76.726044999999999"/>
    <n v="3.499285"/>
    <n v="1790"/>
    <n v="2"/>
    <x v="4"/>
    <n v="20"/>
    <n v="10"/>
    <m/>
    <x v="1"/>
    <m/>
    <x v="1"/>
    <x v="9"/>
    <m/>
    <s v="Bosque primario"/>
    <m/>
    <m/>
    <s v="Ninguna"/>
    <n v="0"/>
    <m/>
    <m/>
    <m/>
    <s v="Ninguna"/>
    <m/>
    <m/>
  </r>
  <r>
    <d v="2019-10-16T00:00:00"/>
    <m/>
    <m/>
    <d v="1899-12-30T21:33:57"/>
    <n v="-76.726074999999994"/>
    <n v="3.4993616666666698"/>
    <n v="1790"/>
    <n v="2"/>
    <x v="4"/>
    <n v="25"/>
    <n v="3"/>
    <m/>
    <x v="1"/>
    <m/>
    <x v="1"/>
    <x v="9"/>
    <m/>
    <s v="Bosque ripario"/>
    <s v="Gustavo Gonzales"/>
    <m/>
    <s v="Espadarana prosoblepon"/>
    <n v="1"/>
    <s v="macho"/>
    <m/>
    <m/>
    <s v="Ninguna"/>
    <m/>
    <m/>
  </r>
  <r>
    <d v="2019-10-16T00:00:00"/>
    <m/>
    <m/>
    <d v="1899-12-30T22:22:40"/>
    <n v="-76.726285000000004"/>
    <n v="3.49976333333333"/>
    <n v="1806"/>
    <n v="2.5"/>
    <x v="4"/>
    <n v="18"/>
    <n v="7"/>
    <m/>
    <x v="1"/>
    <m/>
    <x v="1"/>
    <x v="9"/>
    <m/>
    <s v="Bosque ripario"/>
    <s v="Gustavo Gonzales"/>
    <m/>
    <s v="Pristimantis palmeri"/>
    <n v="1"/>
    <m/>
    <m/>
    <m/>
    <s v="Ninguna"/>
    <m/>
    <m/>
  </r>
  <r>
    <d v="2019-10-16T00:00:00"/>
    <m/>
    <m/>
    <d v="1899-12-30T22:33:31"/>
    <n v="-76.726240000000004"/>
    <n v="3.4999699999999998"/>
    <n v="1803"/>
    <n v="0"/>
    <x v="4"/>
    <n v="10"/>
    <n v="5"/>
    <m/>
    <x v="1"/>
    <m/>
    <x v="0"/>
    <x v="9"/>
    <m/>
    <s v="Bosque ripario"/>
    <s v="Guillermo"/>
    <m/>
    <s v="Pristimantis palmeri"/>
    <n v="1"/>
    <m/>
    <m/>
    <m/>
    <s v="Ninguna"/>
    <m/>
    <m/>
  </r>
  <r>
    <d v="2019-10-16T00:00:00"/>
    <m/>
    <m/>
    <d v="1899-12-30T22:33:31"/>
    <n v="-76.726240000000004"/>
    <n v="3.4999699999999998"/>
    <n v="1803"/>
    <n v="0"/>
    <x v="4"/>
    <n v="10"/>
    <n v="5"/>
    <m/>
    <x v="1"/>
    <m/>
    <x v="0"/>
    <x v="9"/>
    <m/>
    <s v="Bosque ripario"/>
    <s v="Álvaro Javier"/>
    <m/>
    <s v="Pristimantis molybrignus"/>
    <n v="1"/>
    <m/>
    <m/>
    <m/>
    <s v="Ninguna"/>
    <m/>
    <m/>
  </r>
  <r>
    <d v="2019-10-16T00:00:00"/>
    <m/>
    <m/>
    <d v="1899-12-30T23:12:40"/>
    <n v="-76.726903333333297"/>
    <n v="3.5003549999999999"/>
    <n v="1808"/>
    <n v="0"/>
    <x v="4"/>
    <n v="5"/>
    <n v="5"/>
    <m/>
    <x v="1"/>
    <m/>
    <x v="0"/>
    <x v="9"/>
    <m/>
    <s v="Potrero"/>
    <m/>
    <m/>
    <s v="Ninguna"/>
    <n v="0"/>
    <s v="punto final"/>
    <m/>
    <m/>
    <s v="Ninguna"/>
    <m/>
    <m/>
  </r>
  <r>
    <d v="2019-10-16T00:00:00"/>
    <m/>
    <m/>
    <d v="1899-12-30T22:42:44"/>
    <n v="-76.726150000000004"/>
    <n v="3.5001000000000002"/>
    <n v="1799"/>
    <n v="2"/>
    <x v="4"/>
    <n v="18"/>
    <n v="10"/>
    <m/>
    <x v="1"/>
    <m/>
    <x v="0"/>
    <x v="9"/>
    <m/>
    <s v="Bosque ripario"/>
    <m/>
    <m/>
    <s v="Ninguna"/>
    <n v="0"/>
    <s v="punto final"/>
    <m/>
    <s v="pastos"/>
    <s v="Otra"/>
    <m/>
    <m/>
  </r>
  <r>
    <d v="2019-10-16T00:00:00"/>
    <m/>
    <m/>
    <d v="1899-12-30T21:53:22"/>
    <n v="-76.726091666666704"/>
    <n v="3.4994566666666702"/>
    <n v="1805"/>
    <n v="2"/>
    <x v="4"/>
    <n v="20"/>
    <n v="5"/>
    <m/>
    <x v="1"/>
    <m/>
    <x v="1"/>
    <x v="9"/>
    <m/>
    <s v="Bosque ripario"/>
    <s v="Gustavo Gonzales"/>
    <m/>
    <s v="Centrolene savagei"/>
    <n v="1"/>
    <m/>
    <m/>
    <m/>
    <s v="Ninguna"/>
    <m/>
    <m/>
  </r>
  <r>
    <d v="2019-10-16T00:00:00"/>
    <m/>
    <m/>
    <d v="1899-12-30T22:13:37"/>
    <n v="-76.726276666666706"/>
    <n v="3.49969333333333"/>
    <n v="1811"/>
    <n v="3"/>
    <x v="4"/>
    <n v="18"/>
    <n v="5"/>
    <m/>
    <x v="1"/>
    <m/>
    <x v="1"/>
    <x v="9"/>
    <m/>
    <s v="Bosque ripario"/>
    <s v="Gustavo Gonzales"/>
    <m/>
    <s v="Ninguna"/>
    <n v="0"/>
    <m/>
    <m/>
    <s v="Palizada en quebrada"/>
    <s v="Otra"/>
    <m/>
    <m/>
  </r>
  <r>
    <d v="2019-10-16T00:00:00"/>
    <m/>
    <m/>
    <d v="1899-12-30T22:53:45"/>
    <n v="-76.726399999999998"/>
    <n v="3.5000550000000001"/>
    <n v="1800"/>
    <n v="0"/>
    <x v="4"/>
    <n v="7"/>
    <n v="3"/>
    <m/>
    <x v="1"/>
    <m/>
    <x v="0"/>
    <x v="9"/>
    <m/>
    <s v="Bosque secundario"/>
    <s v="Gustavo Gonzales"/>
    <m/>
    <s v="Ninguna"/>
    <n v="0"/>
    <m/>
    <m/>
    <s v="pisoteo y estiércol de ganado"/>
    <s v="Ganadería"/>
    <m/>
    <m/>
  </r>
  <r>
    <d v="2019-10-16T00:00:00"/>
    <m/>
    <m/>
    <d v="1899-12-30T20:09:13"/>
    <n v="-76.725263333333302"/>
    <n v="3.4995750000000001"/>
    <n v="1809"/>
    <n v="0"/>
    <x v="4"/>
    <n v="6"/>
    <n v="10"/>
    <m/>
    <x v="1"/>
    <m/>
    <x v="2"/>
    <x v="9"/>
    <m/>
    <s v="Bosque secundario"/>
    <m/>
    <m/>
    <s v="Ninguna"/>
    <n v="0"/>
    <m/>
    <m/>
    <s v="erosión por pisoteo en senderos"/>
    <s v="Erosión"/>
    <m/>
    <m/>
  </r>
  <r>
    <d v="2019-10-16T00:00:00"/>
    <m/>
    <m/>
    <d v="1899-12-30T20:49:26"/>
    <n v="-76.725828333333297"/>
    <n v="3.4995500000000002"/>
    <n v="1798"/>
    <n v="0"/>
    <x v="4"/>
    <n v="12"/>
    <n v="5"/>
    <m/>
    <x v="1"/>
    <m/>
    <x v="2"/>
    <x v="9"/>
    <m/>
    <s v="Bosque secundario"/>
    <s v="Gustavo Gonzales"/>
    <m/>
    <s v="Pristimantis phalarus"/>
    <n v="1"/>
    <m/>
    <m/>
    <m/>
    <s v="Ninguna"/>
    <m/>
    <m/>
  </r>
  <r>
    <d v="2019-10-16T00:00:00"/>
    <m/>
    <m/>
    <d v="1899-12-30T20:49:26"/>
    <n v="-76.725828333333297"/>
    <n v="3.4995500000000002"/>
    <n v="1708"/>
    <n v="0"/>
    <x v="4"/>
    <n v="12"/>
    <n v="5"/>
    <m/>
    <x v="1"/>
    <m/>
    <x v="2"/>
    <x v="9"/>
    <m/>
    <s v="Bosque secundario"/>
    <s v="Gustavo Gonzales"/>
    <m/>
    <s v="Pristimantis molybrignus"/>
    <n v="1"/>
    <m/>
    <m/>
    <m/>
    <s v="Ninguna"/>
    <m/>
    <m/>
  </r>
  <r>
    <d v="2019-10-16T00:00:00"/>
    <m/>
    <m/>
    <d v="1899-12-30T20:49:26"/>
    <n v="-76.725828333333297"/>
    <n v="3.4995500000000002"/>
    <n v="1708"/>
    <n v="0"/>
    <x v="4"/>
    <n v="12"/>
    <n v="5"/>
    <m/>
    <x v="1"/>
    <m/>
    <x v="2"/>
    <x v="9"/>
    <m/>
    <s v="Bosque secundario"/>
    <s v="Álvaro Fierro"/>
    <m/>
    <s v="Pristimantis palmeri"/>
    <n v="1"/>
    <m/>
    <m/>
    <m/>
    <s v="Ninguna"/>
    <m/>
    <m/>
  </r>
  <r>
    <d v="2019-10-16T00:00:00"/>
    <m/>
    <m/>
    <d v="1899-12-30T22:49:00"/>
    <n v="-76.726415000000003"/>
    <n v="3.5000433333333301"/>
    <n v="1800"/>
    <m/>
    <x v="4"/>
    <n v="18"/>
    <n v="6"/>
    <m/>
    <x v="1"/>
    <m/>
    <x v="0"/>
    <x v="9"/>
    <m/>
    <s v="Bosque secundario"/>
    <m/>
    <m/>
    <s v="Ninguna"/>
    <n v="0"/>
    <m/>
    <m/>
    <s v="Camino pisoteo"/>
    <s v="Otra"/>
    <m/>
    <m/>
  </r>
  <r>
    <d v="2019-10-17T00:00:00"/>
    <m/>
    <m/>
    <d v="1899-12-30T21:33:08"/>
    <n v="-76.718916666666701"/>
    <n v="3.4848699999999999"/>
    <n v="1943"/>
    <n v="1.5"/>
    <x v="4"/>
    <n v="18"/>
    <n v="15"/>
    <m/>
    <x v="1"/>
    <m/>
    <x v="1"/>
    <x v="7"/>
    <m/>
    <s v="Bosque secundario"/>
    <m/>
    <m/>
    <s v="Ninguna"/>
    <n v="0"/>
    <s v="punto final"/>
    <m/>
    <m/>
    <s v="Ninguna"/>
    <m/>
    <m/>
  </r>
  <r>
    <d v="2019-10-17T00:00:00"/>
    <m/>
    <m/>
    <d v="1899-12-30T20:04:06"/>
    <n v="-76.718339999999998"/>
    <n v="3.4851433333333302"/>
    <n v="1924"/>
    <n v="0"/>
    <x v="4"/>
    <n v="15"/>
    <n v="9"/>
    <m/>
    <x v="1"/>
    <m/>
    <x v="2"/>
    <x v="7"/>
    <m/>
    <s v="Bosque secundario"/>
    <m/>
    <m/>
    <s v="Ninguna"/>
    <n v="0"/>
    <m/>
    <m/>
    <m/>
    <s v="Ninguna"/>
    <m/>
    <m/>
  </r>
  <r>
    <d v="2019-10-17T00:00:00"/>
    <m/>
    <m/>
    <d v="1899-12-30T20:04:06"/>
    <n v="-76.718339999999998"/>
    <n v="3.4851433333333302"/>
    <n v="1924"/>
    <n v="0"/>
    <x v="4"/>
    <n v="15"/>
    <n v="9"/>
    <m/>
    <x v="1"/>
    <m/>
    <x v="2"/>
    <x v="7"/>
    <m/>
    <s v="Bosque secundario"/>
    <m/>
    <m/>
    <s v="Ninguna"/>
    <n v="0"/>
    <s v="punto final"/>
    <m/>
    <m/>
    <s v="Ninguna"/>
    <m/>
    <m/>
  </r>
  <r>
    <d v="2019-10-17T00:00:00"/>
    <m/>
    <m/>
    <d v="1899-12-30T19:57:43"/>
    <n v="-76.718209999999999"/>
    <n v="3.4851399999999999"/>
    <n v="1924"/>
    <n v="0"/>
    <x v="4"/>
    <n v="15"/>
    <n v="9"/>
    <m/>
    <x v="1"/>
    <m/>
    <x v="2"/>
    <x v="7"/>
    <m/>
    <s v="Bosque secundario"/>
    <m/>
    <m/>
    <s v="Pristimantis molybrignus"/>
    <n v="1"/>
    <m/>
    <m/>
    <m/>
    <s v="Ninguna"/>
    <m/>
    <m/>
  </r>
  <r>
    <d v="2019-10-17T00:00:00"/>
    <m/>
    <m/>
    <d v="1899-12-30T19:57:43"/>
    <n v="-76.718209999999999"/>
    <n v="3.4851399999999999"/>
    <n v="1924"/>
    <n v="0"/>
    <x v="4"/>
    <n v="18"/>
    <n v="9"/>
    <m/>
    <x v="1"/>
    <m/>
    <x v="2"/>
    <x v="7"/>
    <m/>
    <s v="Bosque secundario"/>
    <s v="Gustavo Gonzales"/>
    <m/>
    <s v="Pristimantis erythropleura"/>
    <n v="1"/>
    <m/>
    <m/>
    <m/>
    <s v="Ninguna"/>
    <m/>
    <m/>
  </r>
  <r>
    <d v="2019-10-17T00:00:00"/>
    <m/>
    <m/>
    <d v="1899-12-30T21:31:49"/>
    <n v="-76.718909999999994"/>
    <n v="3.48484666666667"/>
    <n v="1943"/>
    <n v="1.5"/>
    <x v="4"/>
    <n v="18"/>
    <n v="15"/>
    <m/>
    <x v="1"/>
    <m/>
    <x v="1"/>
    <x v="7"/>
    <m/>
    <s v="Bosque secundario"/>
    <s v="Gustavo Rodriguez"/>
    <m/>
    <s v="Pristimantis palmeri"/>
    <n v="1"/>
    <m/>
    <m/>
    <m/>
    <s v="Ninguna"/>
    <m/>
    <m/>
  </r>
  <r>
    <d v="2019-10-17T00:00:00"/>
    <m/>
    <m/>
    <d v="1899-12-30T21:13:12"/>
    <n v="-76.7188533333333"/>
    <n v="3.48494833333333"/>
    <n v="1946"/>
    <n v="2"/>
    <x v="4"/>
    <n v="18"/>
    <n v="15"/>
    <m/>
    <x v="1"/>
    <m/>
    <x v="1"/>
    <x v="7"/>
    <m/>
    <s v="Bosque secundario"/>
    <s v="Gustavo Gonzales"/>
    <m/>
    <s v="Pristimantis molybrignus"/>
    <n v="1"/>
    <m/>
    <m/>
    <m/>
    <s v="Ninguna"/>
    <m/>
    <m/>
  </r>
  <r>
    <d v="2019-10-17T00:00:00"/>
    <m/>
    <m/>
    <d v="1899-12-30T21:23:15"/>
    <n v="-76.718890000000002"/>
    <n v="3.4849649999999999"/>
    <n v="1943"/>
    <n v="2"/>
    <x v="4"/>
    <n v="18"/>
    <n v="10"/>
    <m/>
    <x v="1"/>
    <m/>
    <x v="1"/>
    <x v="7"/>
    <m/>
    <s v="Bosque secundario"/>
    <s v="Álvaro Javier Fierro"/>
    <m/>
    <s v="Pristimantis palmeri"/>
    <n v="2"/>
    <m/>
    <m/>
    <m/>
    <s v="Ninguna"/>
    <m/>
    <m/>
  </r>
  <r>
    <d v="2019-10-17T00:00:00"/>
    <m/>
    <m/>
    <d v="1899-12-30T19:45:13"/>
    <n v="-76.718145000000007"/>
    <n v="3.4851816666666702"/>
    <n v="1926"/>
    <n v="0"/>
    <x v="4"/>
    <n v="15"/>
    <n v="12"/>
    <m/>
    <x v="1"/>
    <m/>
    <x v="2"/>
    <x v="7"/>
    <m/>
    <s v="Bosque secundario"/>
    <s v="Álvaro Javier Fierro"/>
    <m/>
    <s v="Pristimantis phalarus"/>
    <n v="1"/>
    <m/>
    <m/>
    <m/>
    <s v="Ninguna"/>
    <m/>
    <m/>
  </r>
  <r>
    <d v="2019-10-17T00:00:00"/>
    <m/>
    <m/>
    <d v="1899-12-30T19:47:27"/>
    <n v="-76.718114999999997"/>
    <n v="3.4851800000000002"/>
    <n v="1928"/>
    <n v="0"/>
    <x v="4"/>
    <n v="15"/>
    <n v="12"/>
    <m/>
    <x v="1"/>
    <m/>
    <x v="2"/>
    <x v="7"/>
    <m/>
    <s v="Bosque secundario"/>
    <s v="Gustavo Gonzales"/>
    <m/>
    <s v="Pristimantis gracilis"/>
    <n v="1"/>
    <m/>
    <m/>
    <m/>
    <s v="Ninguna"/>
    <m/>
    <m/>
  </r>
  <r>
    <d v="2019-10-17T00:00:00"/>
    <m/>
    <m/>
    <d v="1899-12-30T22:21:45"/>
    <n v="-76.718551666666599"/>
    <n v="3.4868549999999998"/>
    <n v="1813"/>
    <n v="0"/>
    <x v="4"/>
    <n v="8"/>
    <n v="6"/>
    <m/>
    <x v="1"/>
    <m/>
    <x v="4"/>
    <x v="7"/>
    <m/>
    <s v="Arbustal"/>
    <m/>
    <m/>
    <s v="Ninguna"/>
    <n v="0"/>
    <s v="Punto inicial"/>
    <m/>
    <s v="pastizal. pisoteo."/>
    <s v="Ganadería"/>
    <m/>
    <m/>
  </r>
  <r>
    <d v="2019-10-17T00:00:00"/>
    <m/>
    <m/>
    <d v="1899-12-30T20:24:31"/>
    <n v="-76.7183316666667"/>
    <n v="3.4851083333333301"/>
    <n v="1936"/>
    <n v="1.5"/>
    <x v="4"/>
    <n v="25"/>
    <n v="10"/>
    <m/>
    <x v="1"/>
    <m/>
    <x v="2"/>
    <x v="7"/>
    <m/>
    <s v="Bosque secundario"/>
    <m/>
    <m/>
    <s v="Ninguna"/>
    <n v="0"/>
    <s v="Punto inicial"/>
    <m/>
    <m/>
    <s v="Ganadería"/>
    <m/>
    <m/>
  </r>
  <r>
    <d v="2019-10-17T00:00:00"/>
    <m/>
    <m/>
    <d v="1899-12-30T21:21:18"/>
    <n v="-76.718874999999997"/>
    <n v="3.484915"/>
    <n v="1943"/>
    <n v="2"/>
    <x v="4"/>
    <n v="18"/>
    <n v="10"/>
    <m/>
    <x v="1"/>
    <m/>
    <x v="1"/>
    <x v="7"/>
    <m/>
    <s v="Bosque secundario"/>
    <s v="Gustavo Gonzales"/>
    <m/>
    <s v="Pristimantis palmeri"/>
    <n v="2"/>
    <m/>
    <m/>
    <m/>
    <s v="Ninguna"/>
    <m/>
    <m/>
  </r>
  <r>
    <d v="2019-10-17T00:00:00"/>
    <m/>
    <m/>
    <d v="1899-12-30T22:28:13"/>
    <n v="-76.718819999999994"/>
    <n v="3.487215"/>
    <n v="1918"/>
    <n v="0"/>
    <x v="4"/>
    <n v="4"/>
    <n v="15"/>
    <m/>
    <x v="1"/>
    <m/>
    <x v="4"/>
    <x v="7"/>
    <m/>
    <s v="Arbustal"/>
    <m/>
    <m/>
    <s v="Ninguna"/>
    <n v="0"/>
    <s v="llanta"/>
    <m/>
    <m/>
    <s v="Residuos solidos"/>
    <m/>
    <m/>
  </r>
  <r>
    <d v="2019-10-17T00:00:00"/>
    <m/>
    <m/>
    <d v="1899-12-30T22:14:02"/>
    <n v="-76.7182733333333"/>
    <n v="3.4862166666666701"/>
    <n v="1920"/>
    <n v="0"/>
    <x v="4"/>
    <n v="4"/>
    <n v="7"/>
    <m/>
    <x v="1"/>
    <m/>
    <x v="3"/>
    <x v="7"/>
    <m/>
    <s v="Arbustal"/>
    <m/>
    <m/>
    <s v="Ninguna"/>
    <n v="0"/>
    <s v="punto final"/>
    <m/>
    <s v="pastizal"/>
    <s v="Ganadería"/>
    <m/>
    <m/>
  </r>
  <r>
    <d v="2019-10-17T00:00:00"/>
    <m/>
    <m/>
    <d v="1899-12-30T20:47:35"/>
    <n v="-76.718638333333303"/>
    <n v="3.48519333333333"/>
    <n v="1940"/>
    <n v="1.5"/>
    <x v="4"/>
    <n v="12"/>
    <n v="12"/>
    <m/>
    <x v="1"/>
    <m/>
    <x v="1"/>
    <x v="7"/>
    <m/>
    <s v="Bosque ripario"/>
    <s v="Gustavo Gonzales"/>
    <m/>
    <s v="Centrolene savagei"/>
    <n v="1"/>
    <s v="con postura"/>
    <m/>
    <m/>
    <s v="Ninguna"/>
    <m/>
    <m/>
  </r>
  <r>
    <d v="2019-10-17T00:00:00"/>
    <m/>
    <m/>
    <d v="1899-12-30T22:01:05"/>
    <n v="-76.717631666666705"/>
    <n v="3.4859049999999998"/>
    <n v="1924"/>
    <n v="0"/>
    <x v="4"/>
    <n v="8"/>
    <n v="10"/>
    <m/>
    <x v="1"/>
    <m/>
    <x v="3"/>
    <x v="7"/>
    <m/>
    <s v="Arbustal"/>
    <m/>
    <m/>
    <s v="Ninguna"/>
    <n v="0"/>
    <s v="punto inicial"/>
    <m/>
    <m/>
    <s v="Ganadería"/>
    <m/>
    <m/>
  </r>
  <r>
    <d v="2019-10-17T00:00:00"/>
    <m/>
    <m/>
    <d v="1899-12-30T19:03:15"/>
    <n v="-76.7176166666667"/>
    <n v="3.4859133333333299"/>
    <n v="1924"/>
    <n v="0"/>
    <x v="4"/>
    <n v="8"/>
    <n v="10"/>
    <m/>
    <x v="1"/>
    <m/>
    <x v="3"/>
    <x v="7"/>
    <m/>
    <s v="Arbustal"/>
    <m/>
    <m/>
    <s v="Ninguna"/>
    <n v="0"/>
    <s v="Punto de inicio"/>
    <m/>
    <m/>
    <s v="Ninguna"/>
    <m/>
    <m/>
  </r>
  <r>
    <d v="2019-10-17T00:00:00"/>
    <m/>
    <m/>
    <d v="1899-12-30T22:32:47"/>
    <n v="-76.719004999999996"/>
    <n v="3.4875766666666701"/>
    <n v="1920"/>
    <n v="0"/>
    <x v="4"/>
    <n v="5"/>
    <n v="15"/>
    <m/>
    <x v="1"/>
    <m/>
    <x v="4"/>
    <x v="7"/>
    <m/>
    <s v="Arbustal"/>
    <m/>
    <m/>
    <s v="Ninguna"/>
    <n v="0"/>
    <s v="punto final"/>
    <m/>
    <s v="pastizal"/>
    <s v="Ganadería"/>
    <m/>
    <m/>
  </r>
  <r>
    <d v="2019-10-18T00:00:00"/>
    <m/>
    <m/>
    <d v="1899-12-30T12:38:51"/>
    <n v="-76.715226666666695"/>
    <n v="3.487015"/>
    <n v="1871"/>
    <n v="1"/>
    <x v="4"/>
    <n v="4"/>
    <n v="15"/>
    <m/>
    <x v="1"/>
    <m/>
    <x v="2"/>
    <x v="12"/>
    <m/>
    <s v="Bosque ripario"/>
    <m/>
    <m/>
    <s v="Ninguna"/>
    <n v="0"/>
    <s v="potrero"/>
    <m/>
    <s v="Potrero"/>
    <s v="Otra"/>
    <m/>
    <m/>
  </r>
  <r>
    <d v="2019-10-18T00:00:00"/>
    <m/>
    <m/>
    <d v="1899-12-30T12:25:34"/>
    <n v="-76.714896666666704"/>
    <n v="3.4871699999999999"/>
    <n v="1857"/>
    <n v="1"/>
    <x v="4"/>
    <n v="12"/>
    <n v="10"/>
    <m/>
    <x v="1"/>
    <m/>
    <x v="2"/>
    <x v="12"/>
    <m/>
    <s v="Bosque ripario"/>
    <m/>
    <m/>
    <s v="Ninguna"/>
    <n v="0"/>
    <s v="Plástico"/>
    <m/>
    <m/>
    <s v="Residuos solidos"/>
    <m/>
    <m/>
  </r>
  <r>
    <d v="2019-10-18T00:00:00"/>
    <m/>
    <m/>
    <d v="1899-12-30T12:25:34"/>
    <n v="-76.714896666666704"/>
    <n v="3.4871699999999999"/>
    <n v="1875"/>
    <n v="1"/>
    <x v="4"/>
    <n v="12"/>
    <n v="10"/>
    <m/>
    <x v="1"/>
    <m/>
    <x v="2"/>
    <x v="12"/>
    <m/>
    <s v="Bosque ripario"/>
    <m/>
    <m/>
    <s v="Ninguna"/>
    <n v="0"/>
    <s v="Plástico a ambos lados de la quebrada"/>
    <m/>
    <s v="Plástico"/>
    <s v="Residuos solidos"/>
    <m/>
    <m/>
  </r>
  <r>
    <d v="2019-10-18T00:00:00"/>
    <m/>
    <m/>
    <d v="1899-12-30T12:03:43"/>
    <n v="-76.714598333333299"/>
    <n v="3.48752833333333"/>
    <n v="1871"/>
    <n v="1.6"/>
    <x v="4"/>
    <n v="12"/>
    <n v="10"/>
    <m/>
    <x v="1"/>
    <m/>
    <x v="1"/>
    <x v="12"/>
    <m/>
    <s v="Bosque ripario"/>
    <m/>
    <m/>
    <s v="Ninguna"/>
    <n v="0"/>
    <s v="fin de transecto 1"/>
    <m/>
    <m/>
    <s v="Ninguna"/>
    <m/>
    <m/>
  </r>
  <r>
    <d v="2019-10-18T00:00:00"/>
    <m/>
    <m/>
    <d v="1899-12-30T11:30:21"/>
    <n v="-76.713941666666699"/>
    <n v="3.4877066666666701"/>
    <n v="1857"/>
    <m/>
    <x v="4"/>
    <m/>
    <m/>
    <m/>
    <x v="1"/>
    <m/>
    <x v="0"/>
    <x v="12"/>
    <m/>
    <s v="Bosque ripario"/>
    <m/>
    <m/>
    <s v="Ninguna"/>
    <n v="0"/>
    <m/>
    <m/>
    <m/>
    <s v="Residuos solidos"/>
    <m/>
    <m/>
  </r>
  <r>
    <d v="2019-10-18T00:00:00"/>
    <m/>
    <m/>
    <d v="1899-12-30T21:58:09"/>
    <n v="-76.714813333333296"/>
    <n v="3.4874283333333298"/>
    <n v="1854"/>
    <n v="1.7"/>
    <x v="4"/>
    <n v="7"/>
    <n v="10"/>
    <m/>
    <x v="1"/>
    <m/>
    <x v="1"/>
    <x v="12"/>
    <m/>
    <s v="Bosque ripario"/>
    <s v="Gustavo Rodriguez"/>
    <m/>
    <s v="Pristimantis palmeri"/>
    <n v="1"/>
    <m/>
    <m/>
    <m/>
    <s v="Ninguna"/>
    <m/>
    <m/>
  </r>
  <r>
    <d v="2019-10-18T00:00:00"/>
    <m/>
    <m/>
    <d v="1899-12-30T21:58:09"/>
    <n v="-76.714813333333296"/>
    <n v="3.4874283333333298"/>
    <n v="1854"/>
    <n v="1.7"/>
    <x v="4"/>
    <n v="7"/>
    <n v="13"/>
    <m/>
    <x v="1"/>
    <m/>
    <x v="1"/>
    <x v="12"/>
    <m/>
    <s v="Bosque ripario"/>
    <m/>
    <m/>
    <s v="Ninguna"/>
    <n v="0"/>
    <s v="punto inicial"/>
    <m/>
    <m/>
    <s v="Ninguna"/>
    <m/>
    <m/>
  </r>
  <r>
    <d v="2019-10-18T00:00:00"/>
    <m/>
    <m/>
    <d v="1899-12-30T20:57:11"/>
    <n v="-76.714053333333297"/>
    <n v="3.48769666666667"/>
    <n v="1861"/>
    <n v="2"/>
    <x v="4"/>
    <n v="5"/>
    <n v="12"/>
    <m/>
    <x v="1"/>
    <m/>
    <x v="1"/>
    <x v="12"/>
    <m/>
    <s v="Bosque ripario"/>
    <m/>
    <m/>
    <s v="Ninguna"/>
    <n v="0"/>
    <m/>
    <m/>
    <m/>
    <s v="Residuos solidos"/>
    <m/>
    <m/>
  </r>
  <r>
    <d v="2019-10-18T00:00:00"/>
    <m/>
    <m/>
    <d v="1899-12-30T12:33:27"/>
    <n v="-76.714873333333301"/>
    <n v="3.4870633333333299"/>
    <n v="1865"/>
    <n v="1.2"/>
    <x v="4"/>
    <n v="12"/>
    <n v="8"/>
    <m/>
    <x v="1"/>
    <m/>
    <x v="2"/>
    <x v="12"/>
    <m/>
    <s v="Bosque ripario"/>
    <m/>
    <m/>
    <s v="Ninguna"/>
    <n v="0"/>
    <s v="Alambre de púas y calambre dulce"/>
    <m/>
    <m/>
    <s v="Residuos solidos"/>
    <m/>
    <m/>
  </r>
  <r>
    <d v="2019-10-18T00:00:00"/>
    <m/>
    <m/>
    <d v="1899-12-30T22:38:41"/>
    <n v="-76.715171666666706"/>
    <n v="3.4865699999999999"/>
    <n v="1866"/>
    <n v="1.5"/>
    <x v="4"/>
    <n v="12"/>
    <n v="12"/>
    <m/>
    <x v="1"/>
    <m/>
    <x v="2"/>
    <x v="12"/>
    <m/>
    <s v="Bosque ripario"/>
    <m/>
    <m/>
    <s v="Ninguna"/>
    <n v="0"/>
    <s v="punto final"/>
    <m/>
    <m/>
    <s v="Ninguna"/>
    <m/>
    <m/>
  </r>
  <r>
    <d v="2019-10-18T00:00:00"/>
    <m/>
    <m/>
    <d v="1899-12-30T22:09:09"/>
    <n v="-76.7148866666667"/>
    <n v="3.4872049999999999"/>
    <n v="1855"/>
    <n v="1.5"/>
    <x v="4"/>
    <n v="5"/>
    <n v="15"/>
    <m/>
    <x v="1"/>
    <m/>
    <x v="2"/>
    <x v="12"/>
    <m/>
    <s v="Bosque ripario"/>
    <s v="Gustavo Gonzales"/>
    <m/>
    <s v="Pristimantis molybrignus"/>
    <n v="1"/>
    <m/>
    <m/>
    <m/>
    <s v="Ninguna"/>
    <m/>
    <m/>
  </r>
  <r>
    <d v="2019-10-18T00:00:00"/>
    <m/>
    <m/>
    <d v="1899-12-30T21:08:57"/>
    <n v="-76.714224999999999"/>
    <n v="3.4877449999999999"/>
    <n v="1861"/>
    <n v="1.7"/>
    <x v="4"/>
    <n v="10"/>
    <n v="10"/>
    <m/>
    <x v="1"/>
    <m/>
    <x v="1"/>
    <x v="12"/>
    <m/>
    <s v="Bosque ripario"/>
    <m/>
    <m/>
    <s v="Ninguna"/>
    <n v="0"/>
    <s v="plástico"/>
    <m/>
    <m/>
    <s v="Residuos solidos"/>
    <m/>
    <m/>
  </r>
  <r>
    <d v="2019-10-18T00:00:00"/>
    <m/>
    <m/>
    <d v="1899-12-30T21:48:31"/>
    <n v="-76.714685000000003"/>
    <n v="3.4873766666666701"/>
    <n v="1855"/>
    <n v="1.5"/>
    <x v="4"/>
    <n v="10"/>
    <n v="15"/>
    <m/>
    <x v="1"/>
    <m/>
    <x v="1"/>
    <x v="12"/>
    <m/>
    <s v="Bosque ripario"/>
    <m/>
    <m/>
    <s v="Ninguna"/>
    <n v="0"/>
    <s v="punto final"/>
    <m/>
    <m/>
    <s v="Ninguna"/>
    <m/>
    <m/>
  </r>
  <r>
    <d v="2019-10-18T00:00:00"/>
    <m/>
    <m/>
    <d v="1899-12-30T22:16:51"/>
    <n v="-76.714830000000006"/>
    <n v="3.48718833333333"/>
    <n v="1844"/>
    <n v="1.5"/>
    <x v="4"/>
    <n v="7"/>
    <n v="12"/>
    <m/>
    <x v="1"/>
    <m/>
    <x v="2"/>
    <x v="12"/>
    <m/>
    <s v="Bosque ripario"/>
    <m/>
    <m/>
    <s v="Ninguna"/>
    <n v="0"/>
    <m/>
    <m/>
    <s v="Plástico"/>
    <s v="Residuos solidos"/>
    <m/>
    <m/>
  </r>
  <r>
    <d v="2019-10-18T00:00:00"/>
    <m/>
    <m/>
    <d v="1899-12-30T22:16:51"/>
    <n v="-76.714830000000006"/>
    <n v="3.48718833333333"/>
    <n v="1844"/>
    <n v="1.5"/>
    <x v="4"/>
    <n v="7"/>
    <n v="12"/>
    <m/>
    <x v="1"/>
    <m/>
    <x v="2"/>
    <x v="12"/>
    <m/>
    <s v="Bosque ripario"/>
    <m/>
    <m/>
    <s v="Ninguna"/>
    <n v="0"/>
    <m/>
    <m/>
    <m/>
    <s v="Residuos solidos"/>
    <m/>
    <m/>
  </r>
  <r>
    <d v="2019-10-18T00:00:00"/>
    <m/>
    <m/>
    <d v="1899-12-30T11:38:54"/>
    <n v="-76.713933333333301"/>
    <n v="3.48770333333333"/>
    <n v="1850"/>
    <n v="1.5"/>
    <x v="4"/>
    <n v="12"/>
    <n v="12"/>
    <m/>
    <x v="1"/>
    <m/>
    <x v="0"/>
    <x v="12"/>
    <m/>
    <s v="Bosque ripario"/>
    <m/>
    <m/>
    <s v="Ninguna"/>
    <n v="0"/>
    <s v="Alambre de púas"/>
    <m/>
    <s v="Plástico dentro de la quebrara, lado izquierdo aguas arriba"/>
    <s v="Residuos solidos"/>
    <m/>
    <m/>
  </r>
  <r>
    <d v="2019-10-18T00:00:00"/>
    <m/>
    <m/>
    <d v="1899-12-30T21:45:55"/>
    <n v="-76.714693333333301"/>
    <n v="3.4874016666666701"/>
    <n v="1855"/>
    <n v="1.5"/>
    <x v="4"/>
    <n v="8"/>
    <n v="15"/>
    <m/>
    <x v="1"/>
    <m/>
    <x v="1"/>
    <x v="12"/>
    <m/>
    <s v="Bosque ripario"/>
    <s v="Gustavo Gonzales"/>
    <m/>
    <s v="Centrolene savagei"/>
    <n v="8"/>
    <s v="Auditivo"/>
    <m/>
    <m/>
    <s v="Ninguna"/>
    <m/>
    <m/>
  </r>
  <r>
    <d v="2019-10-18T00:00:00"/>
    <m/>
    <m/>
    <d v="1899-12-30T22:28:14"/>
    <n v="-76.715121666666704"/>
    <n v="3.4870666666666699"/>
    <n v="1871"/>
    <n v="0"/>
    <x v="4"/>
    <n v="6"/>
    <n v="15"/>
    <m/>
    <x v="1"/>
    <m/>
    <x v="2"/>
    <x v="12"/>
    <m/>
    <s v="Bosque secundario"/>
    <s v="Gustavo Rodriguez"/>
    <m/>
    <s v="Pristimantis erythropleura"/>
    <n v="1"/>
    <m/>
    <m/>
    <s v="pastizal"/>
    <s v="Ninguna"/>
    <m/>
    <m/>
  </r>
  <r>
    <d v="2019-10-18T00:00:00"/>
    <m/>
    <m/>
    <d v="1899-12-30T12:47:04"/>
    <n v="-76.715035"/>
    <n v="3.4866199999999998"/>
    <n v="1875"/>
    <n v="1.1000000000000001"/>
    <x v="4"/>
    <n v="10"/>
    <n v="8"/>
    <m/>
    <x v="1"/>
    <m/>
    <x v="2"/>
    <x v="12"/>
    <m/>
    <s v="Bosque ripario"/>
    <m/>
    <m/>
    <s v="Ninguna"/>
    <n v="0"/>
    <s v="Fin del transecto"/>
    <m/>
    <m/>
    <s v="Ninguna"/>
    <m/>
    <m/>
  </r>
  <r>
    <d v="2019-10-18T00:00:00"/>
    <m/>
    <m/>
    <d v="1899-12-30T21:01:08"/>
    <n v="-76.714148333333299"/>
    <n v="3.4876983333333298"/>
    <n v="1861"/>
    <n v="1.25"/>
    <x v="4"/>
    <n v="12"/>
    <n v="10"/>
    <m/>
    <x v="1"/>
    <m/>
    <x v="1"/>
    <x v="12"/>
    <m/>
    <s v="Bosque ripario"/>
    <m/>
    <m/>
    <s v="Ninguna"/>
    <n v="0"/>
    <s v="plástico"/>
    <m/>
    <m/>
    <s v="Residuos solidos"/>
    <m/>
    <m/>
  </r>
  <r>
    <d v="2019-10-18T00:00:00"/>
    <m/>
    <m/>
    <d v="1899-12-30T21:07:14"/>
    <n v="-76.714011666666707"/>
    <n v="3.4878216666666702"/>
    <n v="1861"/>
    <n v="1.7"/>
    <x v="4"/>
    <n v="10"/>
    <n v="10"/>
    <m/>
    <x v="1"/>
    <m/>
    <x v="0"/>
    <x v="12"/>
    <m/>
    <s v="Bosque ripario"/>
    <s v="Álvaro Javier Fierro"/>
    <m/>
    <s v="Pristimantis phalarus"/>
    <n v="1"/>
    <m/>
    <m/>
    <m/>
    <s v="Ninguna"/>
    <m/>
    <m/>
  </r>
  <r>
    <d v="2019-10-18T00:00:00"/>
    <m/>
    <m/>
    <d v="1899-12-30T12:11:26"/>
    <n v="-76.71463"/>
    <n v="3.4873783333333299"/>
    <n v="1865"/>
    <n v="1"/>
    <x v="4"/>
    <n v="15"/>
    <n v="12"/>
    <m/>
    <x v="1"/>
    <m/>
    <x v="1"/>
    <x v="12"/>
    <m/>
    <s v="Bosque ripario"/>
    <m/>
    <m/>
    <s v="Ninguna"/>
    <n v="0"/>
    <m/>
    <m/>
    <s v="Transecto 2"/>
    <s v="Ninguna"/>
    <m/>
    <m/>
  </r>
  <r>
    <d v="2019-10-18T00:00:00"/>
    <m/>
    <m/>
    <d v="1899-12-30T20:47:37"/>
    <n v="-76.713881666666694"/>
    <n v="3.48786166666667"/>
    <n v="1860"/>
    <n v="1.7"/>
    <x v="4"/>
    <n v="7"/>
    <n v="10"/>
    <m/>
    <x v="1"/>
    <m/>
    <x v="0"/>
    <x v="12"/>
    <m/>
    <s v="Bosque ripario"/>
    <m/>
    <m/>
    <s v="Ninguna"/>
    <n v="0"/>
    <s v="punto inicial"/>
    <m/>
    <m/>
    <s v="Ninguna"/>
    <m/>
    <m/>
  </r>
  <r>
    <d v="2019-10-19T00:00:00"/>
    <m/>
    <m/>
    <d v="1899-12-30T22:25:05"/>
    <n v="-76.723174999999998"/>
    <n v="3.47983333333333"/>
    <n v="2100"/>
    <m/>
    <x v="4"/>
    <n v="25"/>
    <n v="10"/>
    <m/>
    <x v="1"/>
    <m/>
    <x v="3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2:31:57"/>
    <n v="-76.723216666666701"/>
    <n v="3.4802483333333298"/>
    <n v="2091"/>
    <m/>
    <x v="4"/>
    <n v="20"/>
    <n v="10"/>
    <m/>
    <x v="1"/>
    <m/>
    <x v="4"/>
    <x v="8"/>
    <m/>
    <s v="Bosque primario"/>
    <s v="Gustavo Gonzales"/>
    <m/>
    <s v="Pristimantis phalarus"/>
    <n v="1"/>
    <m/>
    <m/>
    <m/>
    <s v="Ninguna"/>
    <m/>
    <m/>
  </r>
  <r>
    <d v="2019-10-19T00:00:00"/>
    <m/>
    <m/>
    <d v="1899-12-30T18:40:14"/>
    <n v="-76.722223333333403"/>
    <n v="3.4767450000000002"/>
    <n v="1857"/>
    <n v="0"/>
    <x v="4"/>
    <n v="22"/>
    <n v="15"/>
    <m/>
    <x v="1"/>
    <m/>
    <x v="0"/>
    <x v="8"/>
    <m/>
    <s v="Bosque primario"/>
    <m/>
    <m/>
    <s v="Ninguna"/>
    <n v="0"/>
    <m/>
    <m/>
    <m/>
    <s v="Ninguna"/>
    <m/>
    <m/>
  </r>
  <r>
    <d v="2019-10-19T00:00:00"/>
    <m/>
    <m/>
    <d v="1899-12-30T18:40:14"/>
    <n v="-76.722223333333403"/>
    <n v="3.4767450000000002"/>
    <n v="1957"/>
    <n v="0"/>
    <x v="4"/>
    <n v="22"/>
    <n v="12"/>
    <m/>
    <x v="1"/>
    <m/>
    <x v="0"/>
    <x v="8"/>
    <m/>
    <s v="Bosque primario"/>
    <s v="Gustavo Gonzales"/>
    <m/>
    <s v="Pristimantis molybrignus"/>
    <n v="2"/>
    <m/>
    <m/>
    <m/>
    <s v="Ninguna"/>
    <m/>
    <m/>
  </r>
  <r>
    <d v="2019-10-19T00:00:00"/>
    <m/>
    <m/>
    <d v="1899-12-30T20:33:15"/>
    <n v="-76.722624999999994"/>
    <n v="3.4776566666666699"/>
    <n v="2100"/>
    <n v="0"/>
    <x v="4"/>
    <n v="20"/>
    <n v="15"/>
    <m/>
    <x v="1"/>
    <m/>
    <x v="1"/>
    <x v="8"/>
    <m/>
    <s v="Bosque primario"/>
    <s v="álvaro Javier fierro"/>
    <m/>
    <s v="Bolitoglossa walkeri"/>
    <n v="1"/>
    <m/>
    <m/>
    <m/>
    <s v="Ninguna"/>
    <m/>
    <m/>
  </r>
  <r>
    <d v="2019-10-19T00:00:00"/>
    <m/>
    <m/>
    <d v="1899-12-30T20:33:15"/>
    <n v="-76.722624999999994"/>
    <n v="3.4776566666666699"/>
    <n v="2100"/>
    <m/>
    <x v="4"/>
    <n v="22"/>
    <n v="15"/>
    <m/>
    <x v="1"/>
    <m/>
    <x v="1"/>
    <x v="8"/>
    <m/>
    <s v="Bosque primario"/>
    <s v="álvaro Javier fierro"/>
    <m/>
    <s v="Pristimantis molybrignus"/>
    <n v="1"/>
    <m/>
    <m/>
    <m/>
    <s v="Ninguna"/>
    <m/>
    <m/>
  </r>
  <r>
    <d v="2019-10-19T00:00:00"/>
    <m/>
    <m/>
    <d v="1899-12-30T22:06:17"/>
    <n v="-76.722989999999996"/>
    <n v="3.479355"/>
    <n v="2100"/>
    <m/>
    <x v="4"/>
    <n v="25"/>
    <n v="10"/>
    <m/>
    <x v="1"/>
    <m/>
    <x v="3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19:21:36"/>
    <n v="-76.722413333333293"/>
    <n v="3.47718666666667"/>
    <n v="2140"/>
    <n v="0"/>
    <x v="4"/>
    <n v="22"/>
    <n v="10"/>
    <m/>
    <x v="1"/>
    <m/>
    <x v="1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20:25:33"/>
    <n v="-76.722521666666694"/>
    <n v="3.4774733333333301"/>
    <n v="2130"/>
    <n v="0"/>
    <x v="4"/>
    <n v="22"/>
    <n v="12"/>
    <m/>
    <x v="1"/>
    <m/>
    <x v="1"/>
    <x v="8"/>
    <m/>
    <s v="Bosque primario"/>
    <s v="Dannythza Mona"/>
    <m/>
    <s v="Bolitoglossa walkeri"/>
    <n v="1"/>
    <m/>
    <m/>
    <m/>
    <s v="Ninguna"/>
    <m/>
    <m/>
  </r>
  <r>
    <d v="2019-10-19T00:00:00"/>
    <m/>
    <m/>
    <d v="1899-12-30T18:47:33"/>
    <n v="-76.722264999999993"/>
    <n v="3.4767683333333301"/>
    <n v="2123"/>
    <n v="0"/>
    <x v="4"/>
    <n v="22"/>
    <n v="12"/>
    <m/>
    <x v="1"/>
    <m/>
    <x v="0"/>
    <x v="8"/>
    <m/>
    <s v="Bosque primario"/>
    <s v="Gustavo Rodriguez"/>
    <m/>
    <s v="Bolitoglossa walkeri"/>
    <n v="1"/>
    <m/>
    <m/>
    <m/>
    <s v="Ninguna"/>
    <m/>
    <m/>
  </r>
  <r>
    <d v="2019-10-19T00:00:00"/>
    <m/>
    <m/>
    <d v="1899-12-30T21:44:37"/>
    <n v="-76.722826666666705"/>
    <n v="3.4788916666666698"/>
    <n v="2100"/>
    <m/>
    <x v="4"/>
    <n v="20"/>
    <n v="10"/>
    <m/>
    <x v="1"/>
    <m/>
    <x v="2"/>
    <x v="8"/>
    <m/>
    <s v="Bosque primario"/>
    <s v="Gustavo Rodriguez"/>
    <m/>
    <s v="Bolitoglossa walkeri"/>
    <n v="1"/>
    <m/>
    <m/>
    <m/>
    <s v="Ninguna"/>
    <m/>
    <m/>
  </r>
  <r>
    <d v="2019-10-19T00:00:00"/>
    <m/>
    <m/>
    <d v="1899-12-30T20:49:09"/>
    <n v="-76.722729999999999"/>
    <n v="3.4777999999999998"/>
    <n v="1989"/>
    <m/>
    <x v="4"/>
    <n v="22"/>
    <n v="15"/>
    <m/>
    <x v="1"/>
    <m/>
    <x v="1"/>
    <x v="8"/>
    <m/>
    <s v="Bosque primario"/>
    <s v="Guillermo Guerrero"/>
    <m/>
    <s v="Pristimantis gracilis"/>
    <n v="1"/>
    <m/>
    <m/>
    <m/>
    <s v="Ninguna"/>
    <m/>
    <m/>
  </r>
  <r>
    <d v="2019-10-19T00:00:00"/>
    <m/>
    <m/>
    <d v="1899-12-30T20:49:09"/>
    <n v="-76.722729999999999"/>
    <n v="3.4777999999999998"/>
    <n v="1989"/>
    <m/>
    <x v="4"/>
    <n v="22"/>
    <n v="15"/>
    <m/>
    <x v="1"/>
    <m/>
    <x v="1"/>
    <x v="8"/>
    <m/>
    <s v="Bosque primario"/>
    <s v="Guillermo Guerrero"/>
    <m/>
    <s v="Pristimantis phalarus"/>
    <n v="1"/>
    <m/>
    <m/>
    <m/>
    <s v="Ninguna"/>
    <m/>
    <m/>
  </r>
  <r>
    <d v="2019-10-19T00:00:00"/>
    <m/>
    <m/>
    <d v="1899-12-30T20:49:09"/>
    <n v="-76.722729999999999"/>
    <n v="3.4777999999999998"/>
    <n v="1989"/>
    <m/>
    <x v="4"/>
    <n v="20"/>
    <n v="15"/>
    <m/>
    <x v="1"/>
    <m/>
    <x v="1"/>
    <x v="8"/>
    <m/>
    <s v="Bosque primario"/>
    <s v="Guillermo Guerrero"/>
    <m/>
    <s v="Pristimantis molybrignus"/>
    <n v="2"/>
    <m/>
    <m/>
    <m/>
    <s v="Ninguna"/>
    <m/>
    <m/>
  </r>
  <r>
    <d v="2019-10-19T00:00:00"/>
    <m/>
    <m/>
    <d v="1899-12-30T22:10:47"/>
    <n v="-76.723058333333299"/>
    <n v="3.4794366666666701"/>
    <n v="2100"/>
    <n v="0"/>
    <x v="4"/>
    <n v="25"/>
    <n v="10"/>
    <m/>
    <x v="1"/>
    <m/>
    <x v="3"/>
    <x v="8"/>
    <m/>
    <s v="Bosque primario"/>
    <s v="Guillermo Guerrero"/>
    <m/>
    <s v="Pristimantis molybrignus"/>
    <n v="1"/>
    <m/>
    <m/>
    <m/>
    <s v="Ninguna"/>
    <m/>
    <m/>
  </r>
  <r>
    <d v="2019-10-19T00:00:00"/>
    <m/>
    <m/>
    <d v="1899-12-30T19:05:01"/>
    <n v="-76.722438333333301"/>
    <n v="3.4769899999999998"/>
    <n v="2137"/>
    <n v="0"/>
    <x v="4"/>
    <n v="20"/>
    <n v="8"/>
    <m/>
    <x v="1"/>
    <m/>
    <x v="0"/>
    <x v="8"/>
    <m/>
    <s v="Bosque primario"/>
    <s v="Dannythza Mona"/>
    <m/>
    <s v="Bolitoglossa walkeri"/>
    <n v="1"/>
    <m/>
    <m/>
    <m/>
    <s v="Ninguna"/>
    <m/>
    <m/>
  </r>
  <r>
    <d v="2019-10-19T00:00:00"/>
    <m/>
    <m/>
    <d v="1899-12-30T22:17:58"/>
    <n v="-76.723025000000007"/>
    <n v="3.4795516666666702"/>
    <n v="2100"/>
    <m/>
    <x v="4"/>
    <n v="22"/>
    <n v="10"/>
    <m/>
    <x v="1"/>
    <m/>
    <x v="3"/>
    <x v="8"/>
    <m/>
    <s v="Bosque primario"/>
    <s v="Gustavo Gonzales"/>
    <m/>
    <s v="Pristimantis gracilis"/>
    <n v="1"/>
    <m/>
    <m/>
    <m/>
    <s v="Ninguna"/>
    <m/>
    <m/>
  </r>
  <r>
    <d v="2019-10-19T00:00:00"/>
    <m/>
    <m/>
    <d v="1899-12-30T21:04:37"/>
    <n v="-76.722781666666705"/>
    <n v="3.4779900000000001"/>
    <n v="2120"/>
    <m/>
    <x v="4"/>
    <n v="25"/>
    <n v="17"/>
    <m/>
    <x v="1"/>
    <m/>
    <x v="2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18:50:58"/>
    <n v="-76.722313333333403"/>
    <n v="3.4768583333333298"/>
    <n v="2123"/>
    <n v="0"/>
    <x v="4"/>
    <n v="23"/>
    <n v="15"/>
    <m/>
    <x v="1"/>
    <m/>
    <x v="0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0:04:32"/>
    <n v="-76.722461666666703"/>
    <n v="3.4773049999999999"/>
    <n v="2140"/>
    <n v="0"/>
    <x v="4"/>
    <n v="25"/>
    <n v="12"/>
    <m/>
    <x v="1"/>
    <m/>
    <x v="1"/>
    <x v="8"/>
    <m/>
    <s v="Bosque primario"/>
    <s v="Gustavo Gonzales"/>
    <m/>
    <s v="Pristimantis gracilis"/>
    <n v="1"/>
    <m/>
    <m/>
    <m/>
    <s v="Ninguna"/>
    <m/>
    <m/>
  </r>
  <r>
    <d v="2019-10-19T00:00:00"/>
    <m/>
    <m/>
    <d v="1899-12-30T20:04:32"/>
    <n v="-76.722461666666703"/>
    <n v="3.4773049999999999"/>
    <n v="2140"/>
    <n v="0"/>
    <x v="4"/>
    <n v="25"/>
    <n v="12"/>
    <m/>
    <x v="1"/>
    <m/>
    <x v="1"/>
    <x v="8"/>
    <m/>
    <s v="Bosque primario"/>
    <s v="Gustavo Gonzales"/>
    <m/>
    <s v="Bolitoglossa walkeri"/>
    <n v="1"/>
    <m/>
    <m/>
    <m/>
    <s v="Ninguna"/>
    <m/>
    <m/>
  </r>
  <r>
    <d v="2019-10-19T00:00:00"/>
    <m/>
    <m/>
    <d v="1899-12-30T20:53:31"/>
    <n v="-76.722743333333298"/>
    <n v="3.4778099999999998"/>
    <n v="1980"/>
    <n v="0"/>
    <x v="4"/>
    <n v="25"/>
    <n v="12"/>
    <m/>
    <x v="1"/>
    <m/>
    <x v="1"/>
    <x v="8"/>
    <m/>
    <s v="Bosque primario"/>
    <s v="Gustavo Gonzales"/>
    <m/>
    <s v="Pristimantis phalarus"/>
    <n v="1"/>
    <m/>
    <m/>
    <m/>
    <s v="Ninguna"/>
    <m/>
    <m/>
  </r>
  <r>
    <d v="2019-10-19T00:00:00"/>
    <m/>
    <m/>
    <d v="1899-12-30T21:25:00"/>
    <n v="-76.722858333333306"/>
    <n v="3.4784449999999998"/>
    <n v="2100"/>
    <m/>
    <x v="4"/>
    <n v="25"/>
    <n v="16"/>
    <m/>
    <x v="1"/>
    <m/>
    <x v="2"/>
    <x v="8"/>
    <m/>
    <s v="Bosque primario"/>
    <s v="álvaro Javier"/>
    <m/>
    <s v="Bolitoglossa walkeri"/>
    <n v="1"/>
    <m/>
    <m/>
    <m/>
    <s v="Ninguna"/>
    <m/>
    <m/>
  </r>
  <r>
    <d v="2019-10-19T00:00:00"/>
    <m/>
    <m/>
    <d v="1899-12-30T20:41:05"/>
    <n v="-76.722650000000002"/>
    <n v="3.47770166666667"/>
    <n v="1999"/>
    <m/>
    <x v="4"/>
    <n v="22"/>
    <n v="15"/>
    <m/>
    <x v="1"/>
    <m/>
    <x v="1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20:55:03"/>
    <n v="-76.722753333333301"/>
    <n v="3.4778483333333301"/>
    <n v="1980"/>
    <m/>
    <x v="4"/>
    <n v="22"/>
    <n v="12"/>
    <m/>
    <x v="1"/>
    <m/>
    <x v="1"/>
    <x v="8"/>
    <m/>
    <s v="Bosque primario"/>
    <s v="Gustavo Gonzales"/>
    <m/>
    <s v="Pristimantis juanchoi"/>
    <n v="1"/>
    <m/>
    <m/>
    <m/>
    <s v="Ninguna"/>
    <m/>
    <m/>
  </r>
  <r>
    <d v="2019-10-19T00:00:00"/>
    <m/>
    <m/>
    <d v="1899-12-30T21:28:01"/>
    <n v="-76.722774999999999"/>
    <n v="3.4785300000000001"/>
    <n v="2100"/>
    <m/>
    <x v="4"/>
    <n v="25"/>
    <n v="15"/>
    <m/>
    <x v="1"/>
    <m/>
    <x v="2"/>
    <x v="8"/>
    <m/>
    <s v="Bosque primario"/>
    <s v="Gustavo Gonzales"/>
    <m/>
    <s v="Pristimantis alius"/>
    <n v="1"/>
    <m/>
    <m/>
    <m/>
    <s v="Ninguna"/>
    <m/>
    <m/>
  </r>
  <r>
    <d v="2019-10-19T00:00:00"/>
    <m/>
    <m/>
    <d v="1899-12-30T21:17:53"/>
    <n v="-76.722776666666704"/>
    <n v="3.4783033333333302"/>
    <n v="2100"/>
    <m/>
    <x v="4"/>
    <n v="22"/>
    <n v="15"/>
    <m/>
    <x v="1"/>
    <m/>
    <x v="2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20:42:53"/>
    <n v="-76.722716666666699"/>
    <n v="3.4777233333333299"/>
    <n v="1997"/>
    <m/>
    <x v="4"/>
    <n v="20"/>
    <n v="15"/>
    <m/>
    <x v="1"/>
    <m/>
    <x v="1"/>
    <x v="8"/>
    <m/>
    <s v="Bosque primario"/>
    <s v="álvaro Javier fierro"/>
    <m/>
    <s v="Pristimantis phalarus"/>
    <n v="1"/>
    <m/>
    <m/>
    <m/>
    <s v="Ninguna"/>
    <m/>
    <m/>
  </r>
  <r>
    <d v="2019-10-19T00:00:00"/>
    <m/>
    <m/>
    <d v="1899-12-30T21:42:18"/>
    <n v="-76.722846666666598"/>
    <n v="3.4788666666666699"/>
    <n v="2100"/>
    <m/>
    <x v="4"/>
    <n v="22"/>
    <n v="12"/>
    <m/>
    <x v="1"/>
    <m/>
    <x v="2"/>
    <x v="8"/>
    <m/>
    <s v="Bosque primario"/>
    <s v="Gustavo Gonzales"/>
    <m/>
    <s v="Pristimantis molybrignus"/>
    <n v="2"/>
    <m/>
    <m/>
    <m/>
    <s v="Ninguna"/>
    <m/>
    <m/>
  </r>
  <r>
    <d v="2019-10-19T00:00:00"/>
    <m/>
    <m/>
    <d v="1899-12-30T22:14:09"/>
    <n v="-76.7230633333333"/>
    <n v="3.4795766666666701"/>
    <n v="2100"/>
    <m/>
    <x v="4"/>
    <n v="20"/>
    <n v="10"/>
    <m/>
    <x v="1"/>
    <m/>
    <x v="3"/>
    <x v="8"/>
    <m/>
    <s v="Bosque primario"/>
    <s v="Álvaro Javier Fierro"/>
    <m/>
    <s v="Pristimantis phalarus"/>
    <n v="1"/>
    <m/>
    <m/>
    <m/>
    <s v="Ninguna"/>
    <m/>
    <m/>
  </r>
  <r>
    <d v="2019-10-19T00:00:00"/>
    <m/>
    <m/>
    <d v="1899-12-30T22:14:09"/>
    <n v="-76.7230633333333"/>
    <n v="3.4795766666666701"/>
    <n v="2100"/>
    <m/>
    <x v="4"/>
    <n v="20"/>
    <n v="10"/>
    <m/>
    <x v="1"/>
    <m/>
    <x v="3"/>
    <x v="8"/>
    <m/>
    <s v="Bosque primario"/>
    <s v="Gustavo Rodriguez"/>
    <m/>
    <s v="Pristimantis gracilis"/>
    <n v="1"/>
    <m/>
    <m/>
    <m/>
    <s v="Ninguna"/>
    <m/>
    <m/>
  </r>
  <r>
    <d v="2019-10-19T00:00:00"/>
    <m/>
    <m/>
    <d v="1899-12-30T20:46:42"/>
    <n v="-76.722668333333303"/>
    <n v="3.4777749999999998"/>
    <n v="1989"/>
    <m/>
    <x v="4"/>
    <n v="25"/>
    <n v="15"/>
    <m/>
    <x v="1"/>
    <m/>
    <x v="1"/>
    <x v="8"/>
    <m/>
    <s v="Bosque primario"/>
    <s v="álvaro Javier fierro"/>
    <m/>
    <s v="Pristimantis silverstonei"/>
    <n v="1"/>
    <m/>
    <m/>
    <m/>
    <s v="Ninguna"/>
    <m/>
    <m/>
  </r>
  <r>
    <d v="2019-10-19T00:00:00"/>
    <m/>
    <m/>
    <d v="1899-12-30T21:36:01"/>
    <n v="-76.722880000000004"/>
    <n v="3.47874666666667"/>
    <n v="2100"/>
    <m/>
    <x v="4"/>
    <n v="25"/>
    <n v="12"/>
    <m/>
    <x v="1"/>
    <m/>
    <x v="2"/>
    <x v="8"/>
    <m/>
    <s v="Bosque primario"/>
    <s v="Gustavo Rodriguez"/>
    <m/>
    <s v="Pristimantis phalarus"/>
    <n v="1"/>
    <m/>
    <m/>
    <m/>
    <s v="Ninguna"/>
    <m/>
    <m/>
  </r>
  <r>
    <d v="2019-10-19T00:00:00"/>
    <m/>
    <m/>
    <d v="1899-12-30T21:36:01"/>
    <n v="-76.722880000000004"/>
    <n v="3.47874666666667"/>
    <n v="2100"/>
    <m/>
    <x v="4"/>
    <n v="22"/>
    <n v="12"/>
    <m/>
    <x v="1"/>
    <m/>
    <x v="2"/>
    <x v="8"/>
    <m/>
    <s v="Bosque primario"/>
    <s v="Gustavo Rodriguez"/>
    <m/>
    <s v="Pristimantis molybrignus"/>
    <n v="1"/>
    <m/>
    <m/>
    <m/>
    <s v="Ninguna"/>
    <m/>
    <m/>
  </r>
  <r>
    <d v="2019-10-19T00:00:00"/>
    <m/>
    <m/>
    <d v="1899-12-30T21:10:52"/>
    <n v="-76.722750000000005"/>
    <n v="3.4780783333333298"/>
    <n v="2100"/>
    <m/>
    <x v="4"/>
    <n v="25"/>
    <n v="15"/>
    <m/>
    <x v="1"/>
    <m/>
    <x v="2"/>
    <x v="8"/>
    <m/>
    <s v="Bosque primario"/>
    <s v="Álvaro Javier Fierro"/>
    <m/>
    <s v="Pristimantis alius"/>
    <n v="1"/>
    <m/>
    <m/>
    <m/>
    <s v="Ninguna"/>
    <m/>
    <m/>
  </r>
  <r>
    <d v="2019-10-19T00:00:00"/>
    <m/>
    <m/>
    <d v="1899-12-30T20:38:42"/>
    <n v="-76.722691666666705"/>
    <n v="3.4777316666666702"/>
    <n v="2005"/>
    <m/>
    <x v="4"/>
    <n v="20"/>
    <n v="12"/>
    <m/>
    <x v="1"/>
    <m/>
    <x v="1"/>
    <x v="8"/>
    <m/>
    <s v="Bosque primario"/>
    <s v="Gustavo Gonzales"/>
    <m/>
    <s v="Pristimantis phalarus"/>
    <n v="1"/>
    <m/>
    <m/>
    <m/>
    <s v="Ninguna"/>
    <m/>
    <m/>
  </r>
  <r>
    <d v="2019-10-19T00:00:00"/>
    <m/>
    <m/>
    <d v="1899-12-30T21:49:49"/>
    <n v="-76.722971666666695"/>
    <n v="3.4790000000000001"/>
    <n v="2100"/>
    <m/>
    <x v="4"/>
    <n v="22"/>
    <n v="12"/>
    <m/>
    <x v="1"/>
    <m/>
    <x v="2"/>
    <x v="8"/>
    <m/>
    <s v="Bosque primario"/>
    <s v="Gustavo Gonzales"/>
    <m/>
    <s v="Pristimantis gracilis"/>
    <n v="1"/>
    <m/>
    <m/>
    <m/>
    <s v="Ninguna"/>
    <m/>
    <m/>
  </r>
  <r>
    <d v="2019-10-19T00:00:00"/>
    <m/>
    <m/>
    <d v="1899-12-30T21:21:34"/>
    <n v="-76.722858333333306"/>
    <n v="3.47841666666667"/>
    <n v="2100"/>
    <m/>
    <x v="4"/>
    <n v="25"/>
    <n v="15"/>
    <m/>
    <x v="1"/>
    <m/>
    <x v="2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1:30:21"/>
    <n v="-76.722768333333306"/>
    <n v="3.4785849999999998"/>
    <n v="2127"/>
    <m/>
    <x v="4"/>
    <n v="25"/>
    <n v="12"/>
    <m/>
    <x v="1"/>
    <m/>
    <x v="2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1:30:21"/>
    <n v="-76.722768333333306"/>
    <n v="3.4785849999999998"/>
    <n v="2100"/>
    <m/>
    <x v="4"/>
    <n v="25"/>
    <n v="12"/>
    <m/>
    <x v="1"/>
    <m/>
    <x v="2"/>
    <x v="8"/>
    <m/>
    <s v="Bosque primario"/>
    <s v="Gustavo Gonzales"/>
    <m/>
    <s v="Hypodactylus mantipus"/>
    <n v="1"/>
    <m/>
    <m/>
    <m/>
    <s v="Ninguna"/>
    <m/>
    <m/>
  </r>
  <r>
    <d v="2019-10-19T00:00:00"/>
    <m/>
    <m/>
    <d v="1899-12-30T20:16:05"/>
    <n v="-76.722465"/>
    <n v="3.4774616666666698"/>
    <n v="2140"/>
    <n v="0"/>
    <x v="4"/>
    <n v="20"/>
    <n v="12"/>
    <m/>
    <x v="1"/>
    <m/>
    <x v="1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0:16:05"/>
    <n v="-76.722465"/>
    <n v="3.4774616666666698"/>
    <n v="2140"/>
    <n v="0"/>
    <x v="4"/>
    <m/>
    <n v="12"/>
    <m/>
    <x v="1"/>
    <m/>
    <x v="1"/>
    <x v="8"/>
    <m/>
    <s v="Bosque primario"/>
    <s v="Gustavo Gonzales"/>
    <m/>
    <s v="Bolitoglossa walkeri"/>
    <n v="1"/>
    <m/>
    <m/>
    <m/>
    <s v="Ninguna"/>
    <m/>
    <m/>
  </r>
  <r>
    <d v="2019-10-19T00:00:00"/>
    <m/>
    <m/>
    <d v="1899-12-30T20:16:05"/>
    <n v="-76.722465"/>
    <n v="3.4774616666666698"/>
    <n v="2140"/>
    <n v="0"/>
    <x v="4"/>
    <n v="22"/>
    <n v="10"/>
    <m/>
    <x v="1"/>
    <m/>
    <x v="1"/>
    <x v="8"/>
    <m/>
    <s v="Bosque primario"/>
    <s v="Gustavo Gonzales"/>
    <m/>
    <s v="Hypodactylus mantipus"/>
    <n v="1"/>
    <m/>
    <m/>
    <m/>
    <s v="Ninguna"/>
    <m/>
    <m/>
  </r>
  <r>
    <d v="2019-10-19T00:00:00"/>
    <m/>
    <m/>
    <d v="1899-12-30T20:16:05"/>
    <n v="-76.722465"/>
    <n v="3.4774616666666698"/>
    <n v="2140"/>
    <n v="0"/>
    <x v="4"/>
    <n v="22"/>
    <n v="12"/>
    <m/>
    <x v="1"/>
    <m/>
    <x v="1"/>
    <x v="8"/>
    <m/>
    <s v="Bosque primario"/>
    <s v="Gustavo Gonzales"/>
    <m/>
    <s v="Pristimantis phalarus"/>
    <n v="1"/>
    <m/>
    <m/>
    <m/>
    <s v="Ninguna"/>
    <m/>
    <m/>
  </r>
  <r>
    <d v="2019-10-19T00:00:00"/>
    <m/>
    <m/>
    <d v="1899-12-30T20:13:58"/>
    <n v="-76.722454999999997"/>
    <n v="3.4773433333333301"/>
    <n v="2140"/>
    <n v="0"/>
    <x v="4"/>
    <n v="22"/>
    <n v="12"/>
    <m/>
    <x v="1"/>
    <m/>
    <x v="1"/>
    <x v="8"/>
    <m/>
    <s v="Bosque primario"/>
    <s v="Álvaro Fierro"/>
    <m/>
    <s v="Pristimantis molybrignus"/>
    <n v="1"/>
    <s v="sobre Ciclantsceae"/>
    <m/>
    <m/>
    <s v="Ninguna"/>
    <m/>
    <m/>
  </r>
  <r>
    <d v="2019-10-19T00:00:00"/>
    <m/>
    <m/>
    <d v="1899-12-30T22:22:24"/>
    <n v="-76.723134999999999"/>
    <n v="3.47973"/>
    <n v="2100"/>
    <m/>
    <x v="4"/>
    <n v="20"/>
    <n v="10"/>
    <m/>
    <x v="1"/>
    <m/>
    <x v="3"/>
    <x v="8"/>
    <m/>
    <s v="Bosque primario"/>
    <s v="Gustavo Rodriguez"/>
    <m/>
    <s v="Pristimantis phalarus"/>
    <n v="1"/>
    <m/>
    <m/>
    <m/>
    <s v="Ninguna"/>
    <m/>
    <m/>
  </r>
  <r>
    <d v="2019-10-19T00:00:00"/>
    <m/>
    <m/>
    <d v="1899-12-30T20:30:53"/>
    <n v="-76.722528333333301"/>
    <n v="3.4776099999999999"/>
    <n v="2100"/>
    <n v="0"/>
    <x v="4"/>
    <n v="22"/>
    <n v="17"/>
    <m/>
    <x v="1"/>
    <m/>
    <x v="1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19:24:38"/>
    <n v="-76.722388333333299"/>
    <n v="3.4772650000000001"/>
    <n v="2140"/>
    <n v="0"/>
    <x v="4"/>
    <m/>
    <n v="15"/>
    <m/>
    <x v="1"/>
    <m/>
    <x v="1"/>
    <x v="8"/>
    <m/>
    <s v="Bosque primario"/>
    <s v="Álvaro Fierro"/>
    <m/>
    <s v="Pristimantis molybrignus"/>
    <n v="2"/>
    <s v="Amplexo"/>
    <m/>
    <m/>
    <s v="Ninguna"/>
    <m/>
    <m/>
  </r>
  <r>
    <d v="2019-10-19T00:00:00"/>
    <m/>
    <m/>
    <d v="1899-12-30T19:24:38"/>
    <n v="-76.722388333333299"/>
    <n v="3.4772650000000001"/>
    <n v="2140"/>
    <n v="0"/>
    <x v="4"/>
    <n v="25"/>
    <n v="15"/>
    <m/>
    <x v="1"/>
    <m/>
    <x v="1"/>
    <x v="8"/>
    <m/>
    <s v="Bosque primario"/>
    <s v="Gustavo Gonzales"/>
    <m/>
    <s v="Pristimantis boulengeri"/>
    <n v="1"/>
    <m/>
    <m/>
    <m/>
    <s v="Ninguna"/>
    <m/>
    <m/>
  </r>
  <r>
    <d v="2019-10-19T00:00:00"/>
    <m/>
    <m/>
    <d v="1899-12-30T19:24:38"/>
    <n v="-76.722388333333299"/>
    <n v="3.4772650000000001"/>
    <n v="2140"/>
    <n v="0"/>
    <x v="4"/>
    <n v="25"/>
    <n v="15"/>
    <m/>
    <x v="1"/>
    <m/>
    <x v="1"/>
    <x v="8"/>
    <m/>
    <s v="Bosque primario"/>
    <s v="álvaro Javier fierro"/>
    <m/>
    <s v="Hypodactylus mantipus"/>
    <n v="1"/>
    <m/>
    <m/>
    <m/>
    <s v="Ninguna"/>
    <m/>
    <m/>
  </r>
  <r>
    <d v="2019-10-19T00:00:00"/>
    <m/>
    <m/>
    <d v="1899-12-30T19:30:41"/>
    <n v="-76.722485000000006"/>
    <n v="3.4772966666666698"/>
    <n v="2140"/>
    <n v="0"/>
    <x v="4"/>
    <n v="28"/>
    <n v="15"/>
    <m/>
    <x v="1"/>
    <m/>
    <x v="1"/>
    <x v="8"/>
    <m/>
    <s v="Bosque primario"/>
    <s v="Gustavo Gonzales"/>
    <m/>
    <s v="Pristimantis phalarus"/>
    <n v="1"/>
    <m/>
    <m/>
    <m/>
    <s v="Ninguna"/>
    <m/>
    <m/>
  </r>
  <r>
    <d v="2019-10-19T00:00:00"/>
    <m/>
    <m/>
    <d v="1899-12-30T19:30:41"/>
    <n v="-76.722485000000006"/>
    <n v="3.4772966666666698"/>
    <n v="2140"/>
    <n v="0"/>
    <x v="4"/>
    <n v="25"/>
    <n v="15"/>
    <m/>
    <x v="1"/>
    <m/>
    <x v="1"/>
    <x v="8"/>
    <m/>
    <s v="Bosque primario"/>
    <s v="Gustavo Gonzales"/>
    <m/>
    <s v="Bolitoglossa walkeri"/>
    <n v="1"/>
    <m/>
    <m/>
    <m/>
    <s v="Ninguna"/>
    <m/>
    <m/>
  </r>
  <r>
    <d v="2019-10-19T00:00:00"/>
    <m/>
    <m/>
    <d v="1899-12-30T19:30:41"/>
    <n v="-76.722485000000006"/>
    <n v="3.4772966666666698"/>
    <n v="2140"/>
    <n v="0"/>
    <x v="4"/>
    <n v="25"/>
    <n v="15"/>
    <m/>
    <x v="1"/>
    <m/>
    <x v="1"/>
    <x v="8"/>
    <m/>
    <s v="Bosque primario"/>
    <m/>
    <m/>
    <s v="Ninguna"/>
    <n v="0"/>
    <s v="punto final transecto"/>
    <m/>
    <m/>
    <s v="Ninguna"/>
    <m/>
    <m/>
  </r>
  <r>
    <d v="2019-10-19T00:00:00"/>
    <m/>
    <m/>
    <d v="1899-12-30T19:30:41"/>
    <n v="-76.722485000000006"/>
    <n v="3.4772966666666698"/>
    <n v="2140"/>
    <n v="0"/>
    <x v="4"/>
    <n v="28"/>
    <n v="15"/>
    <m/>
    <x v="1"/>
    <m/>
    <x v="1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19:30:41"/>
    <n v="-76.722485000000006"/>
    <n v="3.4772966666666698"/>
    <n v="2140"/>
    <n v="0"/>
    <x v="4"/>
    <n v="28"/>
    <n v="15"/>
    <m/>
    <x v="1"/>
    <m/>
    <x v="1"/>
    <x v="8"/>
    <m/>
    <s v="Bosque primario"/>
    <s v="Gustavo Gonzales"/>
    <m/>
    <s v="Pristimantis molybrignus"/>
    <n v="1"/>
    <m/>
    <m/>
    <m/>
    <s v="Ninguna"/>
    <m/>
    <m/>
  </r>
  <r>
    <d v="2019-10-19T00:00:00"/>
    <m/>
    <m/>
    <d v="1899-12-30T21:00:37"/>
    <n v="-76.722741666666707"/>
    <n v="3.4779450000000001"/>
    <n v="1980"/>
    <m/>
    <x v="4"/>
    <n v="20"/>
    <n v="12"/>
    <m/>
    <x v="1"/>
    <m/>
    <x v="1"/>
    <x v="8"/>
    <m/>
    <s v="Bosque primario"/>
    <s v="Gustavo Gonzales"/>
    <m/>
    <s v="Pristimantis gracilis"/>
    <n v="1"/>
    <m/>
    <m/>
    <m/>
    <s v="Ninguna"/>
    <m/>
    <m/>
  </r>
  <r>
    <d v="2019-10-19T00:00:00"/>
    <m/>
    <m/>
    <d v="1899-12-30T21:00:37"/>
    <n v="-76.722741666666707"/>
    <n v="3.4779450000000001"/>
    <n v="1980"/>
    <m/>
    <x v="4"/>
    <n v="22"/>
    <n v="15"/>
    <m/>
    <x v="1"/>
    <m/>
    <x v="1"/>
    <x v="8"/>
    <m/>
    <s v="Bosque primario"/>
    <s v="Gustavo Gonzales"/>
    <m/>
    <s v="Pristimantis molybrignus"/>
    <n v="1"/>
    <m/>
    <m/>
    <m/>
    <s v="Ninguna"/>
    <m/>
    <m/>
  </r>
  <r>
    <d v="2019-11-09T00:00:00"/>
    <m/>
    <m/>
    <d v="1899-12-30T20:54:25"/>
    <n v="-76.647082668206195"/>
    <n v="3.3488794708523599"/>
    <n v="2422"/>
    <n v="0.5"/>
    <x v="4"/>
    <n v="12"/>
    <n v="5"/>
    <m/>
    <x v="2"/>
    <m/>
    <x v="0"/>
    <x v="11"/>
    <m/>
    <s v="Bosque secundario"/>
    <m/>
    <m/>
    <s v="Ninguna"/>
    <n v="0"/>
    <s v="punto inicial"/>
    <m/>
    <m/>
    <s v="Ninguna"/>
    <m/>
    <m/>
  </r>
  <r>
    <d v="2019-11-09T00:00:00"/>
    <m/>
    <m/>
    <d v="1899-12-30T21:29:49"/>
    <n v="-76.647207729910406"/>
    <n v="3.3484251608551601"/>
    <n v="2396"/>
    <n v="1"/>
    <x v="4"/>
    <n v="8"/>
    <n v="9"/>
    <m/>
    <x v="2"/>
    <m/>
    <x v="0"/>
    <x v="11"/>
    <m/>
    <s v="Bosque secundario"/>
    <m/>
    <m/>
    <s v="Ninguna"/>
    <n v="0"/>
    <s v="punto final"/>
    <m/>
    <m/>
    <s v="Ninguna"/>
    <m/>
    <m/>
  </r>
  <r>
    <d v="2019-11-09T00:00:00"/>
    <m/>
    <m/>
    <d v="1899-12-30T20:47:59"/>
    <n v="-76.647080475924895"/>
    <n v="3.3489414414455898"/>
    <n v="2400"/>
    <n v="0.5"/>
    <x v="4"/>
    <n v="15"/>
    <n v="8"/>
    <m/>
    <x v="2"/>
    <m/>
    <x v="0"/>
    <x v="11"/>
    <m/>
    <s v="Bosque secundario"/>
    <m/>
    <m/>
    <s v="Ninguna"/>
    <n v="0"/>
    <s v="punto final"/>
    <m/>
    <m/>
    <s v="Ninguna"/>
    <m/>
    <m/>
  </r>
  <r>
    <d v="2019-11-09T00:00:00"/>
    <m/>
    <m/>
    <d v="1899-12-30T20:08:31"/>
    <n v="-76.647081889128401"/>
    <n v="3.34964571847713"/>
    <n v="2425"/>
    <n v="0"/>
    <x v="4"/>
    <n v="10"/>
    <n v="10"/>
    <m/>
    <x v="2"/>
    <m/>
    <x v="1"/>
    <x v="11"/>
    <m/>
    <s v="Bosque secundario"/>
    <m/>
    <m/>
    <s v="Ninguna"/>
    <n v="0"/>
    <s v="punto de inicio"/>
    <m/>
    <m/>
    <s v="Ninguna"/>
    <m/>
    <m/>
  </r>
  <r>
    <d v="2019-11-10T00:00:00"/>
    <m/>
    <m/>
    <d v="1899-12-30T21:01:31"/>
    <n v="-76.645267013155703"/>
    <n v="3.3496489541684098"/>
    <n v="2441"/>
    <n v="0"/>
    <x v="4"/>
    <n v="5"/>
    <n v="5"/>
    <m/>
    <x v="2"/>
    <m/>
    <x v="3"/>
    <x v="11"/>
    <m/>
    <s v="Bosque secundario"/>
    <m/>
    <m/>
    <s v="Ninguna"/>
    <n v="0"/>
    <s v="punto inicial t2"/>
    <m/>
    <m/>
    <s v="Ninguna"/>
    <m/>
    <m/>
  </r>
  <r>
    <d v="2019-11-10T00:00:00"/>
    <m/>
    <m/>
    <d v="1899-12-30T20:08:15"/>
    <n v="-76.646587419012505"/>
    <n v="3.3497931231255098"/>
    <n v="2450"/>
    <m/>
    <x v="4"/>
    <n v="8"/>
    <n v="12"/>
    <m/>
    <x v="2"/>
    <m/>
    <x v="2"/>
    <x v="11"/>
    <m/>
    <s v="Bosque secundario"/>
    <s v="Álvaro Javier"/>
    <m/>
    <s v="Pristimantis erythropleura"/>
    <n v="1"/>
    <m/>
    <m/>
    <m/>
    <s v="Ninguna"/>
    <m/>
    <m/>
  </r>
  <r>
    <d v="2019-11-10T00:00:00"/>
    <m/>
    <m/>
    <d v="1899-12-30T21:59:13"/>
    <n v="-76.644214675993894"/>
    <n v="3.34957670533313"/>
    <n v="2500"/>
    <n v="0"/>
    <x v="4"/>
    <n v="20"/>
    <n v="5"/>
    <m/>
    <x v="2"/>
    <m/>
    <x v="0"/>
    <x v="10"/>
    <m/>
    <s v="Bosque secundario"/>
    <s v="Eider Montaño"/>
    <m/>
    <s v="Pristimantis aff quimbaya"/>
    <n v="1"/>
    <m/>
    <m/>
    <m/>
    <s v="Ninguna"/>
    <m/>
    <m/>
  </r>
  <r>
    <d v="2019-11-10T00:00:00"/>
    <m/>
    <m/>
    <d v="1899-12-30T19:52:17"/>
    <n v="-76.646859231749403"/>
    <n v="3.3498731844679499"/>
    <n v="2439"/>
    <m/>
    <x v="4"/>
    <n v="6"/>
    <n v="8"/>
    <m/>
    <x v="2"/>
    <m/>
    <x v="2"/>
    <x v="11"/>
    <m/>
    <s v="Bosque secundario"/>
    <s v="alvaro Javier"/>
    <m/>
    <s v="Pristimantis erythropleura"/>
    <n v="1"/>
    <s v="macho juvenil. punto inicial"/>
    <m/>
    <m/>
    <s v="Ninguna"/>
    <m/>
    <m/>
  </r>
  <r>
    <d v="2019-11-10T00:00:00"/>
    <m/>
    <m/>
    <d v="1899-12-30T22:26:34"/>
    <n v="-76.643782609294007"/>
    <n v="3.3495761703825102"/>
    <n v="2430"/>
    <n v="0"/>
    <x v="4"/>
    <n v="18"/>
    <n v="10"/>
    <m/>
    <x v="2"/>
    <m/>
    <x v="0"/>
    <x v="10"/>
    <m/>
    <s v="Bosque secundario"/>
    <s v="Eider Montaño"/>
    <m/>
    <s v="Pristimantis calcaratus"/>
    <n v="2"/>
    <m/>
    <m/>
    <m/>
    <s v="Ninguna"/>
    <m/>
    <m/>
  </r>
  <r>
    <d v="2019-11-10T00:00:00"/>
    <m/>
    <m/>
    <d v="1899-12-30T22:26:34"/>
    <n v="-76.643782609294007"/>
    <n v="3.3495761703825102"/>
    <n v="2443"/>
    <n v="0"/>
    <x v="4"/>
    <n v="18"/>
    <n v="10"/>
    <m/>
    <x v="2"/>
    <m/>
    <x v="0"/>
    <x v="10"/>
    <m/>
    <s v="Bosque secundario"/>
    <m/>
    <m/>
    <s v="Ninguna"/>
    <n v="0"/>
    <s v="punto final"/>
    <m/>
    <m/>
    <s v="Ninguna"/>
    <m/>
    <m/>
  </r>
  <r>
    <d v="2019-11-10T00:00:00"/>
    <m/>
    <m/>
    <d v="1899-12-30T20:19:21"/>
    <n v="-76.646461576758995"/>
    <n v="3.3498395216685699"/>
    <n v="2500"/>
    <m/>
    <x v="4"/>
    <n v="3"/>
    <n v="15"/>
    <m/>
    <x v="2"/>
    <m/>
    <x v="2"/>
    <x v="11"/>
    <m/>
    <s v="Bosque secundario"/>
    <s v="Dannythza moná"/>
    <m/>
    <s v="Pristimantis erythropleura"/>
    <n v="1"/>
    <s v="macho"/>
    <m/>
    <m/>
    <s v="Ninguna"/>
    <m/>
    <m/>
  </r>
  <r>
    <d v="2019-11-10T00:00:00"/>
    <m/>
    <m/>
    <d v="1899-12-30T21:42:00"/>
    <n v="-76.644415806695406"/>
    <n v="3.3495784893787399"/>
    <n v="2449"/>
    <n v="0"/>
    <x v="4"/>
    <n v="12"/>
    <n v="5"/>
    <m/>
    <x v="2"/>
    <m/>
    <x v="0"/>
    <x v="10"/>
    <m/>
    <s v="Bosque secundario"/>
    <m/>
    <m/>
    <s v="Ninguna"/>
    <n v="0"/>
    <s v="punto inicial t3 bosque Corea"/>
    <m/>
    <m/>
    <s v="Ninguna"/>
    <m/>
    <m/>
  </r>
  <r>
    <d v="2019-11-10T00:00:00"/>
    <m/>
    <m/>
    <d v="1899-12-30T23:13:35"/>
    <n v="-76.643242808036604"/>
    <n v="3.3494583423089801"/>
    <n v="2440"/>
    <n v="0"/>
    <x v="4"/>
    <n v="15"/>
    <n v="7"/>
    <m/>
    <x v="2"/>
    <m/>
    <x v="1"/>
    <x v="10"/>
    <m/>
    <s v="Bosque secundario"/>
    <m/>
    <m/>
    <s v="Ninguna"/>
    <n v="0"/>
    <s v="punto final"/>
    <m/>
    <m/>
    <s v="Ninguna"/>
    <m/>
    <m/>
  </r>
  <r>
    <d v="2019-11-10T00:00:00"/>
    <m/>
    <m/>
    <d v="1899-12-30T21:47:16"/>
    <n v="-76.644358196567097"/>
    <n v="3.34954598037252"/>
    <n v="2449"/>
    <n v="0"/>
    <x v="4"/>
    <n v="20"/>
    <n v="5"/>
    <m/>
    <x v="2"/>
    <m/>
    <x v="0"/>
    <x v="10"/>
    <m/>
    <s v="Bosque secundario"/>
    <s v="Alvaro Javier"/>
    <m/>
    <s v="Pristimantis calcaratus"/>
    <n v="1"/>
    <m/>
    <m/>
    <s v="tala selectiva en años anteriores"/>
    <s v="Ninguna"/>
    <m/>
    <m/>
  </r>
  <r>
    <d v="2019-11-10T00:00:00"/>
    <m/>
    <m/>
    <d v="1899-12-30T21:26:57"/>
    <n v="-76.644634952030103"/>
    <n v="3.3496236358240399"/>
    <n v="2450"/>
    <n v="0"/>
    <x v="4"/>
    <n v="6"/>
    <n v="5"/>
    <m/>
    <x v="2"/>
    <m/>
    <x v="3"/>
    <x v="11"/>
    <m/>
    <s v="Bosque secundario"/>
    <s v="Alvaro Javier"/>
    <m/>
    <s v="Pristimantis aff quimbaya"/>
    <n v="1"/>
    <s v="punto final"/>
    <m/>
    <m/>
    <s v="Ninguna"/>
    <m/>
    <m/>
  </r>
  <r>
    <d v="2019-11-10T00:00:00"/>
    <m/>
    <m/>
    <d v="1899-12-30T21:40:35"/>
    <n v="-76.644377603282607"/>
    <n v="3.3495202009760701"/>
    <n v="2449"/>
    <n v="0"/>
    <x v="4"/>
    <n v="12"/>
    <n v="5"/>
    <m/>
    <x v="2"/>
    <m/>
    <x v="0"/>
    <x v="10"/>
    <m/>
    <s v="Bosque secundario"/>
    <m/>
    <m/>
    <s v="Ninguna"/>
    <n v="0"/>
    <s v="punto inicial"/>
    <m/>
    <m/>
    <s v="Ninguna"/>
    <m/>
    <m/>
  </r>
  <r>
    <d v="2019-11-10T00:00:00"/>
    <m/>
    <m/>
    <d v="1899-12-30T22:42:09"/>
    <n v="-76.643754051666207"/>
    <n v="3.34941648004517"/>
    <n v="2449"/>
    <n v="0"/>
    <x v="4"/>
    <n v="15"/>
    <n v="15"/>
    <m/>
    <x v="2"/>
    <m/>
    <x v="0"/>
    <x v="10"/>
    <m/>
    <s v="Bosque secundario"/>
    <m/>
    <m/>
    <s v="Ninguna"/>
    <n v="0"/>
    <s v="punto inicial t4"/>
    <m/>
    <m/>
    <s v="Ninguna"/>
    <m/>
    <m/>
  </r>
  <r>
    <d v="2019-11-10T00:00:00"/>
    <m/>
    <m/>
    <d v="1899-12-30T20:36:03"/>
    <n v="-76.6463014310566"/>
    <n v="3.3497471836928101"/>
    <n v="2480"/>
    <m/>
    <x v="4"/>
    <n v="4"/>
    <n v="15"/>
    <m/>
    <x v="2"/>
    <m/>
    <x v="2"/>
    <x v="11"/>
    <m/>
    <s v="Bosque secundario"/>
    <m/>
    <m/>
    <s v="Ninguna"/>
    <n v="0"/>
    <s v="punto final t1"/>
    <m/>
    <m/>
    <s v="Ninguna"/>
    <m/>
    <m/>
  </r>
  <r>
    <d v="2019-11-11T00:00:00"/>
    <m/>
    <m/>
    <d v="1899-12-30T19:24:57"/>
    <n v="-76.656500202685606"/>
    <n v="3.3550414326182101"/>
    <n v="2586"/>
    <n v="0"/>
    <x v="4"/>
    <n v="18"/>
    <n v="5"/>
    <m/>
    <x v="2"/>
    <m/>
    <x v="1"/>
    <x v="14"/>
    <m/>
    <s v="Bosque secundario"/>
    <m/>
    <m/>
    <s v="Ninguna"/>
    <n v="0"/>
    <s v="PUNTO INICIAL"/>
    <m/>
    <m/>
    <s v="Ninguna"/>
    <m/>
    <m/>
  </r>
  <r>
    <d v="2019-11-11T00:00:00"/>
    <m/>
    <m/>
    <d v="1899-12-30T20:19:14"/>
    <n v="-76.655825037952198"/>
    <n v="3.3546662133532301"/>
    <n v="2600"/>
    <n v="0"/>
    <x v="4"/>
    <n v="13"/>
    <n v="10"/>
    <m/>
    <x v="2"/>
    <m/>
    <x v="1"/>
    <x v="14"/>
    <m/>
    <s v="Bosque secundario"/>
    <m/>
    <m/>
    <s v="Ninguna"/>
    <n v="0"/>
    <s v="PUNTO FINAL T1"/>
    <m/>
    <m/>
    <s v="Ninguna"/>
    <m/>
    <m/>
  </r>
  <r>
    <d v="2019-11-11T00:00:00"/>
    <m/>
    <m/>
    <d v="1899-12-30T20:19:14"/>
    <n v="-76.655825037952198"/>
    <n v="3.3546662133532301"/>
    <n v="2600"/>
    <n v="0"/>
    <x v="4"/>
    <n v="13"/>
    <n v="10"/>
    <m/>
    <x v="2"/>
    <m/>
    <x v="1"/>
    <x v="14"/>
    <m/>
    <s v="Bosque secundario"/>
    <s v="Dannythza moná"/>
    <m/>
    <s v="Pristimantis acatallelus"/>
    <n v="1"/>
    <s v="PUNTO FINAL T1"/>
    <m/>
    <m/>
    <s v="Ninguna"/>
    <m/>
    <m/>
  </r>
  <r>
    <d v="2019-11-11T00:00:00"/>
    <m/>
    <m/>
    <d v="1899-12-30T20:19:14"/>
    <n v="-76.655825037952198"/>
    <n v="3.3546662133532301"/>
    <n v="2600"/>
    <n v="0"/>
    <x v="4"/>
    <n v="13"/>
    <n v="10"/>
    <m/>
    <x v="2"/>
    <m/>
    <x v="1"/>
    <x v="14"/>
    <m/>
    <s v="Bosque secundario"/>
    <s v="Alvaro Javier"/>
    <m/>
    <s v="Pristimantis acatallelus"/>
    <n v="1"/>
    <m/>
    <m/>
    <m/>
    <s v="Ninguna"/>
    <m/>
    <m/>
  </r>
  <r>
    <d v="2019-11-11T00:00:00"/>
    <m/>
    <m/>
    <d v="1899-12-30T20:19:14"/>
    <n v="-76.655825037952198"/>
    <n v="3.3546662133532301"/>
    <n v="2480"/>
    <n v="0"/>
    <x v="4"/>
    <n v="15"/>
    <n v="10"/>
    <m/>
    <x v="2"/>
    <m/>
    <x v="1"/>
    <x v="14"/>
    <m/>
    <s v="Bosque secundario"/>
    <s v="Álvaro javier"/>
    <m/>
    <s v="Pristimantis brevifrons"/>
    <n v="1"/>
    <m/>
    <m/>
    <m/>
    <s v="Ninguna"/>
    <m/>
    <m/>
  </r>
  <r>
    <d v="2019-11-11T00:00:00"/>
    <m/>
    <m/>
    <d v="1899-12-30T22:12:19"/>
    <n v="-76.653324354943095"/>
    <n v="3.35336458608987"/>
    <n v="2503"/>
    <n v="0"/>
    <x v="4"/>
    <n v="12"/>
    <n v="15"/>
    <m/>
    <x v="2"/>
    <m/>
    <x v="4"/>
    <x v="13"/>
    <m/>
    <s v="Bosque secundario"/>
    <m/>
    <m/>
    <s v="Ninguna"/>
    <n v="0"/>
    <s v="PUNTO FINAL T3"/>
    <m/>
    <m/>
    <s v="Ninguna"/>
    <m/>
    <m/>
  </r>
  <r>
    <d v="2019-11-11T00:00:00"/>
    <m/>
    <m/>
    <d v="1899-12-30T21:22:22"/>
    <n v="-76.6551908547236"/>
    <n v="3.3539790168830899"/>
    <n v="2590"/>
    <n v="0"/>
    <x v="4"/>
    <n v="10"/>
    <n v="15"/>
    <m/>
    <x v="2"/>
    <m/>
    <x v="0"/>
    <x v="14"/>
    <m/>
    <s v="Bosque secundario"/>
    <s v="Alvaro Javier"/>
    <m/>
    <s v="Pristimantis acatallelus"/>
    <n v="1"/>
    <s v="macho"/>
    <m/>
    <m/>
    <s v="Ninguna"/>
    <m/>
    <m/>
  </r>
  <r>
    <d v="2019-11-11T00:00:00"/>
    <m/>
    <m/>
    <d v="1899-12-30T21:13:53"/>
    <n v="-76.655448981404405"/>
    <n v="3.3541432947293801"/>
    <n v="2600"/>
    <n v="0"/>
    <x v="4"/>
    <n v="9"/>
    <n v="5"/>
    <m/>
    <x v="2"/>
    <m/>
    <x v="0"/>
    <x v="14"/>
    <m/>
    <s v="Bosque secundario"/>
    <s v="Alvaro Javier"/>
    <m/>
    <s v="Pristimantis acatallelus"/>
    <n v="1"/>
    <m/>
    <m/>
    <m/>
    <s v="Ninguna"/>
    <m/>
    <m/>
  </r>
  <r>
    <d v="2019-11-11T00:00:00"/>
    <m/>
    <m/>
    <d v="1899-12-30T20:33:22"/>
    <n v="-76.655694487928898"/>
    <n v="3.3544691135718399"/>
    <n v="2500"/>
    <n v="0"/>
    <x v="4"/>
    <n v="5"/>
    <n v="8"/>
    <m/>
    <x v="2"/>
    <m/>
    <x v="0"/>
    <x v="14"/>
    <m/>
    <s v="Bosque secundario"/>
    <m/>
    <m/>
    <s v="Ninguna"/>
    <n v="0"/>
    <s v="PUNTO INICIAL T2"/>
    <m/>
    <m/>
    <s v="Ninguna"/>
    <m/>
    <m/>
  </r>
  <r>
    <d v="2019-11-11T00:00:00"/>
    <m/>
    <m/>
    <d v="1899-12-30T22:54:13"/>
    <n v="-76.651871505806895"/>
    <n v="3.3532417483226902"/>
    <n v="2526"/>
    <n v="0"/>
    <x v="4"/>
    <n v="18"/>
    <n v="18"/>
    <m/>
    <x v="2"/>
    <m/>
    <x v="3"/>
    <x v="13"/>
    <m/>
    <s v="Bosque secundario"/>
    <m/>
    <m/>
    <s v="Ninguna"/>
    <n v="0"/>
    <s v="PUNTO FINAL T4"/>
    <m/>
    <m/>
    <s v="Ninguna"/>
    <m/>
    <m/>
  </r>
  <r>
    <d v="2019-11-11T00:00:00"/>
    <m/>
    <m/>
    <d v="1899-12-30T21:05:55"/>
    <n v="-76.655468560588005"/>
    <n v="3.3542101363388199"/>
    <n v="2560"/>
    <n v="0"/>
    <x v="4"/>
    <n v="7"/>
    <n v="15"/>
    <m/>
    <x v="2"/>
    <m/>
    <x v="0"/>
    <x v="14"/>
    <m/>
    <s v="Bosque secundario"/>
    <s v="Alvaro Javier"/>
    <m/>
    <s v="Pristimantis acatallelus"/>
    <n v="1"/>
    <m/>
    <m/>
    <m/>
    <s v="Ninguna"/>
    <m/>
    <m/>
  </r>
  <r>
    <d v="2019-11-11T00:00:00"/>
    <m/>
    <m/>
    <d v="1899-12-30T20:56:45"/>
    <n v="-76.655670752264001"/>
    <n v="3.3542365177371001"/>
    <n v="2580"/>
    <n v="0"/>
    <x v="4"/>
    <n v="15"/>
    <n v="5"/>
    <m/>
    <x v="2"/>
    <m/>
    <x v="0"/>
    <x v="14"/>
    <m/>
    <s v="Bosque secundario"/>
    <s v="Eider Montaño"/>
    <m/>
    <s v="Pristimantis acatallelus"/>
    <n v="1"/>
    <m/>
    <m/>
    <m/>
    <s v="Ninguna"/>
    <m/>
    <m/>
  </r>
  <r>
    <d v="2019-11-11T00:00:00"/>
    <m/>
    <m/>
    <d v="1899-12-30T21:39:43"/>
    <n v="-76.654579684636005"/>
    <n v="3.3537161475125901"/>
    <n v="2565"/>
    <n v="0"/>
    <x v="4"/>
    <n v="5"/>
    <n v="5"/>
    <m/>
    <x v="2"/>
    <m/>
    <x v="0"/>
    <x v="14"/>
    <m/>
    <s v="Bosque secundario"/>
    <m/>
    <m/>
    <s v="Ninguna"/>
    <n v="0"/>
    <s v="PUNTO INICIAL T3"/>
    <m/>
    <m/>
    <s v="Ninguna"/>
    <m/>
    <m/>
  </r>
  <r>
    <d v="2019-11-11T00:00:00"/>
    <m/>
    <m/>
    <d v="1899-12-30T22:30:09"/>
    <n v="-76.6527996344455"/>
    <n v="3.35359693598999"/>
    <n v="2530"/>
    <n v="0"/>
    <x v="4"/>
    <n v="12"/>
    <n v="5"/>
    <m/>
    <x v="2"/>
    <m/>
    <x v="3"/>
    <x v="13"/>
    <m/>
    <s v="Bosque secundario"/>
    <s v="Dannythza Moná"/>
    <m/>
    <s v="Pristimantis acatallelus"/>
    <n v="1"/>
    <s v="juvenil"/>
    <m/>
    <m/>
    <s v="Ninguna"/>
    <m/>
    <m/>
  </r>
  <r>
    <d v="2019-11-11T00:00:00"/>
    <m/>
    <m/>
    <d v="1899-12-30T21:31:23"/>
    <n v="-76.655121635713002"/>
    <n v="3.3538548736179101"/>
    <n v="2580"/>
    <n v="0"/>
    <x v="4"/>
    <n v="15"/>
    <n v="18"/>
    <m/>
    <x v="2"/>
    <m/>
    <x v="0"/>
    <x v="14"/>
    <m/>
    <s v="Bosque secundario"/>
    <m/>
    <m/>
    <s v="Ninguna"/>
    <n v="0"/>
    <s v="PUNTO FINAL T2"/>
    <m/>
    <m/>
    <s v="Ninguna"/>
    <m/>
    <m/>
  </r>
  <r>
    <d v="2019-11-11T00:00:00"/>
    <m/>
    <m/>
    <d v="1899-12-30T23:30:28"/>
    <n v="-76.649814883239699"/>
    <n v="3.3527553062339899"/>
    <n v="2498"/>
    <n v="0"/>
    <x v="4"/>
    <n v="15"/>
    <n v="5"/>
    <m/>
    <x v="2"/>
    <m/>
    <x v="2"/>
    <x v="13"/>
    <m/>
    <s v="Bosque secundario"/>
    <s v="Avaro Javier"/>
    <m/>
    <s v="Pristimantis acatallelus"/>
    <n v="1"/>
    <s v="PUNTO FINAL T5"/>
    <m/>
    <m/>
    <s v="Ninguna"/>
    <m/>
    <m/>
  </r>
  <r>
    <d v="2019-11-11T00:00:00"/>
    <m/>
    <m/>
    <d v="1899-12-30T20:04:45"/>
    <n v="-76.655855731629501"/>
    <n v="3.3547163411789298"/>
    <n v="2500"/>
    <n v="0"/>
    <x v="4"/>
    <n v="13"/>
    <n v="6"/>
    <m/>
    <x v="2"/>
    <m/>
    <x v="1"/>
    <x v="14"/>
    <m/>
    <s v="Bosque secundario"/>
    <s v="Alvari Javier"/>
    <m/>
    <s v="Pristimantis brevifrons"/>
    <n v="1"/>
    <s v="transecto 1"/>
    <m/>
    <m/>
    <s v="Ninguna"/>
    <m/>
    <m/>
  </r>
  <r>
    <d v="2019-11-11T00:00:00"/>
    <m/>
    <m/>
    <d v="1899-12-30T22:20:36"/>
    <n v="-76.652945197237599"/>
    <n v="3.3533195088020098"/>
    <n v="2540"/>
    <n v="0"/>
    <x v="4"/>
    <n v="10"/>
    <n v="15"/>
    <m/>
    <x v="2"/>
    <m/>
    <x v="4"/>
    <x v="13"/>
    <m/>
    <s v="Bosque secundario"/>
    <m/>
    <m/>
    <s v="Ninguna"/>
    <n v="0"/>
    <s v="PUNTO UNICIAL T4"/>
    <m/>
    <m/>
    <s v="Ninguna"/>
    <m/>
    <m/>
  </r>
  <r>
    <d v="2019-11-11T00:00:00"/>
    <m/>
    <m/>
    <d v="1899-12-30T23:02:25"/>
    <n v="-76.651447817168304"/>
    <n v="3.3532232857936801"/>
    <n v="2517"/>
    <n v="0"/>
    <x v="4"/>
    <n v="18"/>
    <n v="5"/>
    <m/>
    <x v="2"/>
    <m/>
    <x v="3"/>
    <x v="13"/>
    <m/>
    <s v="Bosque secundario"/>
    <m/>
    <m/>
    <s v="Ninguna"/>
    <n v="0"/>
    <s v="PUNTO INICIAL T5"/>
    <m/>
    <m/>
    <s v="Ninguna"/>
    <m/>
    <m/>
  </r>
  <r>
    <d v="2019-11-11T00:00:00"/>
    <m/>
    <m/>
    <d v="1899-12-30T20:45:08"/>
    <n v="-76.655749567570794"/>
    <n v="3.35434526837021"/>
    <n v="2600"/>
    <n v="0"/>
    <x v="4"/>
    <m/>
    <n v="10"/>
    <m/>
    <x v="2"/>
    <m/>
    <x v="0"/>
    <x v="14"/>
    <m/>
    <s v="Bosque secundario"/>
    <s v="Dannythza Moná"/>
    <m/>
    <s v="Pristimantis acatallelus"/>
    <n v="2"/>
    <m/>
    <m/>
    <m/>
    <s v="Ninguna"/>
    <m/>
    <m/>
  </r>
  <r>
    <d v="2019-11-16T00:00:00"/>
    <m/>
    <m/>
    <d v="1899-12-30T21:08:57"/>
    <n v="-76.892519626766003"/>
    <n v="3.5954920990309698"/>
    <n v="599"/>
    <m/>
    <x v="4"/>
    <n v="18"/>
    <n v="16"/>
    <m/>
    <x v="0"/>
    <m/>
    <x v="1"/>
    <x v="0"/>
    <m/>
    <s v="Bosque primario"/>
    <s v="alvaro Fierro"/>
    <m/>
    <s v="Pristimantis achatinus"/>
    <n v="2"/>
    <s v="pareja"/>
    <m/>
    <m/>
    <s v="Ninguna"/>
    <m/>
    <m/>
  </r>
  <r>
    <d v="2019-11-16T00:00:00"/>
    <m/>
    <m/>
    <d v="1899-12-30T20:32:38"/>
    <n v="-76.892283252003807"/>
    <n v="3.59565897419562"/>
    <n v="598"/>
    <m/>
    <x v="4"/>
    <n v="15"/>
    <n v="20"/>
    <m/>
    <x v="0"/>
    <m/>
    <x v="1"/>
    <x v="0"/>
    <m/>
    <s v="Bosque secundario"/>
    <m/>
    <m/>
    <s v="Ninguna"/>
    <n v="0"/>
    <s v="pf"/>
    <m/>
    <m/>
    <s v="Ninguna"/>
    <m/>
    <m/>
  </r>
  <r>
    <d v="2019-11-16T00:00:00"/>
    <m/>
    <m/>
    <d v="1899-12-30T21:16:28"/>
    <n v="-76.892568732481394"/>
    <n v="3.5955185240818799"/>
    <n v="600"/>
    <m/>
    <x v="4"/>
    <n v="25"/>
    <n v="10"/>
    <m/>
    <x v="0"/>
    <m/>
    <x v="1"/>
    <x v="0"/>
    <m/>
    <s v="Bosque primario"/>
    <s v="Alvaro Fierro"/>
    <m/>
    <s v="Craugastor raniformis"/>
    <n v="1"/>
    <m/>
    <m/>
    <m/>
    <s v="Ninguna"/>
    <m/>
    <m/>
  </r>
  <r>
    <d v="2019-11-16T00:00:00"/>
    <m/>
    <m/>
    <d v="1899-12-30T21:16:28"/>
    <n v="-76.892568732481394"/>
    <n v="3.5955185240818799"/>
    <n v="600"/>
    <m/>
    <x v="4"/>
    <n v="25"/>
    <n v="10"/>
    <m/>
    <x v="0"/>
    <m/>
    <x v="1"/>
    <x v="0"/>
    <m/>
    <s v="Bosque primario"/>
    <s v="alvaro Fierro"/>
    <m/>
    <s v="Craugastor raniformis"/>
    <n v="1"/>
    <m/>
    <m/>
    <m/>
    <s v="Ninguna"/>
    <m/>
    <m/>
  </r>
  <r>
    <d v="2019-11-16T00:00:00"/>
    <m/>
    <m/>
    <d v="1899-12-30T20:52:38"/>
    <n v="-76.892493382465702"/>
    <n v="3.59552470491096"/>
    <n v="572"/>
    <m/>
    <x v="4"/>
    <n v="20"/>
    <m/>
    <m/>
    <x v="0"/>
    <m/>
    <x v="1"/>
    <x v="0"/>
    <m/>
    <s v="Bosque secundario"/>
    <s v="Gustavo Rodriguez"/>
    <m/>
    <s v="Craugastor raniformis"/>
    <n v="1"/>
    <m/>
    <m/>
    <m/>
    <s v="Ninguna"/>
    <m/>
    <m/>
  </r>
  <r>
    <d v="2019-11-16T00:00:00"/>
    <m/>
    <m/>
    <d v="1899-12-30T20:01:30"/>
    <n v="-76.892138089579603"/>
    <n v="3.5950463339044001"/>
    <n v="597"/>
    <m/>
    <x v="4"/>
    <n v="25"/>
    <n v="15"/>
    <m/>
    <x v="0"/>
    <m/>
    <x v="0"/>
    <x v="0"/>
    <m/>
    <s v="Bosque secundario"/>
    <s v="Guillermo Guerrero"/>
    <m/>
    <s v="Craugastor raniformis"/>
    <n v="1"/>
    <m/>
    <m/>
    <m/>
    <s v="Ninguna"/>
    <m/>
    <m/>
  </r>
  <r>
    <d v="2019-11-16T00:00:00"/>
    <m/>
    <m/>
    <d v="1899-12-30T20:01:30"/>
    <n v="-76.892138089579603"/>
    <n v="3.5950463339044001"/>
    <n v="596"/>
    <m/>
    <x v="4"/>
    <n v="20"/>
    <n v="15"/>
    <m/>
    <x v="0"/>
    <m/>
    <x v="0"/>
    <x v="0"/>
    <m/>
    <s v="Bosque secundario"/>
    <s v="Gustavo Rodriguez"/>
    <m/>
    <s v="Craugastor raniformis"/>
    <n v="1"/>
    <m/>
    <m/>
    <m/>
    <s v="Ninguna"/>
    <m/>
    <m/>
  </r>
  <r>
    <d v="2019-11-16T00:00:00"/>
    <m/>
    <m/>
    <d v="1899-12-30T20:01:30"/>
    <n v="-76.892138089579603"/>
    <n v="3.5950463339044001"/>
    <n v="594"/>
    <m/>
    <x v="4"/>
    <n v="25"/>
    <n v="15"/>
    <m/>
    <x v="0"/>
    <m/>
    <x v="0"/>
    <x v="0"/>
    <m/>
    <s v="Bosque secundario"/>
    <s v="Dannythza Mona"/>
    <m/>
    <s v="Craugastor raniformis"/>
    <n v="1"/>
    <m/>
    <m/>
    <m/>
    <s v="Ninguna"/>
    <m/>
    <m/>
  </r>
  <r>
    <d v="2019-11-16T00:00:00"/>
    <m/>
    <m/>
    <d v="1899-12-30T22:35:57"/>
    <n v="-76.888735343661807"/>
    <n v="3.5971203910936098"/>
    <n v="590"/>
    <m/>
    <x v="4"/>
    <n v="30"/>
    <n v="11"/>
    <m/>
    <x v="0"/>
    <m/>
    <x v="3"/>
    <x v="0"/>
    <m/>
    <s v="Bosque secundario"/>
    <s v="Gustavo Rodriguez"/>
    <m/>
    <s v="Craugastor raniformis"/>
    <n v="1"/>
    <s v="pi t4 Riqueza"/>
    <m/>
    <m/>
    <s v="Vías"/>
    <m/>
    <m/>
  </r>
  <r>
    <d v="2019-11-16T00:00:00"/>
    <m/>
    <m/>
    <d v="1899-12-30T23:15:00"/>
    <n v="-76.888382369596002"/>
    <n v="3.59808251073534"/>
    <n v="533"/>
    <m/>
    <x v="4"/>
    <n v="25"/>
    <n v="15"/>
    <m/>
    <x v="0"/>
    <m/>
    <x v="3"/>
    <x v="0"/>
    <m/>
    <s v="Bosque secundario"/>
    <m/>
    <m/>
    <s v="Ninguna"/>
    <n v="0"/>
    <s v="pf T4 Riqueza"/>
    <m/>
    <m/>
    <s v="Vías"/>
    <m/>
    <m/>
  </r>
  <r>
    <d v="2019-11-16T00:00:00"/>
    <m/>
    <m/>
    <d v="1899-12-30T22:57:33"/>
    <n v="-76.8885821203924"/>
    <n v="3.5977703592358101"/>
    <n v="590"/>
    <m/>
    <x v="4"/>
    <n v="15"/>
    <n v="20"/>
    <m/>
    <x v="0"/>
    <m/>
    <x v="3"/>
    <x v="0"/>
    <m/>
    <s v="Bosque secundario"/>
    <s v="Gustavo Rodriguez"/>
    <m/>
    <s v="Craugastor raniformis"/>
    <n v="1"/>
    <m/>
    <m/>
    <m/>
    <s v="Vías"/>
    <m/>
    <m/>
  </r>
  <r>
    <d v="2019-11-16T00:00:00"/>
    <m/>
    <m/>
    <d v="1899-12-30T22:57:33"/>
    <n v="-76.8885821203924"/>
    <n v="3.5977703592358101"/>
    <n v="590"/>
    <m/>
    <x v="4"/>
    <n v="30"/>
    <n v="10"/>
    <m/>
    <x v="0"/>
    <m/>
    <x v="3"/>
    <x v="0"/>
    <m/>
    <s v="Bosque secundario"/>
    <s v="Guillermo Guerrero"/>
    <m/>
    <s v="Craugastor raniformis"/>
    <n v="1"/>
    <m/>
    <m/>
    <m/>
    <s v="Vías"/>
    <m/>
    <m/>
  </r>
  <r>
    <d v="2019-11-16T00:00:00"/>
    <m/>
    <m/>
    <d v="1899-12-30T21:48:00"/>
    <n v="-76.893038965661205"/>
    <n v="3.5962833075515199"/>
    <n v="588"/>
    <n v="0"/>
    <x v="4"/>
    <n v="18"/>
    <n v="20"/>
    <m/>
    <x v="0"/>
    <m/>
    <x v="2"/>
    <x v="0"/>
    <m/>
    <s v="Bosque secundario"/>
    <m/>
    <m/>
    <s v="Ninguna"/>
    <n v="0"/>
    <s v="punto inicial t3"/>
    <m/>
    <m/>
    <s v="Ninguna"/>
    <m/>
    <m/>
  </r>
  <r>
    <d v="2019-11-16T00:00:00"/>
    <m/>
    <m/>
    <d v="1899-12-30T20:20:26"/>
    <n v="-76.892203717650304"/>
    <n v="3.59550555396482"/>
    <n v="595"/>
    <m/>
    <x v="4"/>
    <n v="20"/>
    <n v="12"/>
    <m/>
    <x v="0"/>
    <m/>
    <x v="1"/>
    <x v="0"/>
    <m/>
    <s v="Bosque secundario"/>
    <s v="Guillermo Guerrero"/>
    <m/>
    <s v="Craugastor raniformis"/>
    <n v="1"/>
    <m/>
    <m/>
    <s v="infraestructura"/>
    <s v="Otra"/>
    <m/>
    <m/>
  </r>
  <r>
    <d v="2019-11-16T00:00:00"/>
    <m/>
    <m/>
    <d v="1899-12-30T20:20:26"/>
    <n v="-76.892203717650304"/>
    <n v="3.59550555396482"/>
    <n v="595"/>
    <m/>
    <x v="4"/>
    <n v="25"/>
    <n v="12"/>
    <m/>
    <x v="0"/>
    <m/>
    <x v="1"/>
    <x v="0"/>
    <m/>
    <s v="Bosque secundario"/>
    <s v="Alvaro Fierro"/>
    <m/>
    <s v="Craugastor raniformis"/>
    <n v="1"/>
    <m/>
    <m/>
    <s v="infraestructura"/>
    <s v="Otra"/>
    <m/>
    <m/>
  </r>
  <r>
    <d v="2019-11-16T00:00:00"/>
    <m/>
    <m/>
    <d v="1899-12-30T19:35:03"/>
    <n v="-76.892006535818496"/>
    <n v="3.5946518722407599"/>
    <n v="566"/>
    <n v="0"/>
    <x v="4"/>
    <n v="20"/>
    <n v="15"/>
    <m/>
    <x v="0"/>
    <m/>
    <x v="0"/>
    <x v="0"/>
    <m/>
    <s v="Bosque secundario"/>
    <s v="Álvaro Fierro"/>
    <m/>
    <s v="Craugastor raniformis"/>
    <n v="1"/>
    <m/>
    <m/>
    <m/>
    <s v="Ninguna"/>
    <m/>
    <m/>
  </r>
  <r>
    <d v="2019-11-16T00:00:00"/>
    <m/>
    <m/>
    <d v="1899-12-30T19:35:03"/>
    <n v="-76.892006535818496"/>
    <n v="3.5946518722407599"/>
    <n v="688"/>
    <m/>
    <x v="4"/>
    <n v="20"/>
    <n v="15"/>
    <m/>
    <x v="0"/>
    <m/>
    <x v="0"/>
    <x v="0"/>
    <m/>
    <s v="Bosque secundario"/>
    <s v="Álvaro Fierro"/>
    <m/>
    <s v="Craugastor raniformis"/>
    <n v="1"/>
    <m/>
    <m/>
    <s v="deslizamientos"/>
    <s v="Otra"/>
    <m/>
    <m/>
  </r>
  <r>
    <d v="2019-11-16T00:00:00"/>
    <m/>
    <m/>
    <d v="1899-12-30T19:26:59"/>
    <n v="-76.891661176818502"/>
    <n v="3.5946991755356601"/>
    <n v="679"/>
    <m/>
    <x v="4"/>
    <n v="30"/>
    <n v="20"/>
    <m/>
    <x v="0"/>
    <m/>
    <x v="0"/>
    <x v="0"/>
    <m/>
    <s v="Bosque secundario"/>
    <s v="Gustavo Rodriguez"/>
    <m/>
    <s v="Ninguna"/>
    <n v="0"/>
    <s v="tronco caído"/>
    <m/>
    <s v="Deslizamiento"/>
    <s v="Otra"/>
    <m/>
    <m/>
  </r>
  <r>
    <d v="2019-11-16T00:00:00"/>
    <m/>
    <m/>
    <d v="1899-12-30T23:09:01"/>
    <n v="-76.888472022805402"/>
    <n v="3.5978976312301798"/>
    <n v="533"/>
    <m/>
    <x v="4"/>
    <n v="18"/>
    <n v="20"/>
    <m/>
    <x v="0"/>
    <m/>
    <x v="3"/>
    <x v="0"/>
    <m/>
    <s v="Bosque secundario"/>
    <s v="Dannythza Mona"/>
    <m/>
    <s v="Craugastor raniformis"/>
    <n v="1"/>
    <m/>
    <m/>
    <m/>
    <s v="Vías"/>
    <m/>
    <m/>
  </r>
  <r>
    <d v="2019-11-16T00:00:00"/>
    <m/>
    <m/>
    <d v="1899-12-30T20:38:35"/>
    <n v="-76.892348951025397"/>
    <n v="3.59558408249623"/>
    <n v="572"/>
    <m/>
    <x v="4"/>
    <n v="20"/>
    <n v="25"/>
    <m/>
    <x v="0"/>
    <m/>
    <x v="1"/>
    <x v="0"/>
    <m/>
    <s v="Bosque secundario"/>
    <m/>
    <m/>
    <s v="Ninguna"/>
    <n v="0"/>
    <s v="T2 pi Riqueza"/>
    <m/>
    <m/>
    <s v="Ninguna"/>
    <m/>
    <m/>
  </r>
  <r>
    <d v="2019-11-16T00:00:00"/>
    <m/>
    <m/>
    <d v="1899-12-30T21:29:02"/>
    <n v="-76.892689087803603"/>
    <n v="3.59568679529667"/>
    <n v="600"/>
    <m/>
    <x v="4"/>
    <n v="15"/>
    <n v="10"/>
    <m/>
    <x v="0"/>
    <m/>
    <x v="1"/>
    <x v="0"/>
    <m/>
    <s v="Bosque primario"/>
    <s v="Gustavo Rodriguez"/>
    <m/>
    <s v="Craugastor raniformis"/>
    <n v="1"/>
    <m/>
    <m/>
    <m/>
    <s v="Ninguna"/>
    <m/>
    <m/>
  </r>
  <r>
    <d v="2019-11-16T00:00:00"/>
    <m/>
    <m/>
    <d v="1899-12-30T21:29:02"/>
    <n v="-76.892689087803603"/>
    <n v="3.59568679529667"/>
    <n v="600"/>
    <m/>
    <x v="4"/>
    <n v="15"/>
    <n v="15"/>
    <m/>
    <x v="0"/>
    <m/>
    <x v="1"/>
    <x v="0"/>
    <m/>
    <s v="Bosque primario"/>
    <m/>
    <m/>
    <s v="Ninguna"/>
    <n v="0"/>
    <s v="punto final t2"/>
    <m/>
    <m/>
    <s v="Ninguna"/>
    <m/>
    <m/>
  </r>
  <r>
    <d v="2019-11-16T00:00:00"/>
    <m/>
    <m/>
    <d v="1899-12-30T19:47:48"/>
    <n v="-76.892167443128798"/>
    <n v="3.5946840833989402"/>
    <n v="592"/>
    <m/>
    <x v="4"/>
    <n v="20"/>
    <n v="10"/>
    <m/>
    <x v="0"/>
    <m/>
    <x v="0"/>
    <x v="0"/>
    <m/>
    <s v="Bosque secundario"/>
    <s v="Gustavo Rodriguez"/>
    <m/>
    <s v="Craugastor raniformis"/>
    <n v="1"/>
    <m/>
    <m/>
    <m/>
    <s v="Ninguna"/>
    <m/>
    <m/>
  </r>
  <r>
    <d v="2019-11-16T00:00:00"/>
    <m/>
    <m/>
    <d v="1899-12-30T22:14:20"/>
    <n v="-76.892710465440402"/>
    <n v="3.5967803381899301"/>
    <n v="608"/>
    <m/>
    <x v="4"/>
    <n v="20"/>
    <n v="18"/>
    <m/>
    <x v="0"/>
    <m/>
    <x v="2"/>
    <x v="0"/>
    <m/>
    <s v="Bosque secundario"/>
    <m/>
    <m/>
    <s v="Ninguna"/>
    <n v="0"/>
    <s v="Pf T3 Riqueza"/>
    <m/>
    <m/>
    <s v="Ninguna"/>
    <m/>
    <m/>
  </r>
  <r>
    <d v="2019-11-17T00:00:00"/>
    <m/>
    <m/>
    <d v="1899-12-30T20:36:57"/>
    <n v="-76.881645768929403"/>
    <n v="3.5526508881710002"/>
    <n v="585"/>
    <m/>
    <x v="4"/>
    <n v="8"/>
    <n v="5"/>
    <m/>
    <x v="0"/>
    <m/>
    <x v="0"/>
    <x v="5"/>
    <m/>
    <s v="Bosque secundario"/>
    <s v="Alvaro Fierro"/>
    <m/>
    <s v="Rhinella horribilis"/>
    <n v="1"/>
    <m/>
    <m/>
    <m/>
    <s v="Vías"/>
    <m/>
    <m/>
  </r>
  <r>
    <d v="2019-11-17T00:00:00"/>
    <m/>
    <m/>
    <d v="1899-12-30T20:36:57"/>
    <n v="-76.881645768929403"/>
    <n v="3.5526508881710002"/>
    <n v="580"/>
    <m/>
    <x v="4"/>
    <n v="8"/>
    <n v="2"/>
    <m/>
    <x v="0"/>
    <m/>
    <x v="0"/>
    <x v="5"/>
    <m/>
    <s v="Arbustal"/>
    <s v="Alvaro Fierro"/>
    <m/>
    <s v="Craugastor raniformis"/>
    <n v="1"/>
    <m/>
    <m/>
    <m/>
    <s v="Vías"/>
    <m/>
    <m/>
  </r>
  <r>
    <d v="2019-11-17T00:00:00"/>
    <m/>
    <m/>
    <d v="1899-12-30T20:53:30"/>
    <n v="-76.882256838465807"/>
    <n v="3.5525244507917799"/>
    <n v="581"/>
    <m/>
    <x v="4"/>
    <n v="15"/>
    <n v="6"/>
    <m/>
    <x v="0"/>
    <m/>
    <x v="1"/>
    <x v="5"/>
    <m/>
    <s v="Bosque secundario"/>
    <m/>
    <m/>
    <s v="Ninguna"/>
    <n v="0"/>
    <s v="punto inicial t2"/>
    <m/>
    <m/>
    <s v="Vías"/>
    <m/>
    <m/>
  </r>
  <r>
    <d v="2019-11-17T00:00:00"/>
    <m/>
    <m/>
    <d v="1899-12-30T20:53:30"/>
    <n v="-76.882256838465807"/>
    <n v="3.5525244507917799"/>
    <n v="581"/>
    <m/>
    <x v="4"/>
    <n v="7"/>
    <n v="6"/>
    <m/>
    <x v="0"/>
    <m/>
    <x v="1"/>
    <x v="5"/>
    <m/>
    <s v="Bosque secundario"/>
    <s v="Gustavo Rodriguez"/>
    <m/>
    <s v="Smilisca phaeota"/>
    <n v="1"/>
    <m/>
    <m/>
    <m/>
    <s v="Ninguna"/>
    <m/>
    <m/>
  </r>
  <r>
    <d v="2019-11-17T00:00:00"/>
    <m/>
    <m/>
    <d v="1899-12-30T21:56:25"/>
    <n v="-76.883289490816907"/>
    <n v="3.5524213771414699"/>
    <n v="560"/>
    <m/>
    <x v="4"/>
    <n v="18"/>
    <n v="8"/>
    <m/>
    <x v="0"/>
    <m/>
    <x v="2"/>
    <x v="5"/>
    <m/>
    <s v="Bosque secundario"/>
    <s v="Gustavo Rodriguez"/>
    <m/>
    <s v="Craugastor raniformis"/>
    <n v="1"/>
    <m/>
    <m/>
    <m/>
    <s v="Vías"/>
    <m/>
    <m/>
  </r>
  <r>
    <d v="2019-11-17T00:00:00"/>
    <m/>
    <m/>
    <d v="1899-12-30T19:39:50"/>
    <n v="-76.880791189042299"/>
    <n v="3.5526555742686399"/>
    <n v="552"/>
    <m/>
    <x v="4"/>
    <m/>
    <n v="15"/>
    <m/>
    <x v="0"/>
    <m/>
    <x v="0"/>
    <x v="5"/>
    <m/>
    <s v="Arbustal"/>
    <m/>
    <m/>
    <s v="Hyalinobatrachium aureoguttatum"/>
    <n v="2"/>
    <m/>
    <m/>
    <m/>
    <s v="Vías"/>
    <m/>
    <m/>
  </r>
  <r>
    <d v="2019-11-17T00:00:00"/>
    <m/>
    <m/>
    <d v="1899-12-30T20:16:33"/>
    <n v="-76.881317640927705"/>
    <n v="3.5526062942963201"/>
    <n v="580"/>
    <m/>
    <x v="4"/>
    <n v="1"/>
    <n v="18"/>
    <m/>
    <x v="0"/>
    <m/>
    <x v="0"/>
    <x v="5"/>
    <m/>
    <s v="Arbustal"/>
    <s v="Gustavo Rodriguez"/>
    <m/>
    <s v="Smilisca phaeota"/>
    <n v="1"/>
    <m/>
    <m/>
    <m/>
    <s v="Vías"/>
    <m/>
    <m/>
  </r>
  <r>
    <d v="2019-11-17T00:00:00"/>
    <m/>
    <m/>
    <d v="1899-12-30T22:16:32"/>
    <n v="-76.882610023833294"/>
    <n v="3.55251629278091"/>
    <n v="565"/>
    <n v="2.5"/>
    <x v="4"/>
    <n v="15"/>
    <n v="5"/>
    <m/>
    <x v="0"/>
    <m/>
    <x v="3"/>
    <x v="5"/>
    <m/>
    <s v="Bosque secundario"/>
    <s v="Gustavo Rodriguez"/>
    <m/>
    <s v="Craugastor raniformis"/>
    <n v="1"/>
    <m/>
    <m/>
    <s v="Desagüe"/>
    <s v="Otra"/>
    <m/>
    <m/>
  </r>
  <r>
    <d v="2019-11-17T00:00:00"/>
    <m/>
    <m/>
    <d v="1899-12-30T22:00:41"/>
    <n v="-76.883269666417405"/>
    <n v="3.55243462243264"/>
    <n v="560"/>
    <m/>
    <x v="4"/>
    <n v="12"/>
    <n v="12"/>
    <m/>
    <x v="0"/>
    <m/>
    <x v="2"/>
    <x v="5"/>
    <m/>
    <s v="Bosque secundario"/>
    <s v="Alvaro Fierro"/>
    <m/>
    <s v="Rhaebo haematiticus"/>
    <n v="1"/>
    <m/>
    <m/>
    <m/>
    <s v="Vías"/>
    <m/>
    <m/>
  </r>
  <r>
    <d v="2019-11-17T00:00:00"/>
    <m/>
    <m/>
    <d v="1899-12-30T22:00:41"/>
    <n v="-76.883269666417405"/>
    <n v="3.55243462243264"/>
    <n v="500"/>
    <m/>
    <x v="4"/>
    <n v="15"/>
    <n v="8"/>
    <m/>
    <x v="0"/>
    <m/>
    <x v="2"/>
    <x v="5"/>
    <m/>
    <s v="Bosque secundario"/>
    <m/>
    <m/>
    <s v="Ninguna"/>
    <n v="0"/>
    <s v="pf T2 murrapal"/>
    <m/>
    <m/>
    <s v="Vías"/>
    <m/>
    <m/>
  </r>
  <r>
    <d v="2019-11-17T00:00:00"/>
    <m/>
    <m/>
    <d v="1899-12-30T19:23:09"/>
    <n v="-76.880703702932394"/>
    <n v="3.55267579988032"/>
    <n v="565"/>
    <m/>
    <x v="4"/>
    <m/>
    <n v="15"/>
    <m/>
    <x v="0"/>
    <m/>
    <x v="0"/>
    <x v="5"/>
    <m/>
    <s v="Arbustal"/>
    <m/>
    <m/>
    <s v="Ninguna"/>
    <n v="0"/>
    <s v="pi t1"/>
    <m/>
    <m/>
    <s v="Vías"/>
    <m/>
    <m/>
  </r>
  <r>
    <d v="2019-11-17T00:00:00"/>
    <m/>
    <m/>
    <d v="1899-12-30T21:35:45"/>
    <n v="-76.882779868700595"/>
    <n v="3.5525313824220701"/>
    <n v="581"/>
    <m/>
    <x v="4"/>
    <n v="8"/>
    <n v="10"/>
    <m/>
    <x v="0"/>
    <m/>
    <x v="2"/>
    <x v="5"/>
    <m/>
    <s v="Bosque secundario"/>
    <s v="Guillermo Guerrero"/>
    <m/>
    <s v="Espadarana prosoblepon"/>
    <n v="2"/>
    <m/>
    <m/>
    <m/>
    <s v="Ninguna"/>
    <m/>
    <m/>
  </r>
  <r>
    <d v="2019-11-17T00:00:00"/>
    <m/>
    <m/>
    <d v="1899-12-30T22:09:43"/>
    <n v="-76.882621345426898"/>
    <n v="3.5524611044016399"/>
    <n v="565"/>
    <n v="2.5"/>
    <x v="4"/>
    <n v="10"/>
    <n v="15"/>
    <m/>
    <x v="0"/>
    <m/>
    <x v="3"/>
    <x v="5"/>
    <m/>
    <s v="Bosque secundario"/>
    <m/>
    <m/>
    <s v="Ninguna"/>
    <n v="0"/>
    <s v="pi T3 murrapal Desague"/>
    <m/>
    <s v="Desahue"/>
    <s v="Otra"/>
    <m/>
    <m/>
  </r>
  <r>
    <d v="2019-11-17T00:00:00"/>
    <m/>
    <m/>
    <d v="1899-12-30T21:23:41"/>
    <n v="-76.882760590425903"/>
    <n v="3.5524327547828598"/>
    <n v="575"/>
    <m/>
    <x v="4"/>
    <n v="12"/>
    <n v="10"/>
    <m/>
    <x v="0"/>
    <m/>
    <x v="2"/>
    <x v="5"/>
    <m/>
    <s v="Bosque secundario"/>
    <s v="Gustavo Rodriguez"/>
    <m/>
    <s v="Rhaebo haematiticus"/>
    <n v="1"/>
    <m/>
    <m/>
    <m/>
    <s v="Ninguna"/>
    <m/>
    <m/>
  </r>
  <r>
    <d v="2019-11-17T00:00:00"/>
    <m/>
    <m/>
    <d v="1899-12-30T21:23:41"/>
    <n v="-76.882760590425903"/>
    <n v="3.5524327547828598"/>
    <n v="570"/>
    <m/>
    <x v="4"/>
    <n v="12"/>
    <n v="10"/>
    <m/>
    <x v="0"/>
    <m/>
    <x v="2"/>
    <x v="5"/>
    <m/>
    <s v="Bosque secundario"/>
    <s v="Alvaro Fierro"/>
    <m/>
    <s v="Boana rosengbergi"/>
    <n v="1"/>
    <m/>
    <m/>
    <m/>
    <s v="Ninguna"/>
    <m/>
    <m/>
  </r>
  <r>
    <d v="2019-11-17T00:00:00"/>
    <m/>
    <m/>
    <d v="1899-12-30T19:56:51"/>
    <n v="-76.881091673093493"/>
    <n v="3.5526778474979701"/>
    <n v="565"/>
    <m/>
    <x v="4"/>
    <n v="1"/>
    <n v="18"/>
    <m/>
    <x v="0"/>
    <m/>
    <x v="0"/>
    <x v="5"/>
    <m/>
    <s v="Arbustal"/>
    <s v="Alvaro Fierro"/>
    <m/>
    <s v="Craugastor raniformis"/>
    <n v="1"/>
    <m/>
    <m/>
    <m/>
    <s v="Vías"/>
    <m/>
    <m/>
  </r>
  <r>
    <d v="2019-11-17T00:00:00"/>
    <m/>
    <m/>
    <d v="1899-12-30T19:56:51"/>
    <n v="-76.881091673093493"/>
    <n v="3.5526778474979701"/>
    <n v="565"/>
    <m/>
    <x v="4"/>
    <n v="1"/>
    <n v="18"/>
    <m/>
    <x v="0"/>
    <m/>
    <x v="0"/>
    <x v="5"/>
    <m/>
    <s v="Arbustal"/>
    <s v="Gustavo Rodriguez"/>
    <m/>
    <s v="Rhinella horribilis"/>
    <n v="1"/>
    <m/>
    <m/>
    <m/>
    <s v="Vías"/>
    <m/>
    <m/>
  </r>
  <r>
    <d v="2019-11-17T00:00:00"/>
    <m/>
    <m/>
    <d v="1899-12-30T21:37:51"/>
    <n v="-76.882915233960105"/>
    <n v="3.5524283124302301"/>
    <n v="581"/>
    <m/>
    <x v="4"/>
    <n v="12"/>
    <n v="10"/>
    <m/>
    <x v="0"/>
    <m/>
    <x v="2"/>
    <x v="5"/>
    <m/>
    <s v="Bosque secundario"/>
    <s v="Guillermo Guerrero"/>
    <m/>
    <s v="Agalychnis spurrelli"/>
    <n v="1"/>
    <m/>
    <m/>
    <m/>
    <s v="Ninguna"/>
    <m/>
    <m/>
  </r>
  <r>
    <d v="2019-11-17T00:00:00"/>
    <m/>
    <m/>
    <d v="1899-12-30T21:37:51"/>
    <n v="-76.882915233960105"/>
    <n v="3.5524283124302301"/>
    <n v="565"/>
    <m/>
    <x v="4"/>
    <n v="12"/>
    <n v="8"/>
    <m/>
    <x v="0"/>
    <m/>
    <x v="2"/>
    <x v="5"/>
    <m/>
    <s v="Bosque secundario"/>
    <s v="Gustavo Rodriguez"/>
    <m/>
    <s v="Smilisca phaeota"/>
    <n v="1"/>
    <m/>
    <m/>
    <m/>
    <s v="Vías"/>
    <m/>
    <m/>
  </r>
  <r>
    <d v="2019-11-17T00:00:00"/>
    <m/>
    <m/>
    <d v="1899-12-30T20:27:09"/>
    <n v="-76.881507416679696"/>
    <n v="3.5526311348055999"/>
    <n v="585"/>
    <m/>
    <x v="4"/>
    <n v="1"/>
    <n v="18"/>
    <m/>
    <x v="0"/>
    <m/>
    <x v="0"/>
    <x v="5"/>
    <m/>
    <s v="Arbustal"/>
    <s v="Dannythza Mona"/>
    <m/>
    <s v="Craugastor raniformis"/>
    <n v="1"/>
    <m/>
    <m/>
    <m/>
    <s v="Vías"/>
    <m/>
    <m/>
  </r>
  <r>
    <d v="2019-11-17T00:00:00"/>
    <m/>
    <m/>
    <d v="1899-12-30T20:27:09"/>
    <n v="-76.881507416679696"/>
    <n v="3.5526311348055999"/>
    <n v="580"/>
    <m/>
    <x v="4"/>
    <n v="1"/>
    <n v="12"/>
    <m/>
    <x v="0"/>
    <m/>
    <x v="0"/>
    <x v="5"/>
    <m/>
    <s v="Arbustal"/>
    <s v="Alvaro Fierro"/>
    <m/>
    <s v="Craugastor raniformis"/>
    <n v="1"/>
    <m/>
    <m/>
    <m/>
    <s v="Vías"/>
    <m/>
    <m/>
  </r>
  <r>
    <d v="2019-11-17T00:00:00"/>
    <m/>
    <m/>
    <d v="1899-12-30T22:38:33"/>
    <n v="-76.882261583067603"/>
    <n v="3.5528232640162298"/>
    <n v="570"/>
    <n v="3"/>
    <x v="4"/>
    <n v="15"/>
    <n v="12"/>
    <m/>
    <x v="0"/>
    <m/>
    <x v="3"/>
    <x v="5"/>
    <m/>
    <s v="Bosque secundario"/>
    <s v="Alvaro Fierro"/>
    <m/>
    <s v="Bolitoglossa biseriata"/>
    <n v="1"/>
    <m/>
    <m/>
    <s v="Desagüe"/>
    <s v="Otra"/>
    <m/>
    <m/>
  </r>
  <r>
    <d v="2019-11-17T00:00:00"/>
    <m/>
    <m/>
    <d v="1899-12-30T19:29:37"/>
    <n v="-76.880874880163304"/>
    <n v="3.5526497028399802"/>
    <n v="570"/>
    <m/>
    <x v="4"/>
    <m/>
    <n v="15"/>
    <m/>
    <x v="0"/>
    <m/>
    <x v="0"/>
    <x v="5"/>
    <m/>
    <s v="Arbustal"/>
    <m/>
    <m/>
    <s v="Craugastor raniformis"/>
    <n v="1"/>
    <m/>
    <m/>
    <m/>
    <s v="Vías"/>
    <m/>
    <m/>
  </r>
  <r>
    <d v="2019-11-17T00:00:00"/>
    <m/>
    <m/>
    <d v="1899-12-30T20:42:44"/>
    <n v="-76.881680507141596"/>
    <n v="3.5525017664355101"/>
    <n v="585"/>
    <m/>
    <x v="4"/>
    <n v="8"/>
    <n v="5"/>
    <m/>
    <x v="0"/>
    <m/>
    <x v="0"/>
    <x v="5"/>
    <m/>
    <s v="Bosque secundario"/>
    <m/>
    <m/>
    <s v="Ninguna"/>
    <n v="0"/>
    <m/>
    <m/>
    <m/>
    <s v="Vías"/>
    <m/>
    <m/>
  </r>
  <r>
    <d v="2019-11-17T00:00:00"/>
    <m/>
    <m/>
    <d v="1899-12-30T20:42:44"/>
    <n v="-76.881680507141596"/>
    <n v="3.5525017664355101"/>
    <n v="580"/>
    <m/>
    <x v="4"/>
    <n v="8"/>
    <n v="6"/>
    <m/>
    <x v="0"/>
    <m/>
    <x v="0"/>
    <x v="5"/>
    <m/>
    <s v="Bosque secundario"/>
    <s v="Alvaro Javier"/>
    <m/>
    <s v="Rhinella horribilis"/>
    <n v="1"/>
    <m/>
    <m/>
    <m/>
    <s v="Vías"/>
    <m/>
    <m/>
  </r>
  <r>
    <d v="2019-11-17T00:00:00"/>
    <m/>
    <m/>
    <d v="1899-12-30T22:44:45"/>
    <n v="-76.882620271102994"/>
    <n v="3.5526790492210001"/>
    <n v="556"/>
    <n v="3"/>
    <x v="4"/>
    <n v="12"/>
    <n v="12"/>
    <m/>
    <x v="0"/>
    <m/>
    <x v="3"/>
    <x v="5"/>
    <m/>
    <s v="Bosque secundario"/>
    <s v="Alvaro Fiero"/>
    <m/>
    <s v="Rhaebo haematiticus"/>
    <n v="1"/>
    <s v="P.f T3 Murrapal"/>
    <m/>
    <s v="Desagüe"/>
    <s v="Otra"/>
    <m/>
    <m/>
  </r>
  <r>
    <d v="2019-11-17T00:00:00"/>
    <m/>
    <m/>
    <d v="1899-12-30T20:03:04"/>
    <n v="-76.881134582841099"/>
    <n v="3.5526278778089502"/>
    <n v="565"/>
    <m/>
    <x v="4"/>
    <n v="1"/>
    <n v="18"/>
    <m/>
    <x v="0"/>
    <m/>
    <x v="0"/>
    <x v="5"/>
    <m/>
    <s v="Arbustal"/>
    <s v="Guillermo Guerrero"/>
    <m/>
    <s v="Pristimantis achatinus"/>
    <n v="1"/>
    <m/>
    <m/>
    <m/>
    <s v="Vías"/>
    <m/>
    <m/>
  </r>
  <r>
    <d v="2019-11-17T00:00:00"/>
    <m/>
    <m/>
    <d v="1899-12-30T21:04:36"/>
    <n v="-76.882378469108801"/>
    <n v="3.5523996647560701"/>
    <n v="585"/>
    <m/>
    <x v="4"/>
    <n v="7"/>
    <n v="8"/>
    <m/>
    <x v="0"/>
    <m/>
    <x v="1"/>
    <x v="5"/>
    <m/>
    <s v="Bosque secundario"/>
    <s v="Gustavo Rodriguez"/>
    <m/>
    <s v="Espadarana prosoblepon"/>
    <n v="1"/>
    <m/>
    <m/>
    <m/>
    <s v="Vías"/>
    <m/>
    <m/>
  </r>
  <r>
    <d v="2019-11-18T00:00:00"/>
    <m/>
    <m/>
    <d v="1899-12-30T09:51:45"/>
    <n v="-76.889601655294399"/>
    <n v="3.5507361681913499"/>
    <n v="660"/>
    <m/>
    <x v="4"/>
    <n v="8"/>
    <n v="10"/>
    <m/>
    <x v="0"/>
    <m/>
    <x v="1"/>
    <x v="4"/>
    <m/>
    <s v="Bosque secundario"/>
    <s v="Guillermo guerrero"/>
    <m/>
    <s v="Dendropsophus columbianus"/>
    <n v="1"/>
    <m/>
    <m/>
    <m/>
    <s v="Vías"/>
    <m/>
    <m/>
  </r>
  <r>
    <d v="2019-11-18T00:00:00"/>
    <m/>
    <m/>
    <d v="1899-12-30T10:39:58"/>
    <n v="-76.887786900640407"/>
    <n v="3.5511047028805001"/>
    <n v="650"/>
    <m/>
    <x v="4"/>
    <n v="9"/>
    <n v="12"/>
    <m/>
    <x v="0"/>
    <m/>
    <x v="2"/>
    <x v="4"/>
    <m/>
    <s v="Bosque secundario"/>
    <m/>
    <m/>
    <s v="Ninguna"/>
    <n v="0"/>
    <s v="punto final t5"/>
    <m/>
    <m/>
    <s v="Vías"/>
    <m/>
    <m/>
  </r>
  <r>
    <d v="2019-11-18T00:00:00"/>
    <m/>
    <m/>
    <d v="1899-12-30T09:57:25"/>
    <n v="-76.889490891773903"/>
    <n v="3.5507419992003602"/>
    <n v="660"/>
    <m/>
    <x v="4"/>
    <m/>
    <n v="5"/>
    <m/>
    <x v="0"/>
    <m/>
    <x v="1"/>
    <x v="4"/>
    <m/>
    <s v="Bosque secundario"/>
    <s v="Gustavo Rodriguez"/>
    <m/>
    <s v="Craugastor raniformis"/>
    <n v="1"/>
    <m/>
    <m/>
    <m/>
    <s v="Vías"/>
    <m/>
    <m/>
  </r>
  <r>
    <d v="2019-11-18T00:00:00"/>
    <m/>
    <m/>
    <d v="1899-12-30T09:57:25"/>
    <n v="-76.889490891773903"/>
    <n v="3.5507419992003602"/>
    <n v="600"/>
    <m/>
    <x v="4"/>
    <m/>
    <n v="10"/>
    <m/>
    <x v="0"/>
    <m/>
    <x v="1"/>
    <x v="4"/>
    <m/>
    <s v="Bosque secundario"/>
    <s v="Dannythza mona"/>
    <m/>
    <s v="Rhaebo haematiticus"/>
    <n v="1"/>
    <m/>
    <m/>
    <m/>
    <s v="Vías"/>
    <m/>
    <m/>
  </r>
  <r>
    <d v="2019-11-18T00:00:00"/>
    <m/>
    <m/>
    <d v="1899-12-30T09:38:26"/>
    <n v="-76.8900243905926"/>
    <n v="3.5508641879980698"/>
    <n v="665"/>
    <m/>
    <x v="4"/>
    <n v="8"/>
    <n v="10"/>
    <m/>
    <x v="0"/>
    <m/>
    <x v="1"/>
    <x v="4"/>
    <m/>
    <s v="Bosque secundario"/>
    <s v="Gustavo Rodriguez_x000a_Dannythza Mona_x000a_Guillermo Guerrero_x000a_Alvaro Fierro"/>
    <m/>
    <s v="Rhaebo haematiticus"/>
    <n v="8"/>
    <s v="punto inicial t4"/>
    <m/>
    <m/>
    <s v="Vías"/>
    <m/>
    <m/>
  </r>
  <r>
    <d v="2019-11-18T00:00:00"/>
    <m/>
    <m/>
    <d v="1899-12-30T09:38:26"/>
    <n v="-76.8900243905926"/>
    <n v="3.5508641879980698"/>
    <n v="665"/>
    <m/>
    <x v="4"/>
    <n v="8"/>
    <n v="10"/>
    <m/>
    <x v="0"/>
    <m/>
    <x v="1"/>
    <x v="4"/>
    <m/>
    <s v="Bosque secundario"/>
    <s v="Guillermo guerrero"/>
    <m/>
    <s v="Craugastor raniformis"/>
    <n v="1"/>
    <m/>
    <m/>
    <m/>
    <s v="Vías"/>
    <m/>
    <m/>
  </r>
  <r>
    <d v="2019-11-18T00:00:00"/>
    <m/>
    <m/>
    <d v="1899-12-30T10:12:52"/>
    <n v="-76.888748626961004"/>
    <n v="3.5505577125952001"/>
    <n v="600"/>
    <m/>
    <x v="4"/>
    <n v="10"/>
    <n v="15"/>
    <m/>
    <x v="0"/>
    <m/>
    <x v="2"/>
    <x v="4"/>
    <m/>
    <s v="Bosque secundario"/>
    <m/>
    <m/>
    <s v="Ninguna"/>
    <n v="0"/>
    <s v="punto inicial t5"/>
    <m/>
    <m/>
    <s v="Vías"/>
    <m/>
    <m/>
  </r>
  <r>
    <d v="2019-11-18T00:00:00"/>
    <m/>
    <m/>
    <d v="1899-12-30T10:09:04"/>
    <n v="-76.888998909562304"/>
    <n v="3.5506251548199401"/>
    <n v="600"/>
    <m/>
    <x v="4"/>
    <n v="6"/>
    <n v="10"/>
    <m/>
    <x v="0"/>
    <m/>
    <x v="2"/>
    <x v="4"/>
    <m/>
    <s v="Bosque secundario"/>
    <m/>
    <m/>
    <s v="Ninguna"/>
    <n v="0"/>
    <s v="punto final t4"/>
    <m/>
    <m/>
    <s v="Vías"/>
    <m/>
    <m/>
  </r>
  <r>
    <d v="2019-12-09T00:00:00"/>
    <m/>
    <m/>
    <d v="1899-12-30T21:21:34"/>
    <n v="-76.680409953783993"/>
    <n v="3.4011741098395798"/>
    <n v="3020"/>
    <m/>
    <x v="4"/>
    <n v="17"/>
    <n v="80"/>
    <m/>
    <x v="3"/>
    <m/>
    <x v="0"/>
    <x v="16"/>
    <m/>
    <s v="Bosque ripario"/>
    <s v="Oscar Cuellar"/>
    <m/>
    <s v="Colomascyrtus larinopygion"/>
    <n v="1"/>
    <s v="pf T2 Zacarias y registro auditivo"/>
    <m/>
    <m/>
    <s v="Ninguna"/>
    <m/>
    <m/>
  </r>
  <r>
    <d v="2019-12-09T00:00:00"/>
    <m/>
    <m/>
    <d v="1899-12-30T22:53:01"/>
    <n v="-76.678878619322603"/>
    <n v="3.4007083575184902"/>
    <n v="3020"/>
    <m/>
    <x v="4"/>
    <n v="12"/>
    <n v="50"/>
    <m/>
    <x v="3"/>
    <m/>
    <x v="2"/>
    <x v="16"/>
    <m/>
    <s v="Bosque primario"/>
    <m/>
    <m/>
    <s v="Pristimantis capitonis"/>
    <n v="1"/>
    <s v="punto final T4 zacarias"/>
    <m/>
    <m/>
    <s v="Ninguna"/>
    <m/>
    <m/>
  </r>
  <r>
    <d v="2019-12-09T00:00:00"/>
    <m/>
    <m/>
    <d v="1899-12-30T22:22:17"/>
    <n v="-76.679739583170303"/>
    <n v="3.40075414495902"/>
    <n v="2995"/>
    <m/>
    <x v="4"/>
    <n v="15"/>
    <n v="40"/>
    <m/>
    <x v="3"/>
    <m/>
    <x v="1"/>
    <x v="16"/>
    <m/>
    <s v="Bosque primario"/>
    <m/>
    <m/>
    <s v="Ninguna"/>
    <n v="0"/>
    <s v="pi t4"/>
    <m/>
    <m/>
    <s v="Ninguna"/>
    <m/>
    <m/>
  </r>
  <r>
    <d v="2019-12-09T00:00:00"/>
    <m/>
    <m/>
    <d v="1899-12-30T19:41:00"/>
    <n v="-76.681523358386002"/>
    <n v="3.40132420719504"/>
    <n v="3107"/>
    <m/>
    <x v="4"/>
    <n v="20"/>
    <n v="60"/>
    <m/>
    <x v="3"/>
    <m/>
    <x v="0"/>
    <x v="16"/>
    <m/>
    <s v="Bosque secundario"/>
    <m/>
    <m/>
    <s v="Ninguna"/>
    <n v="0"/>
    <s v="punto inicial"/>
    <m/>
    <m/>
    <s v="Residuos solidos"/>
    <m/>
    <m/>
  </r>
  <r>
    <d v="2019-12-09T00:00:00"/>
    <m/>
    <m/>
    <d v="1899-12-30T20:43:02"/>
    <n v="-76.680964870404495"/>
    <n v="3.4017370707498"/>
    <n v="3034"/>
    <m/>
    <x v="4"/>
    <n v="15"/>
    <n v="50"/>
    <m/>
    <x v="3"/>
    <m/>
    <x v="0"/>
    <x v="16"/>
    <m/>
    <s v="Bosque primario"/>
    <m/>
    <m/>
    <s v="Ninguna"/>
    <n v="0"/>
    <s v="PI T2 Zacarias"/>
    <m/>
    <m/>
    <s v="Ninguna"/>
    <m/>
    <m/>
  </r>
  <r>
    <d v="2019-12-09T00:00:00"/>
    <m/>
    <m/>
    <d v="1899-12-30T20:34:28"/>
    <n v="-76.681296108828903"/>
    <n v="3.4019015036326299"/>
    <n v="3074"/>
    <m/>
    <x v="4"/>
    <n v="15"/>
    <n v="65"/>
    <m/>
    <x v="3"/>
    <m/>
    <x v="0"/>
    <x v="16"/>
    <m/>
    <s v="Bosque primario"/>
    <m/>
    <m/>
    <s v="Ninguna"/>
    <n v="0"/>
    <s v="pf t1 zacarias"/>
    <m/>
    <m/>
    <s v="Ninguna"/>
    <m/>
    <m/>
  </r>
  <r>
    <d v="2019-12-09T00:00:00"/>
    <m/>
    <m/>
    <d v="1899-12-30T22:17:06"/>
    <n v="-76.679977115474202"/>
    <n v="3.4004685460320001"/>
    <n v="2995"/>
    <m/>
    <x v="4"/>
    <n v="15"/>
    <n v="40"/>
    <m/>
    <x v="3"/>
    <m/>
    <x v="1"/>
    <x v="16"/>
    <m/>
    <s v="Bosque primario"/>
    <m/>
    <m/>
    <s v="Ninguna"/>
    <n v="0"/>
    <s v="pf T3 Zacarias"/>
    <m/>
    <m/>
    <s v="Ninguna"/>
    <m/>
    <m/>
  </r>
  <r>
    <d v="2019-12-09T00:00:00"/>
    <m/>
    <m/>
    <d v="1899-12-30T20:13:08"/>
    <n v="-76.681476850349299"/>
    <n v="3.40154297056606"/>
    <n v="3084"/>
    <m/>
    <x v="4"/>
    <n v="6"/>
    <n v="85"/>
    <m/>
    <x v="3"/>
    <m/>
    <x v="0"/>
    <x v="16"/>
    <m/>
    <s v="Bosque primario"/>
    <s v="Oscar Cuellar"/>
    <m/>
    <s v="Ninguna"/>
    <n v="0"/>
    <m/>
    <m/>
    <m/>
    <s v="Residuos solidos"/>
    <m/>
    <m/>
  </r>
  <r>
    <d v="2019-12-09T00:00:00"/>
    <m/>
    <m/>
    <d v="1899-12-30T19:57:32"/>
    <n v="-76.681406520893205"/>
    <n v="3.4014138294078502"/>
    <n v="3084"/>
    <m/>
    <x v="4"/>
    <n v="18"/>
    <n v="75"/>
    <m/>
    <x v="3"/>
    <m/>
    <x v="0"/>
    <x v="16"/>
    <m/>
    <s v="Bosque secundario"/>
    <s v="Oscar Cuellar"/>
    <m/>
    <s v="Pristimantis calcaratus"/>
    <n v="1"/>
    <m/>
    <m/>
    <m/>
    <s v="Ninguna"/>
    <m/>
    <m/>
  </r>
  <r>
    <d v="2019-12-09T00:00:00"/>
    <m/>
    <m/>
    <d v="1899-12-30T22:29:29"/>
    <n v="-76.679489470877499"/>
    <n v="3.4007295103225799"/>
    <n v="3020"/>
    <m/>
    <x v="4"/>
    <n v="15"/>
    <n v="60"/>
    <m/>
    <x v="3"/>
    <m/>
    <x v="1"/>
    <x v="16"/>
    <m/>
    <s v="Bosque primario"/>
    <s v="Oscar Cuellar"/>
    <m/>
    <s v="Pristimantis capitonis"/>
    <n v="1"/>
    <m/>
    <m/>
    <m/>
    <s v="Ninguna"/>
    <m/>
    <m/>
  </r>
  <r>
    <d v="2019-12-09T00:00:00"/>
    <m/>
    <m/>
    <d v="1899-12-30T21:49:00"/>
    <n v="-76.680170205083996"/>
    <n v="3.40114768662739"/>
    <n v="3034"/>
    <m/>
    <x v="4"/>
    <n v="15"/>
    <n v="80"/>
    <m/>
    <x v="3"/>
    <m/>
    <x v="0"/>
    <x v="16"/>
    <m/>
    <s v="Bosque primario"/>
    <s v="oscar cuellar"/>
    <m/>
    <s v="Pristimantis capitonis"/>
    <n v="1"/>
    <m/>
    <m/>
    <m/>
    <s v="Ninguna"/>
    <m/>
    <m/>
  </r>
  <r>
    <d v="2019-12-09T00:00:00"/>
    <m/>
    <m/>
    <d v="1899-12-30T21:37:13"/>
    <n v="-76.680194990839695"/>
    <n v="3.4010744622278"/>
    <n v="3032"/>
    <m/>
    <x v="4"/>
    <n v="22"/>
    <n v="40"/>
    <m/>
    <x v="3"/>
    <m/>
    <x v="0"/>
    <x v="16"/>
    <m/>
    <s v="Bosque primario"/>
    <m/>
    <m/>
    <s v="Ninguna"/>
    <n v="0"/>
    <s v="pi T3"/>
    <m/>
    <m/>
    <s v="Ninguna"/>
    <m/>
    <m/>
  </r>
  <r>
    <d v="2019-12-10T00:00:00"/>
    <m/>
    <m/>
    <d v="1899-12-30T22:57:35"/>
    <n v="-76.690640572651205"/>
    <n v="3.4064862084016299"/>
    <n v="3398"/>
    <m/>
    <x v="4"/>
    <n v="4"/>
    <n v="50"/>
    <m/>
    <x v="3"/>
    <m/>
    <x v="3"/>
    <x v="18"/>
    <m/>
    <s v="Arbustal"/>
    <m/>
    <m/>
    <s v="Ninguna"/>
    <n v="0"/>
    <s v="PI T4"/>
    <m/>
    <m/>
    <s v="Ninguna"/>
    <m/>
    <m/>
  </r>
  <r>
    <d v="2019-12-10T00:00:00"/>
    <m/>
    <m/>
    <d v="1899-12-30T22:09:52"/>
    <n v="-76.690179380444903"/>
    <n v="3.4069317671664501"/>
    <n v="3395"/>
    <m/>
    <x v="4"/>
    <n v="5"/>
    <n v="50"/>
    <m/>
    <x v="3"/>
    <m/>
    <x v="2"/>
    <x v="18"/>
    <m/>
    <s v="Arbustal"/>
    <s v="Oscar Cuellar"/>
    <m/>
    <s v="Pristimantis myersi"/>
    <n v="1"/>
    <m/>
    <m/>
    <m/>
    <s v="Ninguna"/>
    <m/>
    <m/>
  </r>
  <r>
    <d v="2019-12-10T00:00:00"/>
    <m/>
    <m/>
    <d v="1899-12-30T20:03:49"/>
    <n v="-76.688450004012694"/>
    <n v="3.4082398646293002"/>
    <n v="3390"/>
    <m/>
    <x v="4"/>
    <n v="5"/>
    <n v="60"/>
    <m/>
    <x v="3"/>
    <m/>
    <x v="0"/>
    <x v="18"/>
    <m/>
    <s v="Arbustal"/>
    <s v="Gustavo Rodriguez"/>
    <m/>
    <s v="Pristimantis aff leptolophus"/>
    <n v="1"/>
    <m/>
    <m/>
    <m/>
    <s v="Ninguna"/>
    <m/>
    <m/>
  </r>
  <r>
    <d v="2019-12-10T00:00:00"/>
    <m/>
    <m/>
    <d v="1899-12-30T21:48:41"/>
    <n v="-76.689782447129204"/>
    <n v="3.4073082239731098"/>
    <n v="3393"/>
    <m/>
    <x v="4"/>
    <n v="4"/>
    <n v="45"/>
    <m/>
    <x v="3"/>
    <m/>
    <x v="1"/>
    <x v="18"/>
    <m/>
    <s v="Arbustal"/>
    <s v="Gustavo Rodriguez"/>
    <m/>
    <s v="Pristimantis aff leptolophus"/>
    <n v="1"/>
    <s v="pf T2 cruZ"/>
    <m/>
    <m/>
    <s v="Ninguna"/>
    <m/>
    <m/>
  </r>
  <r>
    <d v="2019-12-10T00:00:00"/>
    <m/>
    <m/>
    <d v="1899-12-30T20:31:19"/>
    <n v="-76.688724741131907"/>
    <n v="3.4078664157324501"/>
    <n v="3385"/>
    <m/>
    <x v="4"/>
    <n v="4"/>
    <n v="20"/>
    <m/>
    <x v="3"/>
    <m/>
    <x v="0"/>
    <x v="18"/>
    <m/>
    <s v="Arbustal"/>
    <s v="Soldado"/>
    <m/>
    <s v="Pristimantis aff leptolophus"/>
    <n v="1"/>
    <s v="macho"/>
    <m/>
    <m/>
    <s v="Ninguna"/>
    <m/>
    <m/>
  </r>
  <r>
    <d v="2019-12-10T00:00:00"/>
    <m/>
    <m/>
    <d v="1899-12-30T20:31:19"/>
    <n v="-76.688724741131907"/>
    <n v="3.4078664157324501"/>
    <n v="3385"/>
    <m/>
    <x v="4"/>
    <n v="4"/>
    <n v="80"/>
    <m/>
    <x v="3"/>
    <m/>
    <x v="0"/>
    <x v="18"/>
    <m/>
    <s v="Arbustal"/>
    <s v="soldado"/>
    <m/>
    <s v="Pristimantis aff leptolophus"/>
    <n v="1"/>
    <m/>
    <m/>
    <m/>
    <s v="Ninguna"/>
    <m/>
    <m/>
  </r>
  <r>
    <d v="2019-12-10T00:00:00"/>
    <m/>
    <m/>
    <d v="1899-12-30T19:39:21"/>
    <n v="-76.688344051540895"/>
    <n v="3.40815756893315"/>
    <n v="3398"/>
    <m/>
    <x v="4"/>
    <n v="4"/>
    <n v="40"/>
    <m/>
    <x v="3"/>
    <m/>
    <x v="0"/>
    <x v="18"/>
    <m/>
    <s v="Arbustal"/>
    <s v="oscar cuellar"/>
    <m/>
    <s v="Pristimantis aff leptolophus"/>
    <n v="1"/>
    <s v="dsc 0031 a 34"/>
    <m/>
    <m/>
    <s v="Ninguna"/>
    <m/>
    <m/>
  </r>
  <r>
    <d v="2019-12-10T00:00:00"/>
    <m/>
    <m/>
    <d v="1899-12-30T21:11:34"/>
    <n v="-76.689068341938807"/>
    <n v="3.4076396710888202"/>
    <n v="3395"/>
    <m/>
    <x v="4"/>
    <n v="4"/>
    <n v="40"/>
    <m/>
    <x v="3"/>
    <m/>
    <x v="1"/>
    <x v="18"/>
    <m/>
    <s v="Arbustal"/>
    <m/>
    <m/>
    <s v="Ninguna"/>
    <n v="0"/>
    <s v="pi t2 cruz"/>
    <m/>
    <m/>
    <s v="Ninguna"/>
    <m/>
    <m/>
  </r>
  <r>
    <d v="2019-12-10T00:00:00"/>
    <m/>
    <m/>
    <d v="1899-12-30T21:55:34"/>
    <n v="-76.689937633591001"/>
    <n v="3.4071911170936802"/>
    <n v="3388"/>
    <m/>
    <x v="4"/>
    <n v="3"/>
    <n v="70"/>
    <m/>
    <x v="3"/>
    <m/>
    <x v="2"/>
    <x v="18"/>
    <m/>
    <s v="Arbustal"/>
    <m/>
    <m/>
    <s v="Ninguna"/>
    <n v="0"/>
    <s v="pi T3 Cruz"/>
    <m/>
    <m/>
    <s v="Ninguna"/>
    <m/>
    <m/>
  </r>
  <r>
    <d v="2019-12-10T00:00:00"/>
    <m/>
    <m/>
    <d v="1899-12-30T23:15:42"/>
    <n v="-76.690672534041894"/>
    <n v="3.4062271663760799"/>
    <n v="3400"/>
    <m/>
    <x v="4"/>
    <n v="2"/>
    <n v="40"/>
    <m/>
    <x v="3"/>
    <m/>
    <x v="3"/>
    <x v="18"/>
    <m/>
    <s v="Arbustal"/>
    <s v="Dannythza Mona"/>
    <m/>
    <s v="Ninguna"/>
    <n v="0"/>
    <m/>
    <m/>
    <m/>
    <s v="Residuos solidos"/>
    <m/>
    <m/>
  </r>
  <r>
    <d v="2019-12-10T00:00:00"/>
    <m/>
    <m/>
    <d v="1899-12-30T20:58:57"/>
    <n v="-76.689044482086302"/>
    <n v="3.4076691365822902"/>
    <n v="3390"/>
    <m/>
    <x v="4"/>
    <n v="3"/>
    <n v="80"/>
    <m/>
    <x v="3"/>
    <m/>
    <x v="0"/>
    <x v="18"/>
    <m/>
    <s v="Arbustal"/>
    <s v="Kelly Perez"/>
    <m/>
    <s v="Pristimantis aff leptolophus"/>
    <n v="1"/>
    <s v="PF t1 Cruz"/>
    <m/>
    <m/>
    <s v="Ninguna"/>
    <m/>
    <m/>
  </r>
  <r>
    <d v="2019-12-10T00:00:00"/>
    <m/>
    <m/>
    <d v="1899-12-30T19:33:16"/>
    <n v="-76.688303989638996"/>
    <n v="3.40823777256794"/>
    <n v="3398"/>
    <m/>
    <x v="4"/>
    <n v="4"/>
    <n v="40"/>
    <m/>
    <x v="3"/>
    <m/>
    <x v="0"/>
    <x v="18"/>
    <m/>
    <s v="Arbustal"/>
    <m/>
    <m/>
    <s v="Ninguna"/>
    <n v="0"/>
    <s v="pi t1 la cruz"/>
    <m/>
    <m/>
    <s v="Ninguna"/>
    <m/>
    <m/>
  </r>
  <r>
    <d v="2019-12-10T00:00:00"/>
    <m/>
    <m/>
    <d v="1899-12-30T22:31:24"/>
    <n v="-76.690490605493196"/>
    <n v="3.40677618682296"/>
    <n v="3990"/>
    <m/>
    <x v="4"/>
    <n v="3"/>
    <n v="30"/>
    <m/>
    <x v="3"/>
    <m/>
    <x v="2"/>
    <x v="18"/>
    <m/>
    <s v="Arbustal"/>
    <s v="Oscar Cuellar"/>
    <m/>
    <s v="Pristimantis myersi"/>
    <n v="1"/>
    <m/>
    <m/>
    <m/>
    <s v="Ninguna"/>
    <m/>
    <m/>
  </r>
  <r>
    <d v="2019-12-10T00:00:00"/>
    <m/>
    <m/>
    <d v="1899-12-30T22:31:24"/>
    <n v="-76.690490605493196"/>
    <n v="3.40677618682296"/>
    <n v="3392"/>
    <m/>
    <x v="4"/>
    <n v="2"/>
    <n v="50"/>
    <m/>
    <x v="3"/>
    <m/>
    <x v="2"/>
    <x v="18"/>
    <m/>
    <s v="Arbustal"/>
    <m/>
    <m/>
    <s v="Ninguna"/>
    <n v="0"/>
    <s v="pf t3 CruZ"/>
    <m/>
    <m/>
    <s v="Ninguna"/>
    <m/>
    <m/>
  </r>
  <r>
    <d v="2020-11-17T00:00:00"/>
    <m/>
    <m/>
    <d v="1899-12-30T23:18:16"/>
    <n v="-76.719014999999999"/>
    <n v="3.48482"/>
    <m/>
    <e v="#DIV/0!"/>
    <x v="5"/>
    <e v="#DIV/0!"/>
    <e v="#DIV/0!"/>
    <m/>
    <x v="1"/>
    <m/>
    <x v="0"/>
    <x v="7"/>
    <m/>
    <m/>
    <m/>
    <m/>
    <s v="Ninguna"/>
    <n v="0"/>
    <m/>
    <m/>
    <m/>
    <m/>
    <m/>
    <m/>
  </r>
  <r>
    <d v="2020-11-17T00:00:00"/>
    <m/>
    <m/>
    <d v="1899-12-30T18:46:15"/>
    <n v="-76.71875833"/>
    <n v="3.487151667"/>
    <m/>
    <e v="#DIV/0!"/>
    <x v="5"/>
    <e v="#DIV/0!"/>
    <e v="#DIV/0!"/>
    <m/>
    <x v="1"/>
    <m/>
    <x v="4"/>
    <x v="7"/>
    <m/>
    <m/>
    <m/>
    <m/>
    <s v="Ninguna"/>
    <n v="0"/>
    <m/>
    <m/>
    <m/>
    <m/>
    <m/>
    <m/>
  </r>
  <r>
    <d v="2020-11-17T00:00:00"/>
    <m/>
    <m/>
    <d v="1899-12-30T21:08:28"/>
    <n v="-76.717706669999998"/>
    <n v="3.4851399999999999"/>
    <n v="1908"/>
    <e v="#DIV/0!"/>
    <x v="5"/>
    <e v="#DIV/0!"/>
    <e v="#DIV/0!"/>
    <m/>
    <x v="1"/>
    <m/>
    <x v="2"/>
    <x v="7"/>
    <m/>
    <s v="Bosque secundario"/>
    <s v="Gustavo Rodriguez"/>
    <s v="Herbaceo 0.3-1.5 m"/>
    <s v="Pristimantis erythropleura"/>
    <n v="1"/>
    <m/>
    <m/>
    <m/>
    <m/>
    <m/>
    <s v="Observacion"/>
  </r>
  <r>
    <d v="2020-11-17T00:00:00"/>
    <m/>
    <m/>
    <d v="1899-12-30T20:43:35"/>
    <n v="-76.717898329999997"/>
    <n v="3.4854699999999998"/>
    <n v="1907"/>
    <e v="#DIV/0!"/>
    <x v="5"/>
    <e v="#DIV/0!"/>
    <e v="#DIV/0!"/>
    <m/>
    <x v="1"/>
    <m/>
    <x v="2"/>
    <x v="7"/>
    <m/>
    <s v="Bosque secundario"/>
    <s v="Alvaro Fierro"/>
    <s v="Herbaceo 0.3-1.5 m"/>
    <s v="Pristimantis erythropleura"/>
    <n v="1"/>
    <m/>
    <m/>
    <m/>
    <m/>
    <m/>
    <s v="Observacion"/>
  </r>
  <r>
    <d v="2020-11-17T00:00:00"/>
    <m/>
    <m/>
    <d v="1899-12-30T20:43:35"/>
    <n v="-76.717898329999997"/>
    <n v="3.4854699999999998"/>
    <n v="1907"/>
    <e v="#DIV/0!"/>
    <x v="5"/>
    <e v="#DIV/0!"/>
    <e v="#DIV/0!"/>
    <m/>
    <x v="1"/>
    <m/>
    <x v="2"/>
    <x v="7"/>
    <m/>
    <s v="Bosque secundario"/>
    <s v="Alvaro Fierro"/>
    <s v="Herbaceo 0.3-1.5 m"/>
    <s v="Pristimantis erythropleura"/>
    <n v="1"/>
    <m/>
    <m/>
    <m/>
    <m/>
    <m/>
    <s v="Observacion"/>
  </r>
  <r>
    <d v="2020-11-17T00:00:00"/>
    <m/>
    <m/>
    <d v="1899-12-30T20:22:05"/>
    <n v="-76.717843329999994"/>
    <n v="3.4855700000000001"/>
    <n v="1917"/>
    <e v="#DIV/0!"/>
    <x v="5"/>
    <e v="#DIV/0!"/>
    <e v="#DIV/0!"/>
    <m/>
    <x v="1"/>
    <m/>
    <x v="2"/>
    <x v="7"/>
    <m/>
    <s v="Bosque secundario"/>
    <s v="Alvaro Fierro"/>
    <s v="Herbaceo 0.3-1.5 m"/>
    <s v="Pristimantis platychilus"/>
    <n v="1"/>
    <m/>
    <m/>
    <m/>
    <m/>
    <m/>
    <s v="Observacion"/>
  </r>
  <r>
    <d v="2020-11-17T00:00:00"/>
    <m/>
    <m/>
    <d v="1899-12-30T22:56:25"/>
    <n v="-76.718909999999994"/>
    <n v="3.4851549999999998"/>
    <n v="1910"/>
    <e v="#DIV/0!"/>
    <x v="5"/>
    <e v="#DIV/0!"/>
    <e v="#DIV/0!"/>
    <m/>
    <x v="1"/>
    <m/>
    <x v="1"/>
    <x v="7"/>
    <m/>
    <s v="Bosque ribereño"/>
    <s v="Alvaro Fierro"/>
    <s v="Herbaceo 0.3-1.5 m"/>
    <s v="Pristimantis palmeri"/>
    <n v="1"/>
    <m/>
    <m/>
    <m/>
    <m/>
    <m/>
    <s v="Observacion"/>
  </r>
  <r>
    <d v="2020-11-17T00:00:00"/>
    <m/>
    <m/>
    <d v="1899-12-30T22:00:23"/>
    <n v="-76.718656670000001"/>
    <n v="3.4850883330000002"/>
    <n v="1910"/>
    <e v="#DIV/0!"/>
    <x v="5"/>
    <e v="#DIV/0!"/>
    <e v="#DIV/0!"/>
    <m/>
    <x v="1"/>
    <m/>
    <x v="1"/>
    <x v="7"/>
    <m/>
    <s v="Bosque ribereño"/>
    <s v="Gustavo Rodriguez"/>
    <s v="Subarboreo 5-12 m"/>
    <s v="Centrolene savagei"/>
    <n v="3"/>
    <m/>
    <m/>
    <m/>
    <m/>
    <m/>
    <s v="Auditivo"/>
  </r>
  <r>
    <d v="2020-11-17T00:00:00"/>
    <m/>
    <m/>
    <d v="1899-12-30T22:58:31"/>
    <n v="-76.718951669999996"/>
    <n v="3.4850316669999999"/>
    <n v="1907"/>
    <e v="#DIV/0!"/>
    <x v="5"/>
    <e v="#DIV/0!"/>
    <e v="#DIV/0!"/>
    <m/>
    <x v="1"/>
    <m/>
    <x v="1"/>
    <x v="7"/>
    <m/>
    <s v="Bosque ribereño"/>
    <s v="Alvaro Fierro"/>
    <s v="Rasante &lt;0.3 m"/>
    <s v="Pristimantis palmeri"/>
    <n v="1"/>
    <m/>
    <m/>
    <m/>
    <m/>
    <m/>
    <s v="Observacion"/>
  </r>
  <r>
    <d v="2020-11-17T00:00:00"/>
    <m/>
    <m/>
    <d v="1899-12-30T19:17:07"/>
    <n v="-76.718306670000004"/>
    <n v="3.4861216669999999"/>
    <n v="1907"/>
    <e v="#DIV/0!"/>
    <x v="5"/>
    <e v="#DIV/0!"/>
    <e v="#DIV/0!"/>
    <m/>
    <x v="1"/>
    <m/>
    <x v="3"/>
    <x v="7"/>
    <m/>
    <s v="Arbustal"/>
    <s v="Alvaro Fierro"/>
    <s v="Herbaceo 0.3-1.5 m"/>
    <s v="Pristimantis boulengeri"/>
    <n v="1"/>
    <m/>
    <m/>
    <m/>
    <m/>
    <m/>
    <s v="Observacion"/>
  </r>
  <r>
    <d v="2020-10-29T00:00:00"/>
    <m/>
    <m/>
    <d v="1899-12-30T21:16:17"/>
    <n v="-76.647046669999995"/>
    <n v="3.349135"/>
    <n v="2391"/>
    <e v="#DIV/0!"/>
    <x v="5"/>
    <e v="#DIV/0!"/>
    <e v="#DIV/0!"/>
    <m/>
    <x v="2"/>
    <m/>
    <x v="1"/>
    <x v="11"/>
    <m/>
    <s v="Bosque ribereño"/>
    <s v="Gustavo Rodriguez"/>
    <s v="Herbaceo 0.3-1.5 m"/>
    <s v="Pristimantis erythropleura"/>
    <n v="1"/>
    <m/>
    <m/>
    <m/>
    <m/>
    <m/>
    <s v="Observacion"/>
  </r>
  <r>
    <d v="2020-10-29T00:00:00"/>
    <m/>
    <m/>
    <d v="1899-12-30T21:38:22"/>
    <n v="-76.647094999999993"/>
    <n v="3.348468333"/>
    <n v="2382"/>
    <e v="#DIV/0!"/>
    <x v="5"/>
    <e v="#DIV/0!"/>
    <e v="#DIV/0!"/>
    <m/>
    <x v="2"/>
    <m/>
    <x v="0"/>
    <x v="11"/>
    <m/>
    <s v="Bosque ribereño"/>
    <s v="Einar Huetio"/>
    <s v="Herbaceo 0.3-1.5 m"/>
    <s v="Pristimantis erythropleura"/>
    <n v="1"/>
    <m/>
    <m/>
    <m/>
    <m/>
    <m/>
    <s v="Observacion"/>
  </r>
  <r>
    <d v="2020-11-18T00:00:00"/>
    <m/>
    <m/>
    <d v="1899-12-30T20:31:14"/>
    <n v="-76.722409999999996"/>
    <n v="3.4773133330000001"/>
    <n v="2114"/>
    <e v="#DIV/0!"/>
    <x v="5"/>
    <e v="#DIV/0!"/>
    <e v="#DIV/0!"/>
    <m/>
    <x v="1"/>
    <m/>
    <x v="1"/>
    <x v="8"/>
    <m/>
    <s v="Bosque primario"/>
    <s v="Joseph Lemos"/>
    <s v="Herbaceo 0.3-1.5 m"/>
    <s v="Pristimantis gracilis"/>
    <n v="2"/>
    <m/>
    <m/>
    <m/>
    <m/>
    <m/>
    <s v="Auditivo"/>
  </r>
  <r>
    <d v="2020-11-18T00:00:00"/>
    <m/>
    <m/>
    <d v="1899-12-30T21:13:00"/>
    <n v="-76.722520000000003"/>
    <n v="3.4776133329999999"/>
    <n v="2120"/>
    <e v="#DIV/0!"/>
    <x v="5"/>
    <e v="#DIV/0!"/>
    <e v="#DIV/0!"/>
    <m/>
    <x v="1"/>
    <m/>
    <x v="1"/>
    <x v="8"/>
    <m/>
    <s v="Bosque primario"/>
    <s v="Alvaro Fierro"/>
    <s v="Herbaceo 0.3-1.5 m"/>
    <s v="Pristimantis molybrignus"/>
    <n v="1"/>
    <m/>
    <m/>
    <m/>
    <m/>
    <m/>
    <s v="Observacion"/>
  </r>
  <r>
    <d v="2020-11-18T00:00:00"/>
    <m/>
    <m/>
    <d v="1899-12-30T21:24:10"/>
    <n v="-76.722745000000003"/>
    <n v="3.4778183330000001"/>
    <n v="2104"/>
    <e v="#DIV/0!"/>
    <x v="5"/>
    <e v="#DIV/0!"/>
    <e v="#DIV/0!"/>
    <m/>
    <x v="1"/>
    <m/>
    <x v="1"/>
    <x v="8"/>
    <m/>
    <s v="Bosque primario"/>
    <s v="Alvaro Fierro"/>
    <s v="Rasante &lt;0.3 m"/>
    <s v="Hypodactylus mantipus"/>
    <n v="2"/>
    <m/>
    <m/>
    <m/>
    <m/>
    <m/>
    <s v="Observacion"/>
  </r>
  <r>
    <d v="2020-11-18T00:00:00"/>
    <m/>
    <m/>
    <d v="1899-12-30T21:24:10"/>
    <n v="-76.722745000000003"/>
    <n v="3.4778183330000001"/>
    <n v="2104"/>
    <e v="#DIV/0!"/>
    <x v="5"/>
    <e v="#DIV/0!"/>
    <e v="#DIV/0!"/>
    <m/>
    <x v="1"/>
    <m/>
    <x v="1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1:19:26"/>
    <n v="-76.722695000000002"/>
    <n v="3.4777499999999999"/>
    <n v="2114"/>
    <e v="#DIV/0!"/>
    <x v="5"/>
    <e v="#DIV/0!"/>
    <e v="#DIV/0!"/>
    <m/>
    <x v="1"/>
    <m/>
    <x v="1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0:36:11"/>
    <n v="-76.722458329999995"/>
    <n v="3.4772733329999999"/>
    <n v="2104"/>
    <e v="#DIV/0!"/>
    <x v="5"/>
    <e v="#DIV/0!"/>
    <e v="#DIV/0!"/>
    <m/>
    <x v="1"/>
    <m/>
    <x v="1"/>
    <x v="8"/>
    <m/>
    <s v="Bosque primario"/>
    <s v="Joseph Lemos"/>
    <s v="Herbaceo 0.3-1.5 m"/>
    <s v="Bolitoglossa walkeri"/>
    <n v="1"/>
    <m/>
    <m/>
    <m/>
    <m/>
    <m/>
    <s v="Observacion"/>
  </r>
  <r>
    <d v="2020-11-18T00:00:00"/>
    <m/>
    <m/>
    <d v="1899-12-30T20:36:11"/>
    <n v="-76.722458329999995"/>
    <n v="3.4772733329999999"/>
    <n v="2104"/>
    <e v="#DIV/0!"/>
    <x v="5"/>
    <e v="#DIV/0!"/>
    <e v="#DIV/0!"/>
    <m/>
    <x v="1"/>
    <m/>
    <x v="1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0:41:50"/>
    <n v="-76.722386670000006"/>
    <n v="3.477328333"/>
    <n v="2104"/>
    <e v="#DIV/0!"/>
    <x v="5"/>
    <e v="#DIV/0!"/>
    <e v="#DIV/0!"/>
    <m/>
    <x v="1"/>
    <m/>
    <x v="1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0:41:50"/>
    <n v="-76.722386670000006"/>
    <n v="3.477328333"/>
    <n v="2104"/>
    <e v="#DIV/0!"/>
    <x v="5"/>
    <e v="#DIV/0!"/>
    <e v="#DIV/0!"/>
    <m/>
    <x v="1"/>
    <m/>
    <x v="1"/>
    <x v="8"/>
    <m/>
    <s v="Bosque primario"/>
    <s v="Alvaro Fierro"/>
    <s v="Herbaceo 0.3-1.5 m"/>
    <s v="Pristimantis juanchoi"/>
    <n v="1"/>
    <m/>
    <m/>
    <m/>
    <m/>
    <m/>
    <s v="Observacion"/>
  </r>
  <r>
    <d v="2020-11-18T00:00:00"/>
    <m/>
    <m/>
    <d v="1899-12-30T20:16:42"/>
    <n v="-76.722373329999996"/>
    <n v="3.4772150000000002"/>
    <n v="2109"/>
    <e v="#DIV/0!"/>
    <x v="5"/>
    <e v="#DIV/0!"/>
    <e v="#DIV/0!"/>
    <m/>
    <x v="1"/>
    <m/>
    <x v="1"/>
    <x v="8"/>
    <m/>
    <s v="Bosque primario"/>
    <s v="Alvaro Fierro"/>
    <s v="Herbaceo 0.3-1.5 m"/>
    <s v="Pristimantis molybrignus"/>
    <n v="1"/>
    <m/>
    <m/>
    <m/>
    <m/>
    <m/>
    <s v="Observacion"/>
  </r>
  <r>
    <d v="2020-11-18T00:00:00"/>
    <m/>
    <m/>
    <d v="1899-12-30T20:16:42"/>
    <n v="-76.722373329999996"/>
    <n v="3.4772150000000002"/>
    <n v="2109"/>
    <e v="#DIV/0!"/>
    <x v="5"/>
    <e v="#DIV/0!"/>
    <e v="#DIV/0!"/>
    <m/>
    <x v="1"/>
    <m/>
    <x v="1"/>
    <x v="8"/>
    <m/>
    <s v="Bosque primario"/>
    <s v="Joseph Lemos"/>
    <s v="Rasante &lt;0.3 m"/>
    <s v="Hypodactylus mantipus"/>
    <n v="1"/>
    <m/>
    <m/>
    <m/>
    <m/>
    <m/>
    <s v="Observacion"/>
  </r>
  <r>
    <d v="2020-11-18T00:00:00"/>
    <m/>
    <m/>
    <d v="1899-12-30T21:00:57"/>
    <n v="-76.722426670000004"/>
    <n v="3.4774283330000002"/>
    <n v="2104"/>
    <e v="#DIV/0!"/>
    <x v="5"/>
    <e v="#DIV/0!"/>
    <e v="#DIV/0!"/>
    <m/>
    <x v="1"/>
    <m/>
    <x v="1"/>
    <x v="8"/>
    <m/>
    <s v="Bosque primario"/>
    <s v="Gustavo Rodriguez"/>
    <s v="Herbaceo 0.3-1.5 m"/>
    <s v="Pristimantis molybrignus"/>
    <n v="3"/>
    <m/>
    <m/>
    <m/>
    <m/>
    <m/>
    <s v="Observacion"/>
  </r>
  <r>
    <d v="2020-11-18T00:00:00"/>
    <m/>
    <m/>
    <d v="1899-12-30T21:09:19"/>
    <n v="-76.722489999999993"/>
    <n v="3.4775933330000002"/>
    <n v="2110"/>
    <e v="#DIV/0!"/>
    <x v="5"/>
    <e v="#DIV/0!"/>
    <e v="#DIV/0!"/>
    <m/>
    <x v="1"/>
    <m/>
    <x v="1"/>
    <x v="8"/>
    <m/>
    <s v="Bosque primario"/>
    <s v="Joseph Lemos"/>
    <s v="Rasante &lt;0.3 m"/>
    <s v="Hypodactylus mantipus"/>
    <n v="2"/>
    <m/>
    <m/>
    <m/>
    <m/>
    <m/>
    <s v="Observacion"/>
  </r>
  <r>
    <d v="2020-11-18T00:00:00"/>
    <m/>
    <m/>
    <d v="1899-12-30T22:10:12"/>
    <n v="-76.722819999999999"/>
    <n v="3.4783916669999999"/>
    <n v="2106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2:28:50"/>
    <n v="-76.722873329999999"/>
    <n v="3.4786583329999998"/>
    <n v="2089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1:33:59"/>
    <n v="-76.72277167"/>
    <n v="3.4781083330000002"/>
    <n v="2105"/>
    <e v="#DIV/0!"/>
    <x v="5"/>
    <e v="#DIV/0!"/>
    <e v="#DIV/0!"/>
    <m/>
    <x v="1"/>
    <m/>
    <x v="2"/>
    <x v="8"/>
    <m/>
    <s v="Bosque primario"/>
    <s v="Alvaro Fierro"/>
    <s v="Herbaceo 0.3-1.5 m"/>
    <s v="Pristimantis gracilis"/>
    <n v="1"/>
    <m/>
    <m/>
    <m/>
    <m/>
    <m/>
    <s v="Observacion"/>
  </r>
  <r>
    <d v="2020-11-18T00:00:00"/>
    <m/>
    <m/>
    <d v="1899-12-30T22:32:20"/>
    <n v="-76.722821670000002"/>
    <n v="3.4787083330000002"/>
    <n v="2089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2:15:33"/>
    <n v="-76.722683329999995"/>
    <n v="3.4785466669999998"/>
    <n v="2089"/>
    <e v="#DIV/0!"/>
    <x v="5"/>
    <e v="#DIV/0!"/>
    <e v="#DIV/0!"/>
    <m/>
    <x v="1"/>
    <m/>
    <x v="2"/>
    <x v="8"/>
    <m/>
    <s v="Bosque primario"/>
    <s v="Gustavo Rodriguez"/>
    <s v="Herbaceo 0.3-1.5 m"/>
    <s v="Pristimantis gracilis"/>
    <n v="1"/>
    <m/>
    <m/>
    <m/>
    <m/>
    <m/>
    <s v="Observacion"/>
  </r>
  <r>
    <d v="2020-11-18T00:00:00"/>
    <m/>
    <m/>
    <d v="1899-12-30T22:15:33"/>
    <n v="-76.722683329999995"/>
    <n v="3.4785466669999998"/>
    <n v="2106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2:37:26"/>
    <n v="-76.722835000000003"/>
    <n v="3.4788983330000001"/>
    <n v="2089"/>
    <e v="#DIV/0!"/>
    <x v="5"/>
    <e v="#DIV/0!"/>
    <e v="#DIV/0!"/>
    <m/>
    <x v="1"/>
    <m/>
    <x v="2"/>
    <x v="8"/>
    <m/>
    <s v="Bosque primario"/>
    <s v="Joseph Lemos"/>
    <s v="Herbaceo 0.3-1.5 m"/>
    <s v="Pristimantis molybrignus"/>
    <n v="2"/>
    <m/>
    <m/>
    <m/>
    <m/>
    <m/>
    <s v="Observacion"/>
  </r>
  <r>
    <d v="2020-11-18T00:00:00"/>
    <m/>
    <m/>
    <d v="1899-12-30T22:01:03"/>
    <n v="-76.722859999999997"/>
    <n v="3.4782799999999998"/>
    <n v="2106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2"/>
    <m/>
    <m/>
    <m/>
    <m/>
    <m/>
    <s v="Observacion"/>
  </r>
  <r>
    <d v="2020-11-18T00:00:00"/>
    <m/>
    <m/>
    <d v="1899-12-30T22:42:16"/>
    <n v="-76.722958329999997"/>
    <n v="3.4789733329999999"/>
    <n v="2089"/>
    <e v="#DIV/0!"/>
    <x v="5"/>
    <e v="#DIV/0!"/>
    <e v="#DIV/0!"/>
    <m/>
    <x v="1"/>
    <m/>
    <x v="2"/>
    <x v="8"/>
    <m/>
    <s v="Bosque primario"/>
    <s v="Joseph Lemos"/>
    <s v="Herbaceo 0.3-1.5 m"/>
    <s v="Bolitoglossa walkeri"/>
    <n v="1"/>
    <m/>
    <m/>
    <m/>
    <m/>
    <m/>
    <s v="Observacion"/>
  </r>
  <r>
    <d v="2020-11-18T00:00:00"/>
    <m/>
    <m/>
    <d v="1899-12-30T21:42:40"/>
    <n v="-76.722751669999994"/>
    <n v="3.4781816669999999"/>
    <n v="2114"/>
    <e v="#DIV/0!"/>
    <x v="5"/>
    <e v="#DIV/0!"/>
    <e v="#DIV/0!"/>
    <m/>
    <x v="1"/>
    <m/>
    <x v="2"/>
    <x v="8"/>
    <m/>
    <s v="Bosque primario"/>
    <s v="Alvaro Fierro"/>
    <s v="Herbaceo 0.3-1.5 m"/>
    <s v="Pristimantis molybrignus"/>
    <n v="5"/>
    <m/>
    <m/>
    <m/>
    <m/>
    <m/>
    <s v="Observacion"/>
  </r>
  <r>
    <d v="2020-11-18T00:00:00"/>
    <m/>
    <m/>
    <d v="1899-12-30T21:42:40"/>
    <n v="-76.722751669999994"/>
    <n v="3.4781816669999999"/>
    <n v="2106"/>
    <e v="#DIV/0!"/>
    <x v="5"/>
    <e v="#DIV/0!"/>
    <e v="#DIV/0!"/>
    <m/>
    <x v="1"/>
    <m/>
    <x v="2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1:42:40"/>
    <n v="-76.722751669999994"/>
    <n v="3.4781816669999999"/>
    <n v="2104"/>
    <e v="#DIV/0!"/>
    <x v="5"/>
    <e v="#DIV/0!"/>
    <e v="#DIV/0!"/>
    <m/>
    <x v="1"/>
    <m/>
    <x v="2"/>
    <x v="8"/>
    <m/>
    <s v="Bosque primario"/>
    <s v="Alvaro Fierro"/>
    <s v="Herbaceo 0.3-1.5 m"/>
    <s v="Pristimantis molybrignus"/>
    <n v="2"/>
    <m/>
    <m/>
    <m/>
    <m/>
    <m/>
    <s v="Observacion"/>
  </r>
  <r>
    <d v="2020-11-18T00:00:00"/>
    <m/>
    <m/>
    <d v="1899-12-30T23:48:21"/>
    <n v="-76.723231670000004"/>
    <n v="3.4805933329999998"/>
    <n v="2067"/>
    <e v="#DIV/0!"/>
    <x v="5"/>
    <e v="#DIV/0!"/>
    <e v="#DIV/0!"/>
    <m/>
    <x v="1"/>
    <m/>
    <x v="4"/>
    <x v="8"/>
    <m/>
    <s v="Bosque primario"/>
    <s v="Alvaro Fierro"/>
    <s v="Herbaceo 0.3-1.5 m"/>
    <s v="Pristimantis alius"/>
    <n v="1"/>
    <m/>
    <m/>
    <m/>
    <m/>
    <m/>
    <s v="Observacion"/>
  </r>
  <r>
    <d v="2020-11-18T00:00:00"/>
    <m/>
    <m/>
    <d v="1899-12-30T23:43:34"/>
    <n v="-76.723245000000006"/>
    <n v="3.4805633330000001"/>
    <n v="2067"/>
    <e v="#DIV/0!"/>
    <x v="5"/>
    <e v="#DIV/0!"/>
    <e v="#DIV/0!"/>
    <m/>
    <x v="1"/>
    <m/>
    <x v="4"/>
    <x v="8"/>
    <m/>
    <s v="Bosque primario"/>
    <s v="Joseph Lemos"/>
    <s v="Herbaceo 0.3-1.5 m"/>
    <s v="Pristimantis molybrignus"/>
    <n v="2"/>
    <m/>
    <m/>
    <m/>
    <m/>
    <m/>
    <s v="Observacion"/>
  </r>
  <r>
    <d v="2020-11-18T00:00:00"/>
    <m/>
    <m/>
    <d v="1899-12-30T00:03:16"/>
    <n v="-76.723201669999995"/>
    <n v="3.4808783330000002"/>
    <n v="2063"/>
    <e v="#DIV/0!"/>
    <x v="5"/>
    <e v="#DIV/0!"/>
    <e v="#DIV/0!"/>
    <m/>
    <x v="1"/>
    <m/>
    <x v="4"/>
    <x v="8"/>
    <m/>
    <s v="Bosque primario"/>
    <s v="Alvaro Fierro"/>
    <s v="Herbaceo 0.3-1.5 m"/>
    <s v="Pristimantis molybrignus"/>
    <n v="1"/>
    <m/>
    <m/>
    <m/>
    <m/>
    <m/>
    <s v="Observacion"/>
  </r>
  <r>
    <d v="2020-11-18T00:00:00"/>
    <m/>
    <m/>
    <d v="1899-12-30T23:52:22"/>
    <n v="-76.723296669999996"/>
    <n v="3.4806849999999998"/>
    <n v="2067"/>
    <e v="#DIV/0!"/>
    <x v="5"/>
    <e v="#DIV/0!"/>
    <e v="#DIV/0!"/>
    <m/>
    <x v="1"/>
    <m/>
    <x v="4"/>
    <x v="8"/>
    <m/>
    <s v="Bosque primario"/>
    <s v="Alvaro Fierro"/>
    <s v="Herbaceo 0.3-1.5 m"/>
    <s v="Pristimantis molybrignus"/>
    <n v="1"/>
    <m/>
    <m/>
    <m/>
    <m/>
    <m/>
    <s v="Observacion"/>
  </r>
  <r>
    <d v="2020-11-18T00:00:00"/>
    <m/>
    <m/>
    <d v="1899-12-30T19:07:17"/>
    <n v="-76.722219999999993"/>
    <n v="3.4768283329999998"/>
    <n v="2114"/>
    <e v="#DIV/0!"/>
    <x v="5"/>
    <e v="#DIV/0!"/>
    <e v="#DIV/0!"/>
    <m/>
    <x v="1"/>
    <m/>
    <x v="0"/>
    <x v="8"/>
    <m/>
    <s v="Bosque primario"/>
    <s v="Joseph Lemos"/>
    <s v="Herbaceo 0.3-1.5 m"/>
    <s v="Bolitoglossa walkeri"/>
    <n v="1"/>
    <m/>
    <m/>
    <m/>
    <m/>
    <m/>
    <s v="Observacion"/>
  </r>
  <r>
    <d v="2020-11-18T00:00:00"/>
    <m/>
    <m/>
    <d v="1899-12-30T20:03:45"/>
    <n v="-76.722288329999998"/>
    <n v="3.4769716669999999"/>
    <n v="2109"/>
    <e v="#DIV/0!"/>
    <x v="5"/>
    <e v="#DIV/0!"/>
    <e v="#DIV/0!"/>
    <m/>
    <x v="1"/>
    <m/>
    <x v="0"/>
    <x v="8"/>
    <m/>
    <s v="Bosque primario"/>
    <s v="Alvaro Fierro"/>
    <s v="Herbaceo 0.3-1.5 m"/>
    <s v="Bolitoglossa walkeri"/>
    <n v="1"/>
    <m/>
    <m/>
    <m/>
    <m/>
    <m/>
    <s v="Observacion"/>
  </r>
  <r>
    <d v="2020-11-18T00:00:00"/>
    <m/>
    <m/>
    <d v="1899-12-30T20:03:45"/>
    <n v="-76.722288329999998"/>
    <n v="3.4769716669999999"/>
    <n v="2109"/>
    <e v="#DIV/0!"/>
    <x v="5"/>
    <e v="#DIV/0!"/>
    <e v="#DIV/0!"/>
    <m/>
    <x v="1"/>
    <m/>
    <x v="0"/>
    <x v="8"/>
    <m/>
    <s v="Bosque primario"/>
    <s v="Joseph Lemos"/>
    <s v="Herbaceo 0.3-1.5 m"/>
    <s v="Bolitoglossa walkeri"/>
    <n v="1"/>
    <m/>
    <m/>
    <m/>
    <m/>
    <m/>
    <s v="Observacion"/>
  </r>
  <r>
    <d v="2020-11-18T00:00:00"/>
    <m/>
    <m/>
    <d v="1899-12-30T19:43:39"/>
    <n v="-76.722279999999998"/>
    <n v="3.4769066670000002"/>
    <n v="2105"/>
    <e v="#DIV/0!"/>
    <x v="5"/>
    <e v="#DIV/0!"/>
    <e v="#DIV/0!"/>
    <m/>
    <x v="1"/>
    <m/>
    <x v="0"/>
    <x v="8"/>
    <m/>
    <s v="Bosque primario"/>
    <s v="Joseph Lemos"/>
    <s v="Herbaceo 0.3-1.5 m"/>
    <s v="Bolitoglossa walkeri"/>
    <n v="1"/>
    <m/>
    <m/>
    <m/>
    <m/>
    <m/>
    <s v="Observacion"/>
  </r>
  <r>
    <d v="2020-11-18T00:00:00"/>
    <m/>
    <m/>
    <d v="1899-12-30T19:43:39"/>
    <n v="-76.722279999999998"/>
    <n v="3.4769066670000002"/>
    <n v="2105"/>
    <e v="#DIV/0!"/>
    <x v="5"/>
    <e v="#DIV/0!"/>
    <e v="#DIV/0!"/>
    <m/>
    <x v="1"/>
    <m/>
    <x v="0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19:43:39"/>
    <n v="-76.722279999999998"/>
    <n v="3.4769066670000002"/>
    <n v="2105"/>
    <e v="#DIV/0!"/>
    <x v="5"/>
    <e v="#DIV/0!"/>
    <e v="#DIV/0!"/>
    <m/>
    <x v="1"/>
    <m/>
    <x v="0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19:20:14"/>
    <n v="-76.722196670000002"/>
    <n v="3.4768633329999998"/>
    <n v="2114"/>
    <e v="#DIV/0!"/>
    <x v="5"/>
    <e v="#DIV/0!"/>
    <e v="#DIV/0!"/>
    <m/>
    <x v="1"/>
    <m/>
    <x v="0"/>
    <x v="8"/>
    <m/>
    <s v="Bosque primario"/>
    <s v="Joseph Lemos"/>
    <s v="Herbaceo 0.3-1.5 m"/>
    <s v="Bolitoglossa biseriata"/>
    <n v="1"/>
    <m/>
    <m/>
    <m/>
    <m/>
    <m/>
    <s v="Observacion"/>
  </r>
  <r>
    <d v="2020-11-18T00:00:00"/>
    <m/>
    <m/>
    <d v="1899-12-30T19:37:02"/>
    <n v="-76.722184999999996"/>
    <n v="3.4768883330000002"/>
    <n v="2110"/>
    <e v="#DIV/0!"/>
    <x v="5"/>
    <e v="#DIV/0!"/>
    <e v="#DIV/0!"/>
    <m/>
    <x v="1"/>
    <m/>
    <x v="0"/>
    <x v="8"/>
    <m/>
    <s v="Bosque primario"/>
    <s v="Alvaro Fierro"/>
    <s v="Herbaceo 0.3-1.5 m"/>
    <s v="Bolitoglossa walkeri"/>
    <n v="1"/>
    <m/>
    <m/>
    <m/>
    <m/>
    <m/>
    <s v="Observacion"/>
  </r>
  <r>
    <d v="2020-11-18T00:00:00"/>
    <m/>
    <m/>
    <d v="1899-12-30T19:37:02"/>
    <n v="-76.722184999999996"/>
    <n v="3.4768883330000002"/>
    <n v="2114"/>
    <e v="#DIV/0!"/>
    <x v="5"/>
    <e v="#DIV/0!"/>
    <e v="#DIV/0!"/>
    <m/>
    <x v="1"/>
    <m/>
    <x v="0"/>
    <x v="8"/>
    <m/>
    <s v="Bosque primario"/>
    <s v="Joseph Lemos"/>
    <s v="Herbaceo 0.3-1.5 m"/>
    <s v="Pristimantis gracilis"/>
    <n v="1"/>
    <m/>
    <m/>
    <m/>
    <m/>
    <m/>
    <s v="Observacion"/>
  </r>
  <r>
    <d v="2020-11-18T00:00:00"/>
    <m/>
    <m/>
    <d v="1899-12-30T19:58:00"/>
    <n v="-76.722269999999995"/>
    <n v="3.476918333"/>
    <n v="2109"/>
    <e v="#DIV/0!"/>
    <x v="5"/>
    <e v="#DIV/0!"/>
    <e v="#DIV/0!"/>
    <m/>
    <x v="1"/>
    <m/>
    <x v="0"/>
    <x v="8"/>
    <m/>
    <s v="Bosque primario"/>
    <s v="Joseph Lemos"/>
    <s v="Rasante &lt;0.3 m"/>
    <s v="Hypodactylus mantipus"/>
    <n v="1"/>
    <m/>
    <m/>
    <m/>
    <m/>
    <m/>
    <s v="Observacion"/>
  </r>
  <r>
    <d v="2020-11-18T00:00:00"/>
    <m/>
    <m/>
    <d v="1899-12-30T23:08:59"/>
    <n v="-76.723043329999996"/>
    <n v="3.4794166670000002"/>
    <n v="2077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3:33:07"/>
    <n v="-76.723123330000007"/>
    <n v="3.4800849999999999"/>
    <n v="2060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2:59:44"/>
    <n v="-76.723043329999996"/>
    <n v="3.4794049999999999"/>
    <n v="2070"/>
    <e v="#DIV/0!"/>
    <x v="5"/>
    <e v="#DIV/0!"/>
    <e v="#DIV/0!"/>
    <m/>
    <x v="1"/>
    <m/>
    <x v="3"/>
    <x v="8"/>
    <m/>
    <s v="Bosque primario"/>
    <s v="Alvaro Fierro"/>
    <s v="Herbaceo 0.3-1.5 m"/>
    <s v="Pristimantis silverstonei"/>
    <n v="1"/>
    <m/>
    <m/>
    <m/>
    <m/>
    <m/>
    <s v="Observacion"/>
  </r>
  <r>
    <d v="2020-11-18T00:00:00"/>
    <m/>
    <m/>
    <d v="1899-12-30T23:16:59"/>
    <n v="-76.723091670000002"/>
    <n v="3.4795400000000001"/>
    <n v="2069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3:26:06"/>
    <n v="-76.723155000000006"/>
    <n v="3.4798433329999998"/>
    <n v="2078"/>
    <e v="#DIV/0!"/>
    <x v="5"/>
    <e v="#DIV/0!"/>
    <e v="#DIV/0!"/>
    <m/>
    <x v="1"/>
    <m/>
    <x v="3"/>
    <x v="8"/>
    <m/>
    <s v="Bosque primario"/>
    <s v="Alvaro Fierro"/>
    <s v="Herbaceo 0.3-1.5 m"/>
    <s v="Pristimantis molybrignus"/>
    <n v="1"/>
    <m/>
    <m/>
    <m/>
    <m/>
    <m/>
    <s v="Observacion"/>
  </r>
  <r>
    <d v="2020-11-18T00:00:00"/>
    <m/>
    <m/>
    <d v="1899-12-30T22:53:26"/>
    <n v="-76.722926670000007"/>
    <n v="3.4791316669999999"/>
    <n v="2088"/>
    <e v="#DIV/0!"/>
    <x v="5"/>
    <e v="#DIV/0!"/>
    <e v="#DIV/0!"/>
    <m/>
    <x v="1"/>
    <m/>
    <x v="3"/>
    <x v="8"/>
    <m/>
    <s v="Bosque primario"/>
    <s v="Gustavo Rodriguez"/>
    <s v="Herbaceo 0.3-1.5 m"/>
    <s v="Pristimantis molybrignus"/>
    <n v="1"/>
    <m/>
    <m/>
    <m/>
    <m/>
    <m/>
    <s v="Observacion"/>
  </r>
  <r>
    <d v="2020-11-18T00:00:00"/>
    <m/>
    <m/>
    <d v="1899-12-30T23:15:14"/>
    <n v="-76.723053329999999"/>
    <n v="3.4795349999999998"/>
    <n v="2079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3:28:49"/>
    <n v="-76.723256669999998"/>
    <n v="3.4799183330000001"/>
    <n v="2074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1"/>
    <m/>
    <m/>
    <m/>
    <m/>
    <m/>
    <s v="Observacion"/>
  </r>
  <r>
    <d v="2020-11-18T00:00:00"/>
    <m/>
    <m/>
    <d v="1899-12-30T22:56:36"/>
    <n v="-76.723026669999996"/>
    <n v="3.4793766669999999"/>
    <n v="2077"/>
    <e v="#DIV/0!"/>
    <x v="5"/>
    <e v="#DIV/0!"/>
    <e v="#DIV/0!"/>
    <m/>
    <x v="1"/>
    <m/>
    <x v="3"/>
    <x v="8"/>
    <m/>
    <s v="Bosque primario"/>
    <s v="Joseph Lemos"/>
    <s v="Herbaceo 0.3-1.5 m"/>
    <s v="Pristimantis molybrignus"/>
    <n v="2"/>
    <m/>
    <m/>
    <m/>
    <m/>
    <m/>
    <s v="Observacion"/>
  </r>
  <r>
    <d v="2020-11-18T00:00:00"/>
    <m/>
    <m/>
    <d v="1899-12-30T22:57:40"/>
    <n v="-76.723021669999994"/>
    <n v="3.4793099999999999"/>
    <n v="2077"/>
    <e v="#DIV/0!"/>
    <x v="5"/>
    <e v="#DIV/0!"/>
    <e v="#DIV/0!"/>
    <m/>
    <x v="1"/>
    <m/>
    <x v="3"/>
    <x v="8"/>
    <m/>
    <s v="Bosque primario"/>
    <s v="Alvaro Fierro"/>
    <s v="Herbaceo 0.3-1.5 m"/>
    <s v="Pristimantis molybrignus"/>
    <n v="1"/>
    <m/>
    <m/>
    <m/>
    <m/>
    <m/>
    <s v="Observacion"/>
  </r>
  <r>
    <d v="2020-10-27T00:00:00"/>
    <m/>
    <m/>
    <d v="1899-12-30T23:02:23"/>
    <n v="-76.643095000000002"/>
    <n v="3.3496233329999998"/>
    <n v="2421"/>
    <e v="#DIV/0!"/>
    <x v="5"/>
    <e v="#DIV/0!"/>
    <e v="#DIV/0!"/>
    <m/>
    <x v="2"/>
    <m/>
    <x v="1"/>
    <x v="10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22:56:56"/>
    <n v="-76.643034999999998"/>
    <n v="3.3496266669999999"/>
    <n v="2419"/>
    <e v="#DIV/0!"/>
    <x v="5"/>
    <e v="#DIV/0!"/>
    <e v="#DIV/0!"/>
    <m/>
    <x v="2"/>
    <m/>
    <x v="1"/>
    <x v="10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22:49:21"/>
    <n v="-76.642876670000007"/>
    <n v="3.3494649999999999"/>
    <n v="2408"/>
    <e v="#DIV/0!"/>
    <x v="5"/>
    <e v="#DIV/0!"/>
    <e v="#DIV/0!"/>
    <m/>
    <x v="2"/>
    <m/>
    <x v="1"/>
    <x v="10"/>
    <m/>
    <s v="Bosque primario"/>
    <s v="Einar Huetio"/>
    <s v="Herbaceo 0.3-1.5 m"/>
    <s v="Pristimantis aff quimbaya"/>
    <n v="1"/>
    <m/>
    <m/>
    <m/>
    <m/>
    <m/>
    <s v="Observacion"/>
  </r>
  <r>
    <d v="2020-10-27T00:00:00"/>
    <m/>
    <m/>
    <d v="1899-12-30T21:33:22"/>
    <n v="-76.641498330000005"/>
    <n v="3.34978"/>
    <n v="2338"/>
    <e v="#DIV/0!"/>
    <x v="5"/>
    <e v="#DIV/0!"/>
    <e v="#DIV/0!"/>
    <m/>
    <x v="2"/>
    <m/>
    <x v="0"/>
    <x v="15"/>
    <m/>
    <s v="Bosque primario"/>
    <s v="Einar Huetio"/>
    <s v="Herbaceo 0.3-1.5 m"/>
    <s v="Pristimantis erythropleura"/>
    <n v="1"/>
    <m/>
    <m/>
    <m/>
    <m/>
    <m/>
    <s v="Observacion"/>
  </r>
  <r>
    <d v="2020-10-27T00:00:00"/>
    <m/>
    <m/>
    <d v="1899-12-30T21:49:04"/>
    <n v="-76.641985000000005"/>
    <n v="3.3495400000000002"/>
    <n v="2354"/>
    <e v="#DIV/0!"/>
    <x v="5"/>
    <e v="#DIV/0!"/>
    <e v="#DIV/0!"/>
    <m/>
    <x v="2"/>
    <m/>
    <x v="0"/>
    <x v="15"/>
    <m/>
    <s v="Bosque primario"/>
    <s v="Einar Huetio"/>
    <s v="Herbaceo 0.3-1.5 m"/>
    <s v="Pristimantis palmeri"/>
    <n v="1"/>
    <m/>
    <m/>
    <m/>
    <m/>
    <m/>
    <s v="Observacion"/>
  </r>
  <r>
    <d v="2020-10-27T00:00:00"/>
    <m/>
    <m/>
    <d v="1899-12-30T21:08:59"/>
    <n v="-76.641473329999997"/>
    <n v="3.3500333329999998"/>
    <n v="2336"/>
    <e v="#DIV/0!"/>
    <x v="5"/>
    <e v="#DIV/0!"/>
    <e v="#DIV/0!"/>
    <m/>
    <x v="2"/>
    <m/>
    <x v="0"/>
    <x v="15"/>
    <m/>
    <s v="Bosque primario"/>
    <s v="Andres Munoz"/>
    <s v="Herbaceo 0.3-1.5 m"/>
    <s v="Pristimantis palmeri"/>
    <n v="1"/>
    <m/>
    <m/>
    <m/>
    <m/>
    <m/>
    <s v="Observacion"/>
  </r>
  <r>
    <d v="2020-10-27T00:00:00"/>
    <m/>
    <m/>
    <d v="1899-12-30T21:24:14"/>
    <n v="-76.641448330000003"/>
    <n v="3.3499699999999999"/>
    <n v="2364"/>
    <e v="#DIV/0!"/>
    <x v="5"/>
    <e v="#DIV/0!"/>
    <e v="#DIV/0!"/>
    <m/>
    <x v="2"/>
    <m/>
    <x v="0"/>
    <x v="15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21:24:14"/>
    <n v="-76.641448330000003"/>
    <n v="3.3499699999999999"/>
    <n v="2337"/>
    <e v="#DIV/0!"/>
    <x v="5"/>
    <e v="#DIV/0!"/>
    <e v="#DIV/0!"/>
    <m/>
    <x v="2"/>
    <m/>
    <x v="0"/>
    <x v="15"/>
    <m/>
    <s v="Bosque primario"/>
    <s v="Einar Huetio"/>
    <s v="Herbaceo 0.3-1.5 m"/>
    <s v="Pristimantis brevifrons"/>
    <n v="1"/>
    <m/>
    <m/>
    <m/>
    <m/>
    <m/>
    <s v="Observacion"/>
  </r>
  <r>
    <d v="2020-10-27T00:00:00"/>
    <m/>
    <m/>
    <d v="1899-12-30T22:07:55"/>
    <n v="-76.642246670000006"/>
    <n v="3.3492150000000001"/>
    <n v="2353"/>
    <e v="#DIV/0!"/>
    <x v="5"/>
    <e v="#DIV/0!"/>
    <e v="#DIV/0!"/>
    <m/>
    <x v="2"/>
    <m/>
    <x v="2"/>
    <x v="10"/>
    <m/>
    <s v="Bosque primario"/>
    <s v="Gustavo Rodriguez"/>
    <s v="Herbaceo 0.3-1.5 m"/>
    <s v="Pristimantis aff quimbaya"/>
    <n v="1"/>
    <m/>
    <m/>
    <m/>
    <m/>
    <m/>
    <s v="Observacion"/>
  </r>
  <r>
    <d v="2020-10-27T00:00:00"/>
    <m/>
    <m/>
    <d v="1899-12-30T22:16:48"/>
    <n v="-76.642478330000003"/>
    <n v="3.3491166670000001"/>
    <n v="2375"/>
    <e v="#DIV/0!"/>
    <x v="5"/>
    <e v="#DIV/0!"/>
    <e v="#DIV/0!"/>
    <m/>
    <x v="2"/>
    <m/>
    <x v="2"/>
    <x v="10"/>
    <m/>
    <s v="Bosque primario"/>
    <s v="Einar Huetio"/>
    <s v="Herbaceo 0.3-1.5 m"/>
    <s v="Pristimantis palmeri"/>
    <n v="2"/>
    <m/>
    <m/>
    <m/>
    <m/>
    <m/>
    <s v="Observacion"/>
  </r>
  <r>
    <d v="2020-10-27T00:00:00"/>
    <m/>
    <m/>
    <d v="1899-12-30T20:38:20"/>
    <n v="-76.64088667"/>
    <n v="3.3499850000000002"/>
    <n v="2341"/>
    <e v="#DIV/0!"/>
    <x v="5"/>
    <e v="#DIV/0!"/>
    <e v="#DIV/0!"/>
    <m/>
    <x v="2"/>
    <m/>
    <x v="1"/>
    <x v="15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20:49:02"/>
    <n v="-76.641024999999999"/>
    <n v="3.34985"/>
    <n v="2369"/>
    <e v="#DIV/0!"/>
    <x v="5"/>
    <e v="#DIV/0!"/>
    <e v="#DIV/0!"/>
    <m/>
    <x v="2"/>
    <m/>
    <x v="1"/>
    <x v="15"/>
    <m/>
    <s v="Bosque primario"/>
    <s v="Andres Munoz"/>
    <s v="Herbaceo 0.3-1.5 m"/>
    <s v="Pristimantis palmeri"/>
    <n v="1"/>
    <m/>
    <m/>
    <m/>
    <m/>
    <m/>
    <s v="Observacion"/>
  </r>
  <r>
    <d v="2020-10-27T00:00:00"/>
    <m/>
    <m/>
    <d v="1899-12-30T20:43:20"/>
    <n v="-76.640929999999997"/>
    <n v="3.349881667"/>
    <n v="2346"/>
    <e v="#DIV/0!"/>
    <x v="5"/>
    <e v="#DIV/0!"/>
    <e v="#DIV/0!"/>
    <m/>
    <x v="2"/>
    <m/>
    <x v="1"/>
    <x v="15"/>
    <m/>
    <s v="Bosque primario"/>
    <s v="Andres Munoz"/>
    <s v="Herbaceo 0.3-1.5 m"/>
    <s v="Pristimantis palmeri"/>
    <n v="1"/>
    <m/>
    <m/>
    <m/>
    <m/>
    <m/>
    <s v="Observacion"/>
  </r>
  <r>
    <d v="2020-10-27T00:00:00"/>
    <m/>
    <m/>
    <d v="1899-12-30T20:32:08"/>
    <n v="-76.640743330000006"/>
    <n v="3.34998"/>
    <n v="2336"/>
    <e v="#DIV/0!"/>
    <x v="5"/>
    <e v="#DIV/0!"/>
    <e v="#DIV/0!"/>
    <m/>
    <x v="2"/>
    <m/>
    <x v="1"/>
    <x v="15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19:27:53"/>
    <n v="-76.63955"/>
    <n v="3.3507016670000001"/>
    <n v="2377"/>
    <e v="#DIV/0!"/>
    <x v="5"/>
    <e v="#DIV/0!"/>
    <e v="#DIV/0!"/>
    <m/>
    <x v="2"/>
    <m/>
    <x v="2"/>
    <x v="15"/>
    <m/>
    <s v="Bosque primario"/>
    <s v="Gustavo Rodriguez"/>
    <s v="Herbaceo 0.3-1.5 m"/>
    <s v="Pristimantis palmeri"/>
    <n v="1"/>
    <m/>
    <m/>
    <m/>
    <m/>
    <m/>
    <s v="Observacion"/>
  </r>
  <r>
    <d v="2020-10-27T00:00:00"/>
    <m/>
    <m/>
    <d v="1899-12-30T19:51:35"/>
    <n v="-76.639944999999997"/>
    <n v="3.3506900000000002"/>
    <n v="2392"/>
    <e v="#DIV/0!"/>
    <x v="5"/>
    <e v="#DIV/0!"/>
    <e v="#DIV/0!"/>
    <m/>
    <x v="2"/>
    <m/>
    <x v="2"/>
    <x v="15"/>
    <m/>
    <s v="Bosque primario"/>
    <s v="Andres Munoz"/>
    <s v="Arbustivo 1.5-5 m"/>
    <s v="Pristimantis palmeri"/>
    <n v="1"/>
    <m/>
    <m/>
    <m/>
    <m/>
    <m/>
    <s v="Observacion"/>
  </r>
  <r>
    <d v="2020-10-28T00:00:00"/>
    <m/>
    <m/>
    <d v="1899-12-30T21:35:20"/>
    <n v="-76.652640000000005"/>
    <n v="3.3535200000000001"/>
    <n v="2524"/>
    <e v="#DIV/0!"/>
    <x v="5"/>
    <e v="#DIV/0!"/>
    <e v="#DIV/0!"/>
    <m/>
    <x v="2"/>
    <m/>
    <x v="3"/>
    <x v="13"/>
    <m/>
    <s v="Bosque primario"/>
    <s v="Gustavo Rodriguez"/>
    <s v="Herbaceo 0.3-1.5 m"/>
    <s v="Pristimantis calcaratus"/>
    <n v="1"/>
    <m/>
    <m/>
    <m/>
    <m/>
    <m/>
    <s v="Observacion"/>
  </r>
  <r>
    <d v="2020-10-28T00:00:00"/>
    <m/>
    <m/>
    <d v="1899-12-30T20:47:17"/>
    <n v="-76.655143330000001"/>
    <n v="3.3539916669999998"/>
    <n v="2567"/>
    <e v="#DIV/0!"/>
    <x v="5"/>
    <e v="#DIV/0!"/>
    <e v="#DIV/0!"/>
    <m/>
    <x v="2"/>
    <m/>
    <x v="0"/>
    <x v="14"/>
    <m/>
    <s v="Bosque primario"/>
    <s v="Gustavo Rodriguez"/>
    <s v="Herbaceo 0.3-1.5 m"/>
    <s v="Pristimantis calcaratus"/>
    <n v="1"/>
    <m/>
    <m/>
    <m/>
    <m/>
    <m/>
    <s v="Observacion"/>
  </r>
  <r>
    <d v="2020-10-28T00:00:00"/>
    <m/>
    <m/>
    <d v="1899-12-30T20:25:41"/>
    <n v="-76.655731669999994"/>
    <n v="3.3544433329999999"/>
    <n v="2592"/>
    <e v="#DIV/0!"/>
    <x v="5"/>
    <e v="#DIV/0!"/>
    <e v="#DIV/0!"/>
    <m/>
    <x v="2"/>
    <m/>
    <x v="0"/>
    <x v="14"/>
    <m/>
    <s v="Bosque primario"/>
    <s v="Gustavo Rodriguez"/>
    <s v="Herbaceo 0.3-1.5 m"/>
    <s v="Pristimantis calcaratus"/>
    <n v="1"/>
    <m/>
    <m/>
    <m/>
    <m/>
    <m/>
    <s v="Observacion"/>
  </r>
  <r>
    <d v="2020-10-28T00:00:00"/>
    <m/>
    <m/>
    <d v="1899-12-30T20:35:02"/>
    <n v="-76.655640000000005"/>
    <n v="3.3542149999999999"/>
    <n v="2569"/>
    <e v="#DIV/0!"/>
    <x v="5"/>
    <e v="#DIV/0!"/>
    <e v="#DIV/0!"/>
    <m/>
    <x v="2"/>
    <m/>
    <x v="0"/>
    <x v="14"/>
    <m/>
    <s v="Bosque primario"/>
    <s v="Andres Munoz"/>
    <s v="Herbaceo 0.3-1.5 m"/>
    <s v="Pristimantis calcaratus"/>
    <n v="1"/>
    <m/>
    <m/>
    <m/>
    <m/>
    <m/>
    <s v="Observacion"/>
  </r>
  <r>
    <d v="2020-10-28T00:00:00"/>
    <m/>
    <m/>
    <d v="1899-12-30T21:22:14"/>
    <n v="-76.653121670000004"/>
    <n v="3.3533683330000001"/>
    <n v="2525"/>
    <e v="#DIV/0!"/>
    <x v="5"/>
    <e v="#DIV/0!"/>
    <e v="#DIV/0!"/>
    <m/>
    <x v="2"/>
    <m/>
    <x v="4"/>
    <x v="13"/>
    <m/>
    <s v="Bosque ribereño"/>
    <s v="Andres Munoz"/>
    <s v="Herbaceo 0.3-1.5 m"/>
    <s v="Pristimantis calcaratus"/>
    <n v="1"/>
    <m/>
    <m/>
    <m/>
    <m/>
    <m/>
    <s v="Observacion"/>
  </r>
  <r>
    <d v="2020-10-28T00:00:00"/>
    <m/>
    <m/>
    <d v="1899-12-30T21:06:39"/>
    <n v="-76.653459999999995"/>
    <n v="3.3533516670000001"/>
    <n v="2541"/>
    <e v="#DIV/0!"/>
    <x v="5"/>
    <e v="#DIV/0!"/>
    <e v="#DIV/0!"/>
    <m/>
    <x v="2"/>
    <m/>
    <x v="4"/>
    <x v="13"/>
    <m/>
    <s v="Bosque primario"/>
    <s v="Andres Munoz"/>
    <s v="Herbaceo 0.3-1.5 m"/>
    <s v="Pristimantis calcaratus"/>
    <n v="1"/>
    <m/>
    <m/>
    <m/>
    <m/>
    <m/>
    <s v="Observacion"/>
  </r>
  <r>
    <d v="2020-10-28T00:00:00"/>
    <m/>
    <m/>
    <d v="1899-12-30T21:27:32"/>
    <n v="-76.652936670000003"/>
    <n v="3.3533466669999998"/>
    <n v="2525"/>
    <e v="#DIV/0!"/>
    <x v="5"/>
    <e v="#DIV/0!"/>
    <e v="#DIV/0!"/>
    <m/>
    <x v="2"/>
    <m/>
    <x v="4"/>
    <x v="13"/>
    <m/>
    <s v="Bosque primario"/>
    <s v="Gustavo Rodriguez"/>
    <s v="Arbustivo 1.5-5 m"/>
    <s v="Pristimantis palmeri"/>
    <n v="1"/>
    <m/>
    <m/>
    <m/>
    <m/>
    <m/>
    <s v="Auditivo"/>
  </r>
  <r>
    <d v="2020-10-28T00:00:00"/>
    <m/>
    <m/>
    <d v="1899-12-30T21:18:44"/>
    <n v="-76.653148329999993"/>
    <n v="3.3533916669999999"/>
    <n v="2525"/>
    <e v="#DIV/0!"/>
    <x v="5"/>
    <e v="#DIV/0!"/>
    <e v="#DIV/0!"/>
    <m/>
    <x v="2"/>
    <m/>
    <x v="4"/>
    <x v="13"/>
    <m/>
    <s v="Bosque primario"/>
    <s v="Gustavo Rodriguez"/>
    <s v="Herbaceo 0.3-1.5 m"/>
    <s v="Pristimantis calcaratus"/>
    <n v="1"/>
    <m/>
    <m/>
    <m/>
    <m/>
    <m/>
    <s v="Observacion"/>
  </r>
  <r>
    <d v="2020-10-28T00:00:00"/>
    <m/>
    <m/>
    <d v="1899-12-30T20:58:36"/>
    <n v="-76.653561670000002"/>
    <n v="3.3533783330000002"/>
    <n v="2542"/>
    <e v="#DIV/0!"/>
    <x v="5"/>
    <e v="#DIV/0!"/>
    <e v="#DIV/0!"/>
    <m/>
    <x v="2"/>
    <m/>
    <x v="4"/>
    <x v="13"/>
    <m/>
    <s v="Bosque primario"/>
    <s v="Gustavo Rodriguez"/>
    <s v="Arbustivo 1.5-5 m"/>
    <s v="Pristimantis calcaratus"/>
    <n v="1"/>
    <m/>
    <m/>
    <m/>
    <m/>
    <m/>
    <s v="Observacion"/>
  </r>
  <r>
    <d v="2020-10-28T00:00:00"/>
    <m/>
    <m/>
    <d v="1899-12-30T18:57:29"/>
    <n v="-76.656364999999994"/>
    <n v="3.3554216669999999"/>
    <n v="2563"/>
    <e v="#DIV/0!"/>
    <x v="5"/>
    <e v="#DIV/0!"/>
    <e v="#DIV/0!"/>
    <m/>
    <x v="2"/>
    <m/>
    <x v="2"/>
    <x v="14"/>
    <m/>
    <s v="Bosque ribereño"/>
    <s v="Gustavo Rodriguez"/>
    <s v="Herbaceo 0.3-1.5 m"/>
    <s v="Pristimantis calcaratus"/>
    <n v="1"/>
    <m/>
    <m/>
    <m/>
    <m/>
    <m/>
    <s v="Observacion"/>
  </r>
  <r>
    <d v="2020-10-28T00:00:00"/>
    <m/>
    <m/>
    <d v="1899-12-30T19:24:25"/>
    <n v="-76.656459999999996"/>
    <n v="3.3551099999999998"/>
    <n v="2582"/>
    <e v="#DIV/0!"/>
    <x v="5"/>
    <e v="#DIV/0!"/>
    <e v="#DIV/0!"/>
    <m/>
    <x v="2"/>
    <m/>
    <x v="1"/>
    <x v="14"/>
    <m/>
    <s v="Bosque primario"/>
    <s v="Andres Munoz"/>
    <s v="Herbaceo 0.3-1.5 m"/>
    <s v="Pristimantis calcaratus"/>
    <n v="1"/>
    <m/>
    <m/>
    <m/>
    <m/>
    <m/>
    <s v="Observacion"/>
  </r>
  <r>
    <d v="2020-10-28T00:00:00"/>
    <m/>
    <m/>
    <d v="1899-12-30T19:51:06"/>
    <n v="-76.656108329999995"/>
    <n v="3.3549099999999998"/>
    <n v="2581"/>
    <e v="#DIV/0!"/>
    <x v="5"/>
    <e v="#DIV/0!"/>
    <e v="#DIV/0!"/>
    <m/>
    <x v="2"/>
    <m/>
    <x v="1"/>
    <x v="14"/>
    <m/>
    <s v="Bosque primario"/>
    <s v="Gustavo Rodriguez"/>
    <s v="Herbaceo 0.3-1.5 m"/>
    <s v="Pristimantis acatallelus"/>
    <n v="1"/>
    <m/>
    <m/>
    <m/>
    <m/>
    <m/>
    <s v="Observacion"/>
  </r>
  <r>
    <d v="2020-10-28T00:00:00"/>
    <m/>
    <m/>
    <d v="1899-12-30T20:02:45"/>
    <n v="-76.655921669999998"/>
    <n v="3.354761667"/>
    <n v="2587"/>
    <e v="#DIV/0!"/>
    <x v="5"/>
    <e v="#DIV/0!"/>
    <e v="#DIV/0!"/>
    <m/>
    <x v="2"/>
    <m/>
    <x v="1"/>
    <x v="14"/>
    <m/>
    <s v="Bosque primario"/>
    <s v="Einar Huetio"/>
    <s v="Herbaceo 0.3-1.5 m"/>
    <s v="Pristimantis calcaratus"/>
    <n v="1"/>
    <m/>
    <m/>
    <m/>
    <m/>
    <m/>
    <s v="Observacion"/>
  </r>
  <r>
    <d v="2020-10-28T00:00:00"/>
    <m/>
    <m/>
    <d v="1899-12-30T20:02:45"/>
    <n v="-76.655921669999998"/>
    <n v="3.354761667"/>
    <n v="2591"/>
    <e v="#DIV/0!"/>
    <x v="5"/>
    <e v="#DIV/0!"/>
    <e v="#DIV/0!"/>
    <m/>
    <x v="2"/>
    <m/>
    <x v="1"/>
    <x v="14"/>
    <m/>
    <s v="Bosque primario"/>
    <s v="Einar Huetio"/>
    <s v="Subarboreo 5-12 m"/>
    <s v="Pristimantis palmeri"/>
    <n v="1"/>
    <m/>
    <m/>
    <m/>
    <m/>
    <m/>
    <s v="Auditivo"/>
  </r>
  <r>
    <d v="2020-10-28T00:00:00"/>
    <m/>
    <m/>
    <d v="1899-12-30T19:38:31"/>
    <n v="-76.656270000000006"/>
    <n v="3.3548766670000001"/>
    <n v="2551"/>
    <e v="#DIV/0!"/>
    <x v="5"/>
    <e v="#DIV/0!"/>
    <e v="#DIV/0!"/>
    <m/>
    <x v="2"/>
    <m/>
    <x v="1"/>
    <x v="14"/>
    <m/>
    <s v="Bosque primario"/>
    <s v="Andres Munoz"/>
    <s v="Herbaceo 0.3-1.5 m"/>
    <s v="Pristimantis calcaratus"/>
    <n v="1"/>
    <m/>
    <m/>
    <m/>
    <m/>
    <m/>
    <s v="Observacion"/>
  </r>
  <r>
    <d v="2020-10-28T00:00:00"/>
    <m/>
    <m/>
    <d v="1899-12-30T19:55:49"/>
    <n v="-76.656088330000003"/>
    <n v="3.354873333"/>
    <n v="2578"/>
    <e v="#DIV/0!"/>
    <x v="5"/>
    <e v="#DIV/0!"/>
    <e v="#DIV/0!"/>
    <m/>
    <x v="2"/>
    <m/>
    <x v="1"/>
    <x v="14"/>
    <m/>
    <s v="Bosque primario"/>
    <s v="Gustavo Rodriguez"/>
    <s v="Herbaceo 0.3-1.5 m"/>
    <s v="Pristimantis calcaratus"/>
    <n v="1"/>
    <m/>
    <m/>
    <m/>
    <m/>
    <m/>
    <s v="Observacion"/>
  </r>
  <r>
    <d v="2020-10-26T00:00:00"/>
    <m/>
    <m/>
    <d v="1899-12-30T19:54:29"/>
    <n v="-76.644868329999994"/>
    <n v="3.3497633329999998"/>
    <m/>
    <e v="#DIV/0!"/>
    <x v="5"/>
    <e v="#DIV/0!"/>
    <e v="#DIV/0!"/>
    <m/>
    <x v="2"/>
    <m/>
    <x v="3"/>
    <x v="11"/>
    <m/>
    <m/>
    <m/>
    <m/>
    <s v="Ninguna"/>
    <n v="0"/>
    <m/>
    <m/>
    <m/>
    <m/>
    <m/>
    <m/>
  </r>
  <r>
    <d v="2020-10-26T00:00:00"/>
    <m/>
    <m/>
    <d v="1899-12-30T19:24:46"/>
    <n v="-76.643860000000004"/>
    <n v="3.3496633330000001"/>
    <n v="2453"/>
    <e v="#DIV/0!"/>
    <x v="5"/>
    <e v="#DIV/0!"/>
    <e v="#DIV/0!"/>
    <m/>
    <x v="2"/>
    <m/>
    <x v="0"/>
    <x v="10"/>
    <m/>
    <s v="Bosque secundario"/>
    <s v="Gustavo Rodriguez"/>
    <s v="Herbaceo 0.3-1.5 m"/>
    <s v="Pristimantis aff quimbaya"/>
    <n v="2"/>
    <m/>
    <m/>
    <m/>
    <m/>
    <m/>
    <s v="Observacion"/>
  </r>
  <r>
    <d v="2020-10-29T00:00:00"/>
    <m/>
    <m/>
    <d v="1899-12-30T20:28:12"/>
    <n v="-76.650318330000005"/>
    <n v="3.3529366669999998"/>
    <n v="2490"/>
    <e v="#DIV/0!"/>
    <x v="5"/>
    <e v="#DIV/0!"/>
    <e v="#DIV/0!"/>
    <m/>
    <x v="2"/>
    <m/>
    <x v="2"/>
    <x v="13"/>
    <m/>
    <s v="Bosque secundario"/>
    <s v="Gustavo Rodriguez"/>
    <s v="Herbaceo 0.3-1.5 m"/>
    <s v="Pristimantis calcaratus"/>
    <n v="1"/>
    <m/>
    <m/>
    <m/>
    <m/>
    <m/>
    <s v="Observacion"/>
  </r>
  <r>
    <d v="2020-10-29T00:00:00"/>
    <m/>
    <m/>
    <d v="1899-12-30T20:21:59"/>
    <n v="-76.650099999999995"/>
    <n v="3.3528916670000002"/>
    <n v="2490"/>
    <e v="#DIV/0!"/>
    <x v="5"/>
    <e v="#DIV/0!"/>
    <e v="#DIV/0!"/>
    <m/>
    <x v="2"/>
    <m/>
    <x v="2"/>
    <x v="13"/>
    <m/>
    <s v="Bosque secundario"/>
    <s v="Gustavo Rodriguez"/>
    <s v="Herbaceo 0.3-1.5 m"/>
    <s v="Pristimantis palmeri"/>
    <n v="1"/>
    <m/>
    <m/>
    <m/>
    <m/>
    <m/>
    <s v="Observacion"/>
  </r>
  <r>
    <d v="2020-10-29T00:00:00"/>
    <m/>
    <m/>
    <d v="1899-12-30T20:10:56"/>
    <n v="-76.649886670000001"/>
    <n v="3.352773333"/>
    <n v="2479"/>
    <e v="#DIV/0!"/>
    <x v="5"/>
    <e v="#DIV/0!"/>
    <e v="#DIV/0!"/>
    <m/>
    <x v="2"/>
    <m/>
    <x v="2"/>
    <x v="13"/>
    <m/>
    <s v="Bosque secundario"/>
    <s v="Andres Munoz"/>
    <s v="Herbaceo 0.3-1.5 m"/>
    <s v="Pristimantis calcaratus"/>
    <n v="1"/>
    <m/>
    <m/>
    <m/>
    <m/>
    <m/>
    <s v="Observacion"/>
  </r>
  <r>
    <d v="2020-10-29T00:00:00"/>
    <m/>
    <m/>
    <d v="1899-12-30T19:42:17"/>
    <n v="-76.648966669999993"/>
    <n v="3.3527550000000002"/>
    <n v="2463"/>
    <e v="#DIV/0!"/>
    <x v="5"/>
    <e v="#DIV/0!"/>
    <e v="#DIV/0!"/>
    <m/>
    <x v="2"/>
    <m/>
    <x v="1"/>
    <x v="13"/>
    <m/>
    <s v="Bosque secundario"/>
    <s v="Einar Huetio"/>
    <s v="Herbaceo 0.3-1.5 m"/>
    <s v="Pristimantis palmeri"/>
    <n v="1"/>
    <m/>
    <m/>
    <m/>
    <m/>
    <m/>
    <s v="Observacion"/>
  </r>
  <r>
    <d v="2020-10-29T00:00:00"/>
    <m/>
    <m/>
    <d v="1899-12-30T19:26:54"/>
    <n v="-76.648664999999994"/>
    <n v="3.3525"/>
    <n v="2460"/>
    <e v="#DIV/0!"/>
    <x v="5"/>
    <e v="#DIV/0!"/>
    <e v="#DIV/0!"/>
    <m/>
    <x v="2"/>
    <m/>
    <x v="1"/>
    <x v="13"/>
    <m/>
    <s v="Bosque secundario"/>
    <s v="Gustavo Rodriguez"/>
    <s v="Herbaceo 0.3-1.5 m"/>
    <s v="Pristimantis palmeri"/>
    <n v="1"/>
    <m/>
    <m/>
    <m/>
    <m/>
    <m/>
    <s v="Observacion"/>
  </r>
  <r>
    <d v="2020-10-29T00:00:00"/>
    <m/>
    <m/>
    <d v="1899-12-30T18:58:49"/>
    <n v="-76.647970000000001"/>
    <n v="3.3523483330000001"/>
    <n v="2445"/>
    <e v="#DIV/0!"/>
    <x v="5"/>
    <e v="#DIV/0!"/>
    <e v="#DIV/0!"/>
    <m/>
    <x v="2"/>
    <m/>
    <x v="0"/>
    <x v="13"/>
    <m/>
    <s v="Bosque secundario"/>
    <s v="Gustavo Rodriguez"/>
    <s v="Arbustivo 1.5-5 m"/>
    <s v="Pristimantis palmeri"/>
    <n v="1"/>
    <m/>
    <m/>
    <m/>
    <m/>
    <m/>
    <s v="Auditivo"/>
  </r>
  <r>
    <d v="2020-10-29T00:00:00"/>
    <m/>
    <m/>
    <d v="1899-12-30T19:11:09"/>
    <n v="-76.648193329999998"/>
    <n v="3.3524383329999998"/>
    <n v="2461"/>
    <e v="#DIV/0!"/>
    <x v="5"/>
    <e v="#DIV/0!"/>
    <e v="#DIV/0!"/>
    <m/>
    <x v="2"/>
    <m/>
    <x v="0"/>
    <x v="13"/>
    <m/>
    <s v="Bosque secundario"/>
    <s v="Gustavo Rodriguez"/>
    <s v="Herbaceo 0.3-1.5 m"/>
    <s v="Pristimantis calcaratus"/>
    <n v="1"/>
    <m/>
    <m/>
    <m/>
    <m/>
    <m/>
    <s v="Observacion"/>
  </r>
  <r>
    <d v="2020-11-19T00:00:00"/>
    <m/>
    <m/>
    <d v="1899-12-30T19:28:30"/>
    <n v="-76.725399999999993"/>
    <n v="3.4996316670000001"/>
    <n v="1796"/>
    <e v="#DIV/0!"/>
    <x v="5"/>
    <e v="#DIV/0!"/>
    <e v="#DIV/0!"/>
    <m/>
    <x v="1"/>
    <m/>
    <x v="2"/>
    <x v="9"/>
    <m/>
    <s v="Bosque secundario"/>
    <s v="Alvaro Fierro"/>
    <s v="Arbustivo 1.5-5 m"/>
    <s v="Pristimantis molybrignus"/>
    <n v="1"/>
    <m/>
    <m/>
    <m/>
    <m/>
    <m/>
    <s v="Observacion"/>
  </r>
  <r>
    <d v="2020-11-19T00:00:00"/>
    <m/>
    <m/>
    <d v="1899-12-30T21:09:49"/>
    <n v="-76.726316670000003"/>
    <n v="3.50007"/>
    <n v="1789"/>
    <e v="#DIV/0!"/>
    <x v="5"/>
    <e v="#DIV/0!"/>
    <e v="#DIV/0!"/>
    <m/>
    <x v="1"/>
    <m/>
    <x v="0"/>
    <x v="9"/>
    <m/>
    <s v="Bosque ribereño"/>
    <s v="Gustavo Rodriguez"/>
    <s v="Herbaceo 0.3-1.5 m"/>
    <s v="Pristimantis palmeri"/>
    <n v="1"/>
    <m/>
    <m/>
    <m/>
    <m/>
    <m/>
    <s v="Observacion"/>
  </r>
  <r>
    <d v="2020-11-19T00:00:00"/>
    <m/>
    <m/>
    <d v="1899-12-30T21:14:28"/>
    <n v="-76.726448329999997"/>
    <n v="3.4999116670000001"/>
    <n v="1789"/>
    <e v="#DIV/0!"/>
    <x v="5"/>
    <e v="#DIV/0!"/>
    <e v="#DIV/0!"/>
    <m/>
    <x v="1"/>
    <m/>
    <x v="0"/>
    <x v="9"/>
    <m/>
    <s v="Bosque secundario"/>
    <s v="Alvaro Fierro"/>
    <s v="Herbaceo 0.3-1.5 m"/>
    <s v="Pristimantis palmeri"/>
    <n v="1"/>
    <m/>
    <m/>
    <m/>
    <m/>
    <m/>
    <s v="Observacion"/>
  </r>
  <r>
    <d v="2020-11-19T00:00:00"/>
    <m/>
    <m/>
    <d v="1899-12-30T21:25:50"/>
    <n v="-76.726429999999993"/>
    <n v="3.5000200000000001"/>
    <n v="1787"/>
    <e v="#DIV/0!"/>
    <x v="5"/>
    <e v="#DIV/0!"/>
    <e v="#DIV/0!"/>
    <m/>
    <x v="1"/>
    <m/>
    <x v="0"/>
    <x v="9"/>
    <m/>
    <s v="Bosque secundario"/>
    <s v="Alvaro Fierro"/>
    <s v="Herbaceo 0.3-1.5 m"/>
    <s v="Pristimantis palmeri"/>
    <n v="1"/>
    <m/>
    <m/>
    <m/>
    <m/>
    <m/>
    <s v="Observacion"/>
  </r>
  <r>
    <d v="2020-11-19T00:00:00"/>
    <m/>
    <m/>
    <d v="1899-12-30T21:54:54"/>
    <n v="-76.726786669999996"/>
    <n v="3.5004633329999999"/>
    <n v="1789"/>
    <e v="#DIV/0!"/>
    <x v="5"/>
    <e v="#DIV/0!"/>
    <e v="#DIV/0!"/>
    <m/>
    <x v="1"/>
    <m/>
    <x v="0"/>
    <x v="9"/>
    <m/>
    <s v="Bosque ribereño"/>
    <s v="Gustavo Rodriguez"/>
    <s v="Arbustivo 1.5-5 m"/>
    <s v="Centrolene savagei"/>
    <n v="2"/>
    <m/>
    <m/>
    <m/>
    <m/>
    <m/>
    <s v="Auditivo"/>
  </r>
  <r>
    <d v="2020-11-19T00:00:00"/>
    <m/>
    <m/>
    <d v="1899-12-30T21:34:18"/>
    <n v="-76.726566669999997"/>
    <n v="3.5001483329999998"/>
    <n v="1789"/>
    <e v="#DIV/0!"/>
    <x v="5"/>
    <e v="#DIV/0!"/>
    <e v="#DIV/0!"/>
    <m/>
    <x v="1"/>
    <m/>
    <x v="0"/>
    <x v="9"/>
    <m/>
    <s v="Bosque ribereño"/>
    <s v="Gustavo Rodriguez"/>
    <s v="Arbustivo 1.5-5 m"/>
    <s v="Centrolene savagei"/>
    <n v="2"/>
    <m/>
    <m/>
    <m/>
    <m/>
    <m/>
    <s v="Auditivo"/>
  </r>
  <r>
    <d v="2020-11-19T00:00:00"/>
    <m/>
    <m/>
    <d v="1899-12-30T21:34:18"/>
    <n v="-76.726566669999997"/>
    <n v="3.5001483329999998"/>
    <n v="1812"/>
    <e v="#DIV/0!"/>
    <x v="5"/>
    <e v="#DIV/0!"/>
    <e v="#DIV/0!"/>
    <m/>
    <x v="1"/>
    <m/>
    <x v="0"/>
    <x v="9"/>
    <m/>
    <s v="Bosque ribereño"/>
    <s v="Alvaro Fierro"/>
    <s v="Herbaceo 0.3-1.5 m"/>
    <s v="Pristimantis erythropleura"/>
    <n v="1"/>
    <m/>
    <m/>
    <m/>
    <m/>
    <m/>
    <s v="Observacion"/>
  </r>
  <r>
    <d v="2020-11-19T00:00:00"/>
    <m/>
    <m/>
    <d v="1899-12-30T20:06:13"/>
    <n v="-76.726029999999994"/>
    <n v="3.4991366670000001"/>
    <n v="1789"/>
    <e v="#DIV/0!"/>
    <x v="5"/>
    <e v="#DIV/0!"/>
    <e v="#DIV/0!"/>
    <m/>
    <x v="1"/>
    <m/>
    <x v="1"/>
    <x v="9"/>
    <m/>
    <s v="Bosque ribereño"/>
    <s v="Gustavo Rodriguez"/>
    <s v="Arbustivo 1.5-5 m"/>
    <s v="Centrolene savagei"/>
    <n v="3"/>
    <m/>
    <m/>
    <m/>
    <m/>
    <m/>
    <s v="Auditivo"/>
  </r>
  <r>
    <d v="2020-11-19T00:00:00"/>
    <m/>
    <m/>
    <d v="1899-12-30T20:47:51"/>
    <n v="-76.726238330000001"/>
    <n v="3.4998749999999998"/>
    <n v="1819"/>
    <e v="#DIV/0!"/>
    <x v="5"/>
    <e v="#DIV/0!"/>
    <e v="#DIV/0!"/>
    <m/>
    <x v="1"/>
    <m/>
    <x v="1"/>
    <x v="9"/>
    <m/>
    <s v="Bosque ribereño"/>
    <s v="Gustavo Rodriguez"/>
    <s v="Herbaceo 0.3-1.5 m"/>
    <s v="Pristimantis palmeri"/>
    <n v="1"/>
    <m/>
    <m/>
    <m/>
    <m/>
    <m/>
    <s v="Observacion"/>
  </r>
  <r>
    <d v="2020-11-19T00:00:00"/>
    <m/>
    <m/>
    <d v="1899-12-30T20:47:51"/>
    <n v="-76.726238330000001"/>
    <n v="3.4998749999999998"/>
    <n v="1879"/>
    <e v="#DIV/0!"/>
    <x v="5"/>
    <e v="#DIV/0!"/>
    <e v="#DIV/0!"/>
    <m/>
    <x v="1"/>
    <m/>
    <x v="1"/>
    <x v="9"/>
    <m/>
    <s v="Bosque ribereño"/>
    <s v="Alvaro Fierro"/>
    <s v="Herbaceo 0.3-1.5 m"/>
    <s v="Pristimantis palmeri"/>
    <n v="1"/>
    <m/>
    <m/>
    <m/>
    <m/>
    <m/>
    <s v="Observacion"/>
  </r>
  <r>
    <d v="2020-11-19T00:00:00"/>
    <m/>
    <m/>
    <d v="1899-12-30T20:15:28"/>
    <n v="-76.726073330000006"/>
    <n v="3.4993249999999998"/>
    <n v="1788"/>
    <e v="#DIV/0!"/>
    <x v="5"/>
    <e v="#DIV/0!"/>
    <e v="#DIV/0!"/>
    <m/>
    <x v="1"/>
    <m/>
    <x v="1"/>
    <x v="9"/>
    <m/>
    <s v="Bosque ribereño"/>
    <s v="Gustavo Rodriguez"/>
    <s v="Herbaceo 0.3-1.5 m"/>
    <s v="Pristimantis molybrignus"/>
    <n v="1"/>
    <m/>
    <m/>
    <m/>
    <m/>
    <m/>
    <s v="Observacion"/>
  </r>
  <r>
    <d v="2020-10-17T00:00:00"/>
    <m/>
    <m/>
    <d v="1899-12-30T19:01:22"/>
    <n v="-76.690790000000007"/>
    <n v="3.4059883329999998"/>
    <n v="3405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19:54:50"/>
    <n v="-76.690635"/>
    <n v="3.4064016669999999"/>
    <n v="3413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19:54:50"/>
    <n v="-76.690635"/>
    <n v="3.4064016669999999"/>
    <n v="3413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19:33:34"/>
    <n v="-76.690701669999996"/>
    <n v="3.4062283330000001"/>
    <n v="3413"/>
    <e v="#DIV/0!"/>
    <x v="5"/>
    <e v="#DIV/0!"/>
    <e v="#DIV/0!"/>
    <m/>
    <x v="3"/>
    <m/>
    <x v="3"/>
    <x v="18"/>
    <m/>
    <s v="Arbustal"/>
    <m/>
    <m/>
    <s v="Pristimantis aff leptolophus"/>
    <n v="3"/>
    <m/>
    <m/>
    <m/>
    <m/>
    <m/>
    <s v="Observacion"/>
  </r>
  <r>
    <d v="2020-10-17T00:00:00"/>
    <m/>
    <m/>
    <d v="1899-12-30T19:33:34"/>
    <n v="-76.690701669999996"/>
    <n v="3.4062283330000001"/>
    <n v="3420"/>
    <e v="#DIV/0!"/>
    <x v="5"/>
    <e v="#DIV/0!"/>
    <e v="#DIV/0!"/>
    <m/>
    <x v="3"/>
    <m/>
    <x v="3"/>
    <x v="18"/>
    <m/>
    <s v="Arbustal"/>
    <m/>
    <m/>
    <s v="Pristimantis brevifrons"/>
    <n v="1"/>
    <m/>
    <m/>
    <m/>
    <m/>
    <m/>
    <s v="Observacion"/>
  </r>
  <r>
    <d v="2020-10-17T00:00:00"/>
    <m/>
    <m/>
    <d v="1899-12-30T19:42:09"/>
    <n v="-76.690633329999997"/>
    <n v="3.4062566670000001"/>
    <n v="3420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20:18:16"/>
    <n v="-76.690771670000004"/>
    <n v="3.406393333"/>
    <n v="3042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20:12:13"/>
    <n v="-76.690714999999997"/>
    <n v="3.4064433329999999"/>
    <n v="3420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7T00:00:00"/>
    <m/>
    <m/>
    <d v="1899-12-30T20:28:11"/>
    <n v="-76.690623329999994"/>
    <n v="3.4064516669999998"/>
    <n v="3420"/>
    <e v="#DIV/0!"/>
    <x v="5"/>
    <e v="#DIV/0!"/>
    <e v="#DIV/0!"/>
    <m/>
    <x v="3"/>
    <m/>
    <x v="3"/>
    <x v="18"/>
    <m/>
    <s v="Arbustal"/>
    <m/>
    <m/>
    <s v="Pristimantis brevifrons"/>
    <n v="1"/>
    <m/>
    <m/>
    <m/>
    <m/>
    <m/>
    <s v="Observacion"/>
  </r>
  <r>
    <d v="2020-10-17T00:00:00"/>
    <m/>
    <m/>
    <d v="1899-12-30T19:19:23"/>
    <n v="-76.690708330000007"/>
    <n v="3.406211667"/>
    <n v="3403"/>
    <e v="#DIV/0!"/>
    <x v="5"/>
    <e v="#DIV/0!"/>
    <e v="#DIV/0!"/>
    <m/>
    <x v="3"/>
    <m/>
    <x v="3"/>
    <x v="18"/>
    <m/>
    <s v="Arbustal"/>
    <m/>
    <m/>
    <s v="Pristimantis aff leptolophus"/>
    <n v="1"/>
    <m/>
    <m/>
    <m/>
    <m/>
    <m/>
    <s v="Observacion"/>
  </r>
  <r>
    <d v="2020-10-19T00:00:00"/>
    <m/>
    <m/>
    <d v="1899-12-30T21:33:27"/>
    <n v="-76.688478329999995"/>
    <n v="3.409496667"/>
    <n v="3360"/>
    <e v="#DIV/0!"/>
    <x v="5"/>
    <e v="#DIV/0!"/>
    <e v="#DIV/0!"/>
    <m/>
    <x v="3"/>
    <m/>
    <x v="0"/>
    <x v="17"/>
    <m/>
    <s v="Bosque secundario"/>
    <s v="Yimmi Angulo"/>
    <m/>
    <s v="Pristimantis brevifrons"/>
    <n v="1"/>
    <m/>
    <m/>
    <m/>
    <m/>
    <m/>
    <s v="Observacion"/>
  </r>
  <r>
    <d v="2020-10-17T00:00:00"/>
    <m/>
    <m/>
    <d v="1899-12-30T20:44:18"/>
    <n v="-76.690378330000001"/>
    <n v="3.4068700000000001"/>
    <n v="3409"/>
    <e v="#DIV/0!"/>
    <x v="5"/>
    <e v="#DIV/0!"/>
    <e v="#DIV/0!"/>
    <m/>
    <x v="3"/>
    <m/>
    <x v="2"/>
    <x v="18"/>
    <m/>
    <s v="Bosque primario"/>
    <m/>
    <m/>
    <s v="Pristimantis aff leptolophus"/>
    <n v="1"/>
    <m/>
    <m/>
    <m/>
    <m/>
    <m/>
    <s v="Observacion"/>
  </r>
  <r>
    <d v="2020-10-16T00:00:00"/>
    <m/>
    <m/>
    <d v="1899-12-30T19:07:22"/>
    <n v="-76.680851669999996"/>
    <n v="3.4013116669999999"/>
    <n v="3049"/>
    <e v="#DIV/0!"/>
    <x v="5"/>
    <e v="#DIV/0!"/>
    <e v="#DIV/0!"/>
    <m/>
    <x v="3"/>
    <m/>
    <x v="0"/>
    <x v="16"/>
    <m/>
    <s v="Bosque primario"/>
    <s v="Gustavo Rodríguez"/>
    <m/>
    <s v="Pristimantis calcaratus"/>
    <n v="1"/>
    <m/>
    <m/>
    <m/>
    <m/>
    <m/>
    <s v="Observacion"/>
  </r>
  <r>
    <d v="2020-10-16T00:00:00"/>
    <m/>
    <m/>
    <d v="1899-12-30T20:19:32"/>
    <n v="-76.679990000000004"/>
    <n v="3.400896667"/>
    <n v="3024"/>
    <e v="#DIV/0!"/>
    <x v="5"/>
    <e v="#DIV/0!"/>
    <e v="#DIV/0!"/>
    <m/>
    <x v="3"/>
    <m/>
    <x v="0"/>
    <x v="16"/>
    <m/>
    <s v="Bosque primario"/>
    <s v="Joseph Lemos"/>
    <m/>
    <s v="Pristimantis capitonis"/>
    <n v="1"/>
    <m/>
    <m/>
    <m/>
    <m/>
    <m/>
    <s v="Observacion"/>
  </r>
  <r>
    <d v="2020-10-16T00:00:00"/>
    <m/>
    <m/>
    <d v="1899-12-30T19:40:31"/>
    <n v="-76.680615000000003"/>
    <n v="3.4009416670000001"/>
    <n v="3010"/>
    <e v="#DIV/0!"/>
    <x v="5"/>
    <e v="#DIV/0!"/>
    <e v="#DIV/0!"/>
    <m/>
    <x v="3"/>
    <m/>
    <x v="0"/>
    <x v="16"/>
    <m/>
    <s v="Bosque primario"/>
    <s v="Yimmi Angulo"/>
    <m/>
    <s v="Pristimantis buckleyi"/>
    <n v="1"/>
    <m/>
    <m/>
    <m/>
    <m/>
    <m/>
    <s v="Observacion"/>
  </r>
  <r>
    <d v="2020-10-19T00:00:00"/>
    <m/>
    <m/>
    <d v="1899-12-30T19:46:49"/>
    <n v="-76.689533330000003"/>
    <n v="3.4117383330000002"/>
    <n v="3240"/>
    <e v="#DIV/0!"/>
    <x v="5"/>
    <e v="#DIV/0!"/>
    <e v="#DIV/0!"/>
    <m/>
    <x v="3"/>
    <m/>
    <x v="3"/>
    <x v="17"/>
    <m/>
    <s v="Bosque secundario"/>
    <s v="Rodríguez"/>
    <m/>
    <s v="Pristimantis brevifrons"/>
    <n v="1"/>
    <m/>
    <m/>
    <m/>
    <m/>
    <m/>
    <s v="Observacion"/>
  </r>
  <r>
    <d v="2020-10-19T00:00:00"/>
    <m/>
    <m/>
    <d v="1899-12-30T19:07:14"/>
    <n v="-76.689994999999996"/>
    <n v="3.4119833329999998"/>
    <n v="3294"/>
    <e v="#DIV/0!"/>
    <x v="5"/>
    <e v="#DIV/0!"/>
    <e v="#DIV/0!"/>
    <m/>
    <x v="3"/>
    <m/>
    <x v="3"/>
    <x v="17"/>
    <m/>
    <s v="Bosque secundario"/>
    <m/>
    <m/>
    <s v="Pristimantis aff leptolophus"/>
    <n v="1"/>
    <m/>
    <m/>
    <m/>
    <m/>
    <m/>
    <s v="Observacion"/>
  </r>
  <r>
    <d v="2020-10-19T00:00:00"/>
    <m/>
    <m/>
    <d v="1899-12-30T19:07:14"/>
    <n v="-76.689994999999996"/>
    <n v="3.4119833329999998"/>
    <n v="3294"/>
    <e v="#DIV/0!"/>
    <x v="5"/>
    <e v="#DIV/0!"/>
    <e v="#DIV/0!"/>
    <m/>
    <x v="3"/>
    <m/>
    <x v="3"/>
    <x v="17"/>
    <m/>
    <s v="Bosque secundario"/>
    <s v="Óscar Cuéllar"/>
    <m/>
    <s v="Pristimantis brevifrons"/>
    <n v="1"/>
    <m/>
    <m/>
    <m/>
    <m/>
    <m/>
    <s v="Observacion"/>
  </r>
  <r>
    <d v="2020-10-19T00:00:00"/>
    <m/>
    <m/>
    <d v="1899-12-30T19:58:03"/>
    <n v="-76.68956833"/>
    <n v="3.4117000000000002"/>
    <n v="3290"/>
    <e v="#DIV/0!"/>
    <x v="5"/>
    <e v="#DIV/0!"/>
    <e v="#DIV/0!"/>
    <m/>
    <x v="3"/>
    <m/>
    <x v="3"/>
    <x v="17"/>
    <m/>
    <s v="Bosque ribereño"/>
    <s v="Óscar Cuéllar"/>
    <m/>
    <s v="Centrolene buckleyi"/>
    <n v="3"/>
    <m/>
    <m/>
    <m/>
    <m/>
    <m/>
    <s v="Observacion"/>
  </r>
  <r>
    <d v="2020-10-17T00:00:00"/>
    <m/>
    <m/>
    <d v="1899-12-30T21:02:32"/>
    <n v="-76.689615000000003"/>
    <n v="3.4074333330000002"/>
    <n v="3411"/>
    <e v="#DIV/0!"/>
    <x v="5"/>
    <e v="#DIV/0!"/>
    <e v="#DIV/0!"/>
    <m/>
    <x v="3"/>
    <m/>
    <x v="1"/>
    <x v="18"/>
    <m/>
    <s v="Bosque primario"/>
    <m/>
    <m/>
    <s v="Pristimantis aff leptolophus"/>
    <n v="1"/>
    <m/>
    <m/>
    <m/>
    <m/>
    <m/>
    <s v="Observacion"/>
  </r>
  <r>
    <d v="2020-10-17T00:00:00"/>
    <m/>
    <m/>
    <d v="1899-12-30T21:02:32"/>
    <n v="-76.689615000000003"/>
    <n v="3.4074333330000002"/>
    <n v="3412"/>
    <e v="#DIV/0!"/>
    <x v="5"/>
    <e v="#DIV/0!"/>
    <e v="#DIV/0!"/>
    <m/>
    <x v="3"/>
    <m/>
    <x v="1"/>
    <x v="18"/>
    <m/>
    <s v="Bosque primario"/>
    <s v="Guzmán"/>
    <m/>
    <s v="Pristimantis buckleyi"/>
    <n v="2"/>
    <m/>
    <m/>
    <m/>
    <m/>
    <m/>
    <s v="Observacion"/>
  </r>
  <r>
    <d v="2020-10-16T00:00:00"/>
    <m/>
    <m/>
    <d v="1899-12-30T22:29:45"/>
    <n v="-76.678785000000005"/>
    <n v="3.40083"/>
    <n v="3050"/>
    <e v="#DIV/0!"/>
    <x v="5"/>
    <e v="#DIV/0!"/>
    <e v="#DIV/0!"/>
    <m/>
    <x v="3"/>
    <m/>
    <x v="2"/>
    <x v="16"/>
    <m/>
    <s v="Bosque primario"/>
    <s v="Cristian Castaño"/>
    <m/>
    <s v="Pristimantis buckleyi"/>
    <n v="1"/>
    <m/>
    <m/>
    <m/>
    <m/>
    <m/>
    <s v="Observacion"/>
  </r>
  <r>
    <d v="2020-10-16T00:00:00"/>
    <m/>
    <m/>
    <d v="1899-12-30T23:00:49"/>
    <n v="-76.678555000000003"/>
    <n v="3.40158"/>
    <n v="3054"/>
    <e v="#DIV/0!"/>
    <x v="5"/>
    <e v="#DIV/0!"/>
    <e v="#DIV/0!"/>
    <m/>
    <x v="3"/>
    <m/>
    <x v="2"/>
    <x v="16"/>
    <m/>
    <s v="Bosque primario"/>
    <m/>
    <m/>
    <s v="Pristimantis capitonis"/>
    <n v="1"/>
    <m/>
    <m/>
    <m/>
    <m/>
    <m/>
    <s v="Observacion"/>
  </r>
  <r>
    <d v="2020-10-16T00:00:00"/>
    <m/>
    <m/>
    <d v="1899-12-30T22:39:25"/>
    <n v="-76.678651669999994"/>
    <n v="3.401135"/>
    <n v="3051"/>
    <e v="#DIV/0!"/>
    <x v="5"/>
    <e v="#DIV/0!"/>
    <e v="#DIV/0!"/>
    <m/>
    <x v="3"/>
    <m/>
    <x v="2"/>
    <x v="16"/>
    <m/>
    <s v="Bosque ribereño"/>
    <s v="Cristian Castaño"/>
    <m/>
    <s v="Colomascyrtus larinopygion"/>
    <n v="1"/>
    <m/>
    <m/>
    <m/>
    <m/>
    <m/>
    <s v="Auditivo"/>
  </r>
  <r>
    <d v="2020-10-19T00:00:00"/>
    <m/>
    <m/>
    <d v="1899-12-30T21:04:30"/>
    <n v="-76.688371669999995"/>
    <n v="3.4102583329999998"/>
    <n v="3320"/>
    <e v="#DIV/0!"/>
    <x v="5"/>
    <e v="#DIV/0!"/>
    <e v="#DIV/0!"/>
    <m/>
    <x v="3"/>
    <m/>
    <x v="1"/>
    <x v="17"/>
    <m/>
    <s v="Bosque ribereño"/>
    <m/>
    <m/>
    <s v="Pristimantis aff leptolophus"/>
    <n v="1"/>
    <m/>
    <m/>
    <m/>
    <m/>
    <m/>
    <s v="Observacion"/>
  </r>
  <r>
    <d v="2020-10-19T00:00:00"/>
    <m/>
    <m/>
    <d v="1899-12-30T20:41:02"/>
    <n v="-76.688641669999996"/>
    <n v="3.4109783330000001"/>
    <n v="3298"/>
    <e v="#DIV/0!"/>
    <x v="5"/>
    <e v="#DIV/0!"/>
    <e v="#DIV/0!"/>
    <m/>
    <x v="3"/>
    <m/>
    <x v="2"/>
    <x v="17"/>
    <m/>
    <s v="Bosque secundario"/>
    <m/>
    <m/>
    <s v="Ninguna"/>
    <n v="0"/>
    <m/>
    <m/>
    <m/>
    <m/>
    <m/>
    <s v="Observacion"/>
  </r>
  <r>
    <d v="2020-10-16T00:00:00"/>
    <m/>
    <m/>
    <d v="1899-12-30T21:25:34"/>
    <n v="-76.679498330000001"/>
    <n v="3.400756667"/>
    <n v="3049"/>
    <e v="#DIV/0!"/>
    <x v="5"/>
    <e v="#DIV/0!"/>
    <e v="#DIV/0!"/>
    <m/>
    <x v="3"/>
    <m/>
    <x v="1"/>
    <x v="16"/>
    <m/>
    <s v="Bosque primario"/>
    <s v="Cristian Castaño"/>
    <m/>
    <s v="Pristimantis calcaratus"/>
    <n v="1"/>
    <m/>
    <m/>
    <m/>
    <m/>
    <m/>
    <s v="Observacion"/>
  </r>
  <r>
    <d v="2020-10-16T00:00:00"/>
    <m/>
    <m/>
    <d v="1899-12-30T21:05:27"/>
    <n v="-76.679863330000003"/>
    <n v="3.4007466669999999"/>
    <n v="3066"/>
    <e v="#DIV/0!"/>
    <x v="5"/>
    <e v="#DIV/0!"/>
    <e v="#DIV/0!"/>
    <m/>
    <x v="3"/>
    <m/>
    <x v="1"/>
    <x v="16"/>
    <m/>
    <s v="Bosque primario"/>
    <s v="Yimmi Angulo"/>
    <m/>
    <s v="Pristimantis capitonis"/>
    <n v="1"/>
    <m/>
    <m/>
    <m/>
    <m/>
    <m/>
    <s v="Observacion"/>
  </r>
  <r>
    <d v="2020-10-16T00:00:00"/>
    <m/>
    <m/>
    <d v="1899-12-30T20:48:33"/>
    <n v="-76.679868330000005"/>
    <n v="3.4007416670000001"/>
    <n v="3069"/>
    <e v="#DIV/0!"/>
    <x v="5"/>
    <e v="#DIV/0!"/>
    <e v="#DIV/0!"/>
    <m/>
    <x v="3"/>
    <m/>
    <x v="1"/>
    <x v="16"/>
    <m/>
    <s v="Bosque primario"/>
    <m/>
    <m/>
    <s v="Pristimantis capitonis"/>
    <n v="1"/>
    <m/>
    <m/>
    <m/>
    <m/>
    <m/>
    <s v="Observacion"/>
  </r>
  <r>
    <d v="2020-10-16T00:00:00"/>
    <m/>
    <m/>
    <d v="1899-12-30T20:40:58"/>
    <n v="-76.679923329999994"/>
    <n v="3.4008799999999999"/>
    <n v="3060"/>
    <e v="#DIV/0!"/>
    <x v="5"/>
    <e v="#DIV/0!"/>
    <e v="#DIV/0!"/>
    <m/>
    <x v="3"/>
    <m/>
    <x v="1"/>
    <x v="16"/>
    <m/>
    <s v="Bosque primario"/>
    <s v="Cristian Castaño"/>
    <m/>
    <s v="Pristimantis calcaratus"/>
    <n v="1"/>
    <m/>
    <m/>
    <m/>
    <m/>
    <m/>
    <s v="Observacion"/>
  </r>
  <r>
    <d v="2020-10-16T00:00:00"/>
    <m/>
    <m/>
    <d v="1899-12-30T21:48:46"/>
    <n v="-76.679460000000006"/>
    <n v="3.4007483330000001"/>
    <n v="3049"/>
    <e v="#DIV/0!"/>
    <x v="5"/>
    <e v="#DIV/0!"/>
    <e v="#DIV/0!"/>
    <m/>
    <x v="3"/>
    <m/>
    <x v="1"/>
    <x v="16"/>
    <m/>
    <s v="Bosque primario"/>
    <m/>
    <m/>
    <s v="Colomascyrtus larinopygion"/>
    <n v="1"/>
    <m/>
    <m/>
    <m/>
    <m/>
    <m/>
    <s v="Observacion"/>
  </r>
  <r>
    <d v="2020-10-16T00:00:00"/>
    <m/>
    <m/>
    <d v="1899-12-30T23:33:32"/>
    <n v="-76.67800167"/>
    <n v="3.4023983329999998"/>
    <m/>
    <e v="#DIV/0!"/>
    <x v="5"/>
    <e v="#DIV/0!"/>
    <e v="#DIV/0!"/>
    <m/>
    <x v="3"/>
    <m/>
    <x v="0"/>
    <x v="19"/>
    <m/>
    <m/>
    <m/>
    <m/>
    <s v="Ninguna"/>
    <n v="0"/>
    <m/>
    <m/>
    <m/>
    <m/>
    <m/>
    <m/>
  </r>
  <r>
    <d v="2020-10-26T00:00:00"/>
    <m/>
    <m/>
    <d v="1899-12-30T20:33:10"/>
    <n v="-76.646623329999997"/>
    <n v="3.3497266670000001"/>
    <m/>
    <e v="#DIV/0!"/>
    <x v="5"/>
    <e v="#DIV/0!"/>
    <e v="#DIV/0!"/>
    <m/>
    <x v="2"/>
    <m/>
    <x v="2"/>
    <x v="11"/>
    <m/>
    <m/>
    <m/>
    <m/>
    <s v="Ninguna"/>
    <n v="0"/>
    <m/>
    <m/>
    <m/>
    <m/>
    <m/>
    <m/>
  </r>
  <r>
    <d v="2020-10-17T00:00:00"/>
    <m/>
    <m/>
    <d v="1899-12-30T21:30:48"/>
    <n v="-76.688503330000003"/>
    <n v="3.4080533329999998"/>
    <m/>
    <e v="#DIV/0!"/>
    <x v="5"/>
    <e v="#DIV/0!"/>
    <e v="#DIV/0!"/>
    <m/>
    <x v="3"/>
    <m/>
    <x v="0"/>
    <x v="18"/>
    <m/>
    <m/>
    <m/>
    <m/>
    <s v="Ninguna"/>
    <n v="0"/>
    <m/>
    <m/>
    <m/>
    <m/>
    <m/>
    <m/>
  </r>
  <r>
    <d v="2021-10-20T00:00:00"/>
    <m/>
    <m/>
    <d v="1899-12-30T21:49:52"/>
    <n v="-76.652136670000004"/>
    <n v="3.353443333"/>
    <n v="2506"/>
    <e v="#DIV/0!"/>
    <x v="6"/>
    <e v="#DIV/0!"/>
    <e v="#DIV/0!"/>
    <m/>
    <x v="2"/>
    <m/>
    <x v="3"/>
    <x v="13"/>
    <m/>
    <s v="Bosque secundario"/>
    <s v="Gustavo Rodriguez"/>
    <s v="Herbaceo 0.3-1.5 m"/>
    <s v="Pristimantis palmeri"/>
    <n v="1"/>
    <m/>
    <m/>
    <m/>
    <m/>
    <m/>
    <s v="Observacion"/>
  </r>
  <r>
    <d v="2021-10-20T00:00:00"/>
    <m/>
    <m/>
    <d v="1899-12-30T21:39:36"/>
    <n v="-76.652548330000002"/>
    <n v="3.3534833329999998"/>
    <n v="2514"/>
    <e v="#DIV/0!"/>
    <x v="6"/>
    <e v="#DIV/0!"/>
    <e v="#DIV/0!"/>
    <m/>
    <x v="2"/>
    <m/>
    <x v="3"/>
    <x v="13"/>
    <m/>
    <s v="Bosque secundario"/>
    <s v="Gustavo Rodriguez"/>
    <s v="Herbaceo 0.3-1.5 m"/>
    <s v="Pristimantis palmeri"/>
    <n v="1"/>
    <m/>
    <m/>
    <m/>
    <m/>
    <m/>
    <s v="Observacion"/>
  </r>
  <r>
    <d v="2021-10-20T00:00:00"/>
    <m/>
    <m/>
    <d v="1899-12-30T21:30:54"/>
    <n v="-76.652623329999997"/>
    <n v="3.3535383329999999"/>
    <n v="2510"/>
    <e v="#DIV/0!"/>
    <x v="6"/>
    <e v="#DIV/0!"/>
    <e v="#DIV/0!"/>
    <m/>
    <x v="2"/>
    <m/>
    <x v="3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1:30:54"/>
    <n v="-76.652623329999997"/>
    <n v="3.3535383329999999"/>
    <n v="2510"/>
    <e v="#DIV/0!"/>
    <x v="6"/>
    <e v="#DIV/0!"/>
    <e v="#DIV/0!"/>
    <m/>
    <x v="2"/>
    <m/>
    <x v="3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1:30:54"/>
    <n v="-76.652623329999997"/>
    <n v="3.3535383329999999"/>
    <n v="2510"/>
    <e v="#DIV/0!"/>
    <x v="6"/>
    <e v="#DIV/0!"/>
    <e v="#DIV/0!"/>
    <m/>
    <x v="2"/>
    <m/>
    <x v="3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1:30:54"/>
    <n v="-76.652623329999997"/>
    <n v="3.3535383329999999"/>
    <n v="2510"/>
    <e v="#DIV/0!"/>
    <x v="6"/>
    <e v="#DIV/0!"/>
    <e v="#DIV/0!"/>
    <m/>
    <x v="2"/>
    <m/>
    <x v="3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1:46:30"/>
    <n v="-76.652203330000006"/>
    <n v="3.3533783330000002"/>
    <n v="2501"/>
    <e v="#DIV/0!"/>
    <x v="6"/>
    <e v="#DIV/0!"/>
    <e v="#DIV/0!"/>
    <m/>
    <x v="2"/>
    <m/>
    <x v="3"/>
    <x v="13"/>
    <m/>
    <s v="Bosque secundario"/>
    <s v="Gustavo Rodriguez"/>
    <s v="Herbaceo 0.3-1.5 m"/>
    <s v="Pristimantis palmeri"/>
    <n v="1"/>
    <m/>
    <m/>
    <m/>
    <m/>
    <m/>
    <s v="Observacion"/>
  </r>
  <r>
    <d v="2021-10-20T00:00:00"/>
    <m/>
    <m/>
    <d v="1899-12-30T20:37:37"/>
    <n v="-76.655315000000002"/>
    <n v="3.3540833330000002"/>
    <n v="2558"/>
    <e v="#DIV/0!"/>
    <x v="6"/>
    <e v="#DIV/0!"/>
    <e v="#DIV/0!"/>
    <m/>
    <x v="2"/>
    <m/>
    <x v="0"/>
    <x v="14"/>
    <m/>
    <s v="Bosque secundario"/>
    <s v="Hernan Montoya"/>
    <s v="Herbaceo 0.3-1.5 m"/>
    <s v="Pristimantis acatallelus"/>
    <n v="1"/>
    <s v="Macho"/>
    <m/>
    <m/>
    <m/>
    <m/>
    <s v="Observacion"/>
  </r>
  <r>
    <d v="2021-10-20T00:00:00"/>
    <m/>
    <m/>
    <d v="1899-12-30T20:37:37"/>
    <n v="-76.655315000000002"/>
    <n v="3.3540833330000002"/>
    <n v="2558"/>
    <e v="#DIV/0!"/>
    <x v="6"/>
    <e v="#DIV/0!"/>
    <e v="#DIV/0!"/>
    <m/>
    <x v="2"/>
    <m/>
    <x v="0"/>
    <x v="14"/>
    <m/>
    <s v="Bosque secundario"/>
    <s v="Andrea Huesaquillo"/>
    <s v="Herbaceo 0.3-1.5 m"/>
    <s v="Pristimantis capitonis"/>
    <n v="1"/>
    <m/>
    <m/>
    <m/>
    <m/>
    <m/>
    <s v="Observacion"/>
  </r>
  <r>
    <d v="2021-10-20T00:00:00"/>
    <m/>
    <m/>
    <d v="1899-12-30T19:57:11"/>
    <n v="-76.655685000000005"/>
    <n v="3.354263333"/>
    <n v="2562"/>
    <e v="#DIV/0!"/>
    <x v="6"/>
    <e v="#DIV/0!"/>
    <e v="#DIV/0!"/>
    <m/>
    <x v="2"/>
    <m/>
    <x v="0"/>
    <x v="14"/>
    <m/>
    <s v="Bosque secundario"/>
    <s v="Andrea Huesaquillo"/>
    <s v="Herbaceo 0.3-1.5 m"/>
    <s v="Pristimantis palmeri"/>
    <n v="1"/>
    <m/>
    <m/>
    <m/>
    <m/>
    <m/>
    <s v="Observacion"/>
  </r>
  <r>
    <d v="2021-10-20T00:00:00"/>
    <m/>
    <m/>
    <d v="1899-12-30T20:21:47"/>
    <n v="-76.655421669999996"/>
    <n v="3.3541016670000001"/>
    <n v="2559"/>
    <e v="#DIV/0!"/>
    <x v="6"/>
    <e v="#DIV/0!"/>
    <e v="#DIV/0!"/>
    <m/>
    <x v="2"/>
    <m/>
    <x v="0"/>
    <x v="14"/>
    <m/>
    <s v="Bosque secundario"/>
    <s v="Gustavo Rodriguez"/>
    <s v="Herbaceo 0.3-1.5 m"/>
    <s v="Pristimantis acatallelus"/>
    <n v="1"/>
    <m/>
    <m/>
    <m/>
    <m/>
    <m/>
    <s v="Observacion"/>
  </r>
  <r>
    <d v="2021-10-20T00:00:00"/>
    <m/>
    <m/>
    <d v="1899-12-30T20:09:57"/>
    <n v="-76.655569999999997"/>
    <n v="3.3541716670000001"/>
    <n v="2569"/>
    <e v="#DIV/0!"/>
    <x v="6"/>
    <e v="#DIV/0!"/>
    <e v="#DIV/0!"/>
    <m/>
    <x v="2"/>
    <m/>
    <x v="0"/>
    <x v="14"/>
    <m/>
    <s v="Bosque secundario"/>
    <s v="Hernan Montoya"/>
    <s v="Herbaceo 0.3-1.5 m"/>
    <s v="Pristimantis palmeri"/>
    <n v="1"/>
    <m/>
    <m/>
    <m/>
    <m/>
    <m/>
    <s v="Observacion"/>
  </r>
  <r>
    <d v="2021-10-20T00:00:00"/>
    <m/>
    <m/>
    <d v="1899-12-30T20:03:27"/>
    <n v="-76.655661670000001"/>
    <n v="3.3541983329999998"/>
    <n v="2565"/>
    <e v="#DIV/0!"/>
    <x v="6"/>
    <e v="#DIV/0!"/>
    <e v="#DIV/0!"/>
    <m/>
    <x v="2"/>
    <m/>
    <x v="0"/>
    <x v="14"/>
    <m/>
    <s v="Bosque secundario"/>
    <s v="Andrea Huesaquillo"/>
    <s v="Herbaceo 0.3-1.5 m"/>
    <s v="Pristimantis acatallelus"/>
    <n v="1"/>
    <m/>
    <m/>
    <m/>
    <m/>
    <m/>
    <s v="Observacion"/>
  </r>
  <r>
    <d v="2021-10-20T00:00:00"/>
    <m/>
    <m/>
    <d v="1899-12-30T20:03:27"/>
    <n v="-76.655661670000001"/>
    <n v="3.3541983329999998"/>
    <n v="2565"/>
    <e v="#DIV/0!"/>
    <x v="6"/>
    <e v="#DIV/0!"/>
    <e v="#DIV/0!"/>
    <m/>
    <x v="2"/>
    <m/>
    <x v="0"/>
    <x v="14"/>
    <m/>
    <s v="Bosque secundario"/>
    <s v="Hernan Montoya"/>
    <s v="Herbaceo 0.3-1.5 m"/>
    <s v="Pristimantis acatallelus"/>
    <n v="1"/>
    <m/>
    <m/>
    <m/>
    <m/>
    <m/>
    <s v="Observacion"/>
  </r>
  <r>
    <d v="2021-10-20T00:00:00"/>
    <m/>
    <m/>
    <d v="1899-12-30T20:46:39"/>
    <n v="-76.655243330000005"/>
    <n v="3.3539983329999998"/>
    <n v="2558"/>
    <e v="#DIV/0!"/>
    <x v="6"/>
    <e v="#DIV/0!"/>
    <e v="#DIV/0!"/>
    <m/>
    <x v="2"/>
    <m/>
    <x v="0"/>
    <x v="14"/>
    <m/>
    <s v="Bosque secundario"/>
    <s v="Gustavo Rodriguez"/>
    <s v="Herbaceo 0.3-1.5 m"/>
    <s v="Pristimantis capitonis"/>
    <n v="1"/>
    <m/>
    <m/>
    <m/>
    <m/>
    <m/>
    <s v="Observacion"/>
  </r>
  <r>
    <d v="2021-10-20T00:00:00"/>
    <m/>
    <m/>
    <d v="1899-12-30T20:46:39"/>
    <n v="-76.655243330000005"/>
    <n v="3.3539983329999998"/>
    <n v="2558"/>
    <e v="#DIV/0!"/>
    <x v="6"/>
    <e v="#DIV/0!"/>
    <e v="#DIV/0!"/>
    <m/>
    <x v="2"/>
    <m/>
    <x v="0"/>
    <x v="14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0:13:22"/>
    <n v="-76.655556669999996"/>
    <n v="3.3541099999999999"/>
    <n v="2564"/>
    <e v="#DIV/0!"/>
    <x v="6"/>
    <e v="#DIV/0!"/>
    <e v="#DIV/0!"/>
    <m/>
    <x v="2"/>
    <m/>
    <x v="0"/>
    <x v="14"/>
    <m/>
    <s v="Bosque secundario"/>
    <s v="Gustavo Rodriguez"/>
    <s v="Herbaceo 0.3-1.5 m"/>
    <s v="Pristimantis acatallelus"/>
    <n v="1"/>
    <m/>
    <m/>
    <m/>
    <m/>
    <m/>
    <s v="Observacion"/>
  </r>
  <r>
    <d v="2021-10-20T00:00:00"/>
    <m/>
    <m/>
    <d v="1899-12-30T20:27:48"/>
    <n v="-76.655416669999994"/>
    <n v="3.354085"/>
    <n v="2562"/>
    <e v="#DIV/0!"/>
    <x v="6"/>
    <e v="#DIV/0!"/>
    <e v="#DIV/0!"/>
    <m/>
    <x v="2"/>
    <m/>
    <x v="0"/>
    <x v="14"/>
    <m/>
    <s v="Bosque secundario"/>
    <s v="Hernan Montoya"/>
    <s v="Arbustivo 1.5-5 m"/>
    <s v="Pristimantis capitonis"/>
    <n v="1"/>
    <m/>
    <m/>
    <m/>
    <m/>
    <m/>
    <s v="Observacion"/>
  </r>
  <r>
    <d v="2021-10-20T00:00:00"/>
    <m/>
    <m/>
    <d v="1899-12-30T21:15:10"/>
    <n v="-76.653073329999998"/>
    <n v="3.353366667"/>
    <n v="2511"/>
    <e v="#DIV/0!"/>
    <x v="6"/>
    <e v="#DIV/0!"/>
    <e v="#DIV/0!"/>
    <m/>
    <x v="2"/>
    <m/>
    <x v="4"/>
    <x v="13"/>
    <m/>
    <s v="Bosque secundario"/>
    <s v="Andrea Huesaquillo"/>
    <s v="Herbaceo 0.3-1.5 m"/>
    <s v="Pristimantis acatallelus"/>
    <n v="1"/>
    <m/>
    <m/>
    <m/>
    <m/>
    <m/>
    <s v="Observacion"/>
  </r>
  <r>
    <d v="2021-10-20T00:00:00"/>
    <m/>
    <m/>
    <d v="1899-12-30T21:22:17"/>
    <n v="-76.652914999999993"/>
    <n v="3.353408333"/>
    <n v="2517"/>
    <e v="#DIV/0!"/>
    <x v="6"/>
    <e v="#DIV/0!"/>
    <e v="#DIV/0!"/>
    <m/>
    <x v="2"/>
    <m/>
    <x v="4"/>
    <x v="13"/>
    <m/>
    <s v="Bosque secundario"/>
    <s v="Gustavo Rodriguez"/>
    <s v="Arbustivo 1.5-5 m"/>
    <s v="Pristimantis acatallelus"/>
    <n v="1"/>
    <m/>
    <m/>
    <m/>
    <m/>
    <m/>
    <s v="Observacion"/>
  </r>
  <r>
    <d v="2021-10-20T00:00:00"/>
    <m/>
    <m/>
    <d v="1899-12-30T18:47:53"/>
    <n v="-76.656268330000003"/>
    <n v="3.3553266669999999"/>
    <m/>
    <e v="#DIV/0!"/>
    <x v="6"/>
    <e v="#DIV/0!"/>
    <e v="#DIV/0!"/>
    <m/>
    <x v="2"/>
    <m/>
    <x v="2"/>
    <x v="14"/>
    <m/>
    <m/>
    <m/>
    <m/>
    <s v="Ninguna"/>
    <n v="0"/>
    <m/>
    <m/>
    <m/>
    <m/>
    <m/>
    <m/>
  </r>
  <r>
    <d v="2021-10-20T00:00:00"/>
    <m/>
    <m/>
    <d v="1899-12-30T22:15:33"/>
    <n v="-76.649738330000005"/>
    <n v="3.3526633330000002"/>
    <n v="2488"/>
    <e v="#DIV/0!"/>
    <x v="6"/>
    <e v="#DIV/0!"/>
    <e v="#DIV/0!"/>
    <m/>
    <x v="2"/>
    <m/>
    <x v="2"/>
    <x v="13"/>
    <m/>
    <s v="Bosque secundario"/>
    <s v="Gustavo Rodriguez"/>
    <s v="Arbustivo 1.5-5 m"/>
    <s v="Pristimantis palmeri"/>
    <n v="1"/>
    <m/>
    <m/>
    <m/>
    <m/>
    <m/>
    <s v="Auditivo"/>
  </r>
  <r>
    <d v="2021-10-20T00:00:00"/>
    <m/>
    <m/>
    <d v="1899-12-30T19:43:09"/>
    <n v="-76.655801670000002"/>
    <n v="3.354555"/>
    <n v="2556"/>
    <e v="#DIV/0!"/>
    <x v="6"/>
    <e v="#DIV/0!"/>
    <e v="#DIV/0!"/>
    <m/>
    <x v="2"/>
    <m/>
    <x v="1"/>
    <x v="14"/>
    <m/>
    <s v="Bosque secundario"/>
    <s v="Gustavo Rodriguez"/>
    <s v="Herbaceo 0.3-1.5 m"/>
    <s v="Pristimantis acatallelus"/>
    <n v="2"/>
    <m/>
    <m/>
    <m/>
    <m/>
    <m/>
    <s v="Observacion"/>
  </r>
  <r>
    <d v="2021-10-20T00:00:00"/>
    <m/>
    <m/>
    <d v="1899-12-30T19:43:09"/>
    <n v="-76.655801670000002"/>
    <n v="3.354555"/>
    <n v="2556"/>
    <e v="#DIV/0!"/>
    <x v="6"/>
    <e v="#DIV/0!"/>
    <e v="#DIV/0!"/>
    <m/>
    <x v="2"/>
    <m/>
    <x v="1"/>
    <x v="14"/>
    <m/>
    <s v="Bosque secundario"/>
    <s v="Hernan Montoya"/>
    <s v="Herbaceo 0.3-1.5 m"/>
    <s v="Pristimantis acatallelus"/>
    <n v="2"/>
    <m/>
    <m/>
    <m/>
    <m/>
    <m/>
    <s v="Observacion"/>
  </r>
  <r>
    <d v="2021-10-20T00:00:00"/>
    <m/>
    <m/>
    <d v="1899-12-30T19:03:43"/>
    <n v="-76.656154999999998"/>
    <n v="3.3549150000000001"/>
    <n v="2556"/>
    <e v="#DIV/0!"/>
    <x v="6"/>
    <e v="#DIV/0!"/>
    <e v="#DIV/0!"/>
    <m/>
    <x v="2"/>
    <m/>
    <x v="1"/>
    <x v="14"/>
    <m/>
    <s v="Bosque secundario"/>
    <s v="Gustavo Rodriguez"/>
    <m/>
    <s v="Pristimantis palmeri"/>
    <n v="1"/>
    <s v="auditivo"/>
    <m/>
    <m/>
    <m/>
    <m/>
    <s v="Auditivo"/>
  </r>
  <r>
    <d v="2021-10-20T00:00:00"/>
    <m/>
    <m/>
    <d v="1899-12-30T19:29:40"/>
    <n v="-76.655851670000004"/>
    <n v="3.3546999999999998"/>
    <n v="2556"/>
    <e v="#DIV/0!"/>
    <x v="6"/>
    <e v="#DIV/0!"/>
    <e v="#DIV/0!"/>
    <m/>
    <x v="2"/>
    <m/>
    <x v="1"/>
    <x v="14"/>
    <m/>
    <s v="Bosque secundario"/>
    <s v="Gustavo Rodriguez"/>
    <s v="Herbaceo 0.3-1.5 m"/>
    <s v="Pristimantis acatallelus"/>
    <n v="1"/>
    <m/>
    <m/>
    <m/>
    <m/>
    <m/>
    <s v="Observacion"/>
  </r>
  <r>
    <d v="2021-10-20T00:00:00"/>
    <m/>
    <m/>
    <d v="1899-12-30T22:30:06"/>
    <n v="-76.649193330000003"/>
    <n v="3.35276"/>
    <n v="2470"/>
    <e v="#DIV/0!"/>
    <x v="6"/>
    <e v="#DIV/0!"/>
    <e v="#DIV/0!"/>
    <m/>
    <x v="2"/>
    <m/>
    <x v="1"/>
    <x v="13"/>
    <m/>
    <s v="Bosque secundario"/>
    <s v="Gustavo Rodriguez"/>
    <s v="Rasante &lt;0.3 m"/>
    <s v="Pristimantis palmeri"/>
    <n v="1"/>
    <m/>
    <m/>
    <m/>
    <m/>
    <m/>
    <s v="Observacion"/>
  </r>
  <r>
    <d v="2021-10-20T00:00:00"/>
    <m/>
    <m/>
    <d v="1899-12-30T22:24:43"/>
    <n v="-76.649418330000003"/>
    <n v="3.3525933330000002"/>
    <n v="2488"/>
    <e v="#DIV/0!"/>
    <x v="6"/>
    <e v="#DIV/0!"/>
    <e v="#DIV/0!"/>
    <m/>
    <x v="2"/>
    <m/>
    <x v="1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0-20T00:00:00"/>
    <m/>
    <m/>
    <d v="1899-12-30T22:51:00"/>
    <n v="-76.647988330000004"/>
    <n v="3.3522249999999998"/>
    <n v="2446"/>
    <e v="#DIV/0!"/>
    <x v="6"/>
    <e v="#DIV/0!"/>
    <e v="#DIV/0!"/>
    <m/>
    <x v="2"/>
    <m/>
    <x v="0"/>
    <x v="13"/>
    <m/>
    <s v="Bosque secundario"/>
    <s v="Andrea Huesaquillo"/>
    <s v="Herbaceo 0.3-1.5 m"/>
    <s v="Pristimantis palmeri"/>
    <n v="1"/>
    <m/>
    <m/>
    <m/>
    <m/>
    <m/>
    <s v="Observacion"/>
  </r>
  <r>
    <d v="2021-10-20T00:00:00"/>
    <m/>
    <m/>
    <d v="1899-12-30T23:16:30"/>
    <n v="-76.647988330000004"/>
    <n v="3.3523499999999999"/>
    <n v="2460"/>
    <e v="#DIV/0!"/>
    <x v="6"/>
    <e v="#DIV/0!"/>
    <e v="#DIV/0!"/>
    <m/>
    <x v="2"/>
    <m/>
    <x v="0"/>
    <x v="13"/>
    <m/>
    <s v="Bosque secundario"/>
    <s v="Gustavo Rodriguez"/>
    <s v="Herbaceo 0.3-1.5 m"/>
    <s v="Pristimantis aff quimbaya"/>
    <n v="1"/>
    <s v="Foto 7090"/>
    <m/>
    <m/>
    <m/>
    <m/>
    <s v="Observacion"/>
  </r>
  <r>
    <d v="2021-11-17T00:00:00"/>
    <m/>
    <m/>
    <d v="1899-12-30T19:58:42"/>
    <n v="-76.725880000000004"/>
    <n v="3.499316667"/>
    <n v="1794"/>
    <e v="#DIV/0!"/>
    <x v="6"/>
    <e v="#DIV/0!"/>
    <e v="#DIV/0!"/>
    <m/>
    <x v="1"/>
    <m/>
    <x v="2"/>
    <x v="9"/>
    <m/>
    <m/>
    <m/>
    <m/>
    <s v="Ninguna"/>
    <n v="0"/>
    <m/>
    <m/>
    <m/>
    <m/>
    <m/>
    <m/>
  </r>
  <r>
    <d v="2021-11-17T00:00:00"/>
    <m/>
    <m/>
    <d v="1899-12-30T20:06:27"/>
    <n v="-76.726023330000004"/>
    <n v="3.4991466670000002"/>
    <n v="1790"/>
    <e v="#DIV/0!"/>
    <x v="6"/>
    <e v="#DIV/0!"/>
    <e v="#DIV/0!"/>
    <m/>
    <x v="1"/>
    <m/>
    <x v="1"/>
    <x v="9"/>
    <m/>
    <s v="Bosque secundario"/>
    <s v="Gustavo Rodriguez"/>
    <s v="Arbustivo 1.5-5 m"/>
    <s v="Centrolene savagei"/>
    <n v="4"/>
    <m/>
    <m/>
    <m/>
    <m/>
    <m/>
    <s v="Auditivo"/>
  </r>
  <r>
    <d v="2021-11-17T00:00:00"/>
    <m/>
    <m/>
    <d v="1899-12-30T20:21:58"/>
    <n v="-76.726150000000004"/>
    <n v="3.4996333329999998"/>
    <n v="1790"/>
    <e v="#DIV/0!"/>
    <x v="6"/>
    <e v="#DIV/0!"/>
    <e v="#DIV/0!"/>
    <m/>
    <x v="1"/>
    <m/>
    <x v="1"/>
    <x v="9"/>
    <m/>
    <s v="Bosque secundario"/>
    <s v="Gustavo Rodriguez"/>
    <s v="Arbustivo 1.5-5 m"/>
    <s v="Centrolene savagei"/>
    <n v="2"/>
    <m/>
    <m/>
    <m/>
    <m/>
    <m/>
    <s v="Auditivo"/>
  </r>
  <r>
    <d v="2021-11-17T00:00:00"/>
    <m/>
    <m/>
    <d v="1899-12-30T20:42:15"/>
    <n v="-76.726264999999998"/>
    <n v="3.499933333"/>
    <n v="1790"/>
    <e v="#DIV/0!"/>
    <x v="6"/>
    <e v="#DIV/0!"/>
    <e v="#DIV/0!"/>
    <m/>
    <x v="1"/>
    <m/>
    <x v="1"/>
    <x v="9"/>
    <m/>
    <s v="Bosque secundario"/>
    <s v="Gustavo Rodriguez"/>
    <s v="Herbaceo 0.3-1.5 m"/>
    <s v="Pristimantis palmeri"/>
    <n v="1"/>
    <m/>
    <m/>
    <m/>
    <m/>
    <m/>
    <s v="Observacion"/>
  </r>
  <r>
    <d v="2021-11-17T00:00:00"/>
    <m/>
    <m/>
    <d v="1899-12-30T20:54:22"/>
    <n v="-76.726500000000001"/>
    <n v="3.5001600000000002"/>
    <n v="1790"/>
    <e v="#DIV/0!"/>
    <x v="6"/>
    <e v="#DIV/0!"/>
    <e v="#DIV/0!"/>
    <m/>
    <x v="3"/>
    <m/>
    <x v="1"/>
    <x v="19"/>
    <m/>
    <s v="Bosque secundario"/>
    <s v="Gustavo Rodriguez"/>
    <s v="Herbaceo 0.3-1.5 m"/>
    <s v="Pristimantis erythropleura"/>
    <n v="1"/>
    <m/>
    <m/>
    <m/>
    <m/>
    <m/>
    <s v="Observacion"/>
  </r>
  <r>
    <d v="2021-11-18T00:00:00"/>
    <m/>
    <m/>
    <d v="1899-12-30T12:20:44"/>
    <n v="-76.723321670000004"/>
    <n v="3.4832299999999998"/>
    <m/>
    <e v="#DIV/0!"/>
    <x v="6"/>
    <e v="#DIV/0!"/>
    <e v="#DIV/0!"/>
    <m/>
    <x v="1"/>
    <m/>
    <x v="0"/>
    <x v="6"/>
    <m/>
    <m/>
    <m/>
    <m/>
    <s v="Ninguna"/>
    <n v="0"/>
    <m/>
    <m/>
    <m/>
    <m/>
    <m/>
    <m/>
  </r>
  <r>
    <d v="2021-11-18T00:00:00"/>
    <m/>
    <m/>
    <d v="1899-12-30T11:26:16"/>
    <n v="-76.723218329999995"/>
    <n v="3.4839983330000002"/>
    <m/>
    <e v="#DIV/0!"/>
    <x v="6"/>
    <e v="#DIV/0!"/>
    <e v="#DIV/0!"/>
    <m/>
    <x v="1"/>
    <m/>
    <x v="2"/>
    <x v="6"/>
    <m/>
    <m/>
    <m/>
    <m/>
    <s v="Ninguna"/>
    <n v="0"/>
    <m/>
    <m/>
    <m/>
    <m/>
    <m/>
    <m/>
  </r>
  <r>
    <d v="2021-11-18T00:00:00"/>
    <m/>
    <m/>
    <d v="1899-12-30T11:17:59"/>
    <n v="-76.722111670000004"/>
    <n v="3.4844650000000001"/>
    <n v="1986"/>
    <e v="#DIV/0!"/>
    <x v="6"/>
    <e v="#DIV/0!"/>
    <e v="#DIV/0!"/>
    <m/>
    <x v="1"/>
    <m/>
    <x v="3"/>
    <x v="6"/>
    <m/>
    <m/>
    <m/>
    <m/>
    <s v="Ninguna"/>
    <n v="0"/>
    <m/>
    <m/>
    <m/>
    <m/>
    <m/>
    <m/>
  </r>
  <r>
    <d v="2021-11-18T00:00:00"/>
    <m/>
    <m/>
    <d v="1899-12-30T12:13:42"/>
    <n v="-76.72368333"/>
    <n v="3.4834933330000002"/>
    <n v="2019"/>
    <e v="#DIV/0!"/>
    <x v="6"/>
    <e v="#DIV/0!"/>
    <e v="#DIV/0!"/>
    <m/>
    <x v="1"/>
    <m/>
    <x v="1"/>
    <x v="6"/>
    <m/>
    <s v="Bosque secundario"/>
    <s v="Gustavo Rodriguez"/>
    <s v="Rasante &lt;0.3 m"/>
    <s v="Hypodactylus mantipus"/>
    <n v="1"/>
    <m/>
    <m/>
    <m/>
    <m/>
    <m/>
    <s v="Observacion"/>
  </r>
  <r>
    <d v="2021-11-17T00:00:00"/>
    <m/>
    <m/>
    <d v="1899-12-30T11:22:52"/>
    <n v="-76.714595000000003"/>
    <n v="3.4872366669999999"/>
    <n v="1841"/>
    <e v="#DIV/0!"/>
    <x v="6"/>
    <e v="#DIV/0!"/>
    <e v="#DIV/0!"/>
    <m/>
    <x v="1"/>
    <m/>
    <x v="1"/>
    <x v="12"/>
    <m/>
    <m/>
    <m/>
    <m/>
    <s v="Ninguna"/>
    <n v="0"/>
    <m/>
    <m/>
    <m/>
    <m/>
    <m/>
    <m/>
  </r>
  <r>
    <d v="2021-11-17T00:00:00"/>
    <m/>
    <m/>
    <d v="1899-12-30T10:53:35"/>
    <n v="-76.713825"/>
    <n v="3.487656667"/>
    <m/>
    <e v="#DIV/0!"/>
    <x v="6"/>
    <e v="#DIV/0!"/>
    <e v="#DIV/0!"/>
    <m/>
    <x v="1"/>
    <m/>
    <x v="0"/>
    <x v="12"/>
    <m/>
    <m/>
    <m/>
    <m/>
    <s v="Ninguna"/>
    <n v="0"/>
    <m/>
    <m/>
    <m/>
    <m/>
    <m/>
    <m/>
  </r>
  <r>
    <d v="2021-11-17T00:00:00"/>
    <m/>
    <m/>
    <d v="1899-12-30T11:31:31"/>
    <n v="-76.714714999999998"/>
    <n v="3.4870716669999999"/>
    <m/>
    <e v="#DIV/0!"/>
    <x v="6"/>
    <e v="#DIV/0!"/>
    <e v="#DIV/0!"/>
    <m/>
    <x v="1"/>
    <m/>
    <x v="2"/>
    <x v="12"/>
    <m/>
    <m/>
    <m/>
    <m/>
    <s v="Ninguna"/>
    <n v="0"/>
    <m/>
    <m/>
    <m/>
    <m/>
    <m/>
    <m/>
  </r>
  <r>
    <d v="2021-10-27T00:00:00"/>
    <m/>
    <m/>
    <d v="1899-12-30T21:25:10"/>
    <n v="-76.678449999999998"/>
    <n v="3.401878333"/>
    <n v="3017"/>
    <e v="#DIV/0!"/>
    <x v="6"/>
    <e v="#DIV/0!"/>
    <e v="#DIV/0!"/>
    <m/>
    <x v="3"/>
    <m/>
    <x v="0"/>
    <x v="19"/>
    <m/>
    <s v="Bosque primario"/>
    <s v="Gustavo Rodriguez"/>
    <s v="Herbaceo 0.3-1.5 m"/>
    <s v="Pristimantis calcaratus"/>
    <n v="1"/>
    <m/>
    <m/>
    <m/>
    <m/>
    <m/>
    <s v="Observacion"/>
  </r>
  <r>
    <d v="2021-10-27T00:00:00"/>
    <m/>
    <m/>
    <d v="1899-12-30T21:34:29"/>
    <n v="-76.678078330000005"/>
    <n v="3.4023783330000001"/>
    <n v="3029"/>
    <e v="#DIV/0!"/>
    <x v="6"/>
    <e v="#DIV/0!"/>
    <e v="#DIV/0!"/>
    <m/>
    <x v="3"/>
    <m/>
    <x v="0"/>
    <x v="19"/>
    <m/>
    <s v="Bosque primario"/>
    <s v="Danny Mora"/>
    <s v="Herbaceo 0.3-1.5 m"/>
    <s v="Pristimantis calcaratus"/>
    <n v="1"/>
    <m/>
    <m/>
    <m/>
    <m/>
    <m/>
    <s v="Observacion"/>
  </r>
  <r>
    <d v="2021-10-27T00:00:00"/>
    <m/>
    <m/>
    <d v="1899-12-30T19:43:31"/>
    <n v="-76.680458329999993"/>
    <n v="3.4013100000000001"/>
    <n v="3033"/>
    <e v="#DIV/0!"/>
    <x v="6"/>
    <e v="#DIV/0!"/>
    <e v="#DIV/0!"/>
    <m/>
    <x v="3"/>
    <m/>
    <x v="0"/>
    <x v="16"/>
    <m/>
    <s v="Bosque primario"/>
    <s v="Gustavo Rodriguez"/>
    <s v="Subarboreo 5-12 m"/>
    <s v="Colomascyrtus larinopygion"/>
    <n v="1"/>
    <m/>
    <m/>
    <m/>
    <m/>
    <m/>
    <s v="Auditivo"/>
  </r>
  <r>
    <d v="2021-10-27T00:00:00"/>
    <m/>
    <m/>
    <d v="1899-12-30T19:28:24"/>
    <n v="-76.680390000000003"/>
    <n v="3.4012199999999999"/>
    <n v="3033"/>
    <e v="#DIV/0!"/>
    <x v="6"/>
    <e v="#DIV/0!"/>
    <e v="#DIV/0!"/>
    <m/>
    <x v="3"/>
    <m/>
    <x v="0"/>
    <x v="16"/>
    <m/>
    <s v="Bosque primario"/>
    <s v="Gustavo Rodriguez"/>
    <s v="Herbaceo 0.3-1.5 m"/>
    <s v="Pristimantis capitonis"/>
    <n v="1"/>
    <m/>
    <m/>
    <m/>
    <m/>
    <m/>
    <s v="Observacion"/>
  </r>
  <r>
    <d v="2021-10-27T00:00:00"/>
    <m/>
    <m/>
    <d v="1899-12-30T19:51:10"/>
    <n v="-76.680329999999998"/>
    <n v="3.4011049999999998"/>
    <n v="3037"/>
    <e v="#DIV/0!"/>
    <x v="6"/>
    <e v="#DIV/0!"/>
    <e v="#DIV/0!"/>
    <m/>
    <x v="3"/>
    <m/>
    <x v="0"/>
    <x v="16"/>
    <m/>
    <s v="Bosque primario"/>
    <s v="Danny Mora"/>
    <s v="Rasante &lt;0.3 m"/>
    <s v="Pristimantis buckleyi"/>
    <n v="1"/>
    <m/>
    <m/>
    <m/>
    <m/>
    <m/>
    <s v="Observacion"/>
  </r>
  <r>
    <d v="2021-10-27T00:00:00"/>
    <m/>
    <m/>
    <d v="1899-12-30T19:51:10"/>
    <n v="-76.680329999999998"/>
    <n v="3.4011049999999998"/>
    <n v="3037"/>
    <e v="#DIV/0!"/>
    <x v="6"/>
    <e v="#DIV/0!"/>
    <e v="#DIV/0!"/>
    <m/>
    <x v="3"/>
    <m/>
    <x v="0"/>
    <x v="16"/>
    <m/>
    <s v="Bosque primario"/>
    <s v="Danny Mora"/>
    <s v="Herbaceo 0.3-1.5 m"/>
    <s v="Pristimantis buckleyi"/>
    <n v="1"/>
    <m/>
    <m/>
    <m/>
    <m/>
    <m/>
    <s v="Observacion"/>
  </r>
  <r>
    <d v="2021-10-27T00:00:00"/>
    <m/>
    <m/>
    <d v="1899-12-30T20:47:33"/>
    <n v="-76.678974999999994"/>
    <n v="3.4006916669999998"/>
    <n v="3004"/>
    <e v="#DIV/0!"/>
    <x v="6"/>
    <e v="#DIV/0!"/>
    <e v="#DIV/0!"/>
    <m/>
    <x v="3"/>
    <m/>
    <x v="2"/>
    <x v="16"/>
    <m/>
    <s v="Bosque primario"/>
    <s v="Danny Mora"/>
    <s v="Herbaceo 0.3-1.5 m"/>
    <s v="Colomascyrtus larinopygion"/>
    <n v="2"/>
    <m/>
    <m/>
    <m/>
    <m/>
    <m/>
    <s v="Observacion"/>
  </r>
  <r>
    <d v="2021-10-27T00:00:00"/>
    <m/>
    <m/>
    <d v="1899-12-30T21:15:31"/>
    <n v="-76.678711669999998"/>
    <n v="3.4011816669999999"/>
    <n v="3004"/>
    <e v="#DIV/0!"/>
    <x v="6"/>
    <e v="#DIV/0!"/>
    <e v="#DIV/0!"/>
    <m/>
    <x v="3"/>
    <m/>
    <x v="2"/>
    <x v="16"/>
    <m/>
    <s v="Bosque primario"/>
    <s v="Danny Mora"/>
    <s v="Herbaceo 0.3-1.5 m"/>
    <s v="Pristimantis calcaratus"/>
    <n v="1"/>
    <s v="Revisar foto 7116"/>
    <m/>
    <m/>
    <m/>
    <m/>
    <s v="Observacion"/>
  </r>
  <r>
    <d v="2021-10-27T00:00:00"/>
    <m/>
    <m/>
    <d v="1899-12-30T20:09:06"/>
    <n v="-76.679869999999994"/>
    <n v="3.400658333"/>
    <n v="3033"/>
    <e v="#DIV/0!"/>
    <x v="6"/>
    <e v="#DIV/0!"/>
    <e v="#DIV/0!"/>
    <m/>
    <x v="3"/>
    <m/>
    <x v="1"/>
    <x v="16"/>
    <m/>
    <s v="Bosque primario"/>
    <s v="Gustavo Rodriguez"/>
    <s v="Herbaceo 0.3-1.5 m"/>
    <s v="Pristimantis calcaratus"/>
    <n v="1"/>
    <m/>
    <m/>
    <m/>
    <m/>
    <m/>
    <s v="Observacion"/>
  </r>
  <r>
    <d v="2021-10-27T00:00:00"/>
    <m/>
    <m/>
    <d v="1899-12-30T20:15:39"/>
    <n v="-76.679834999999997"/>
    <n v="3.4008883330000002"/>
    <n v="3009"/>
    <e v="#DIV/0!"/>
    <x v="6"/>
    <e v="#DIV/0!"/>
    <e v="#DIV/0!"/>
    <m/>
    <x v="3"/>
    <m/>
    <x v="1"/>
    <x v="16"/>
    <m/>
    <s v="Bosque primario"/>
    <s v="Danny Mora"/>
    <s v="Herbaceo 0.3-1.5 m"/>
    <s v="Pristimantis capitonis"/>
    <n v="2"/>
    <m/>
    <m/>
    <m/>
    <m/>
    <m/>
    <s v="Observacion"/>
  </r>
  <r>
    <d v="2021-10-27T00:00:00"/>
    <m/>
    <m/>
    <d v="1899-12-30T20:27:53"/>
    <n v="-76.679318330000001"/>
    <n v="3.4008099999999999"/>
    <n v="3007"/>
    <e v="#DIV/0!"/>
    <x v="6"/>
    <e v="#DIV/0!"/>
    <e v="#DIV/0!"/>
    <m/>
    <x v="3"/>
    <m/>
    <x v="1"/>
    <x v="16"/>
    <m/>
    <s v="Bosque primario"/>
    <s v="Gustavo Rodriguez"/>
    <s v="Herbaceo 0.3-1.5 m"/>
    <s v="Pristimantis calcaratus"/>
    <n v="1"/>
    <m/>
    <m/>
    <m/>
    <m/>
    <m/>
    <s v="Observacion"/>
  </r>
  <r>
    <d v="2021-10-27T00:00:00"/>
    <m/>
    <m/>
    <d v="1899-12-30T20:27:53"/>
    <n v="-76.679318330000001"/>
    <n v="3.4008099999999999"/>
    <n v="3007"/>
    <e v="#DIV/0!"/>
    <x v="6"/>
    <e v="#DIV/0!"/>
    <e v="#DIV/0!"/>
    <m/>
    <x v="3"/>
    <m/>
    <x v="1"/>
    <x v="16"/>
    <m/>
    <s v="Bosque primario"/>
    <s v="Danny Mora"/>
    <s v="Herbaceo 0.3-1.5 m"/>
    <s v="Pristimantis calcaratus"/>
    <n v="1"/>
    <m/>
    <m/>
    <m/>
    <m/>
    <m/>
    <s v="Observacion"/>
  </r>
  <r>
    <d v="2021-10-27T00:00:00"/>
    <m/>
    <m/>
    <d v="1899-12-30T21:39:11"/>
    <n v="-76.67788333"/>
    <n v="3.4025150000000002"/>
    <n v="3032"/>
    <e v="#DIV/0!"/>
    <x v="6"/>
    <e v="#DIV/0!"/>
    <e v="#DIV/0!"/>
    <m/>
    <x v="3"/>
    <m/>
    <x v="1"/>
    <x v="19"/>
    <m/>
    <s v="Bosque primario"/>
    <s v="Danny Mora"/>
    <s v="Arbustivo 1.5-5 m"/>
    <s v="Pristimantis calcaratus"/>
    <n v="1"/>
    <m/>
    <m/>
    <m/>
    <m/>
    <m/>
    <s v="Observacion"/>
  </r>
  <r>
    <d v="2021-10-27T00:00:00"/>
    <m/>
    <m/>
    <d v="1899-12-30T22:02:37"/>
    <n v="-76.676271670000006"/>
    <n v="3.4021083330000002"/>
    <n v="2987"/>
    <e v="#DIV/0!"/>
    <x v="6"/>
    <e v="#DIV/0!"/>
    <e v="#DIV/0!"/>
    <m/>
    <x v="3"/>
    <m/>
    <x v="2"/>
    <x v="19"/>
    <m/>
    <s v="Bosque primario"/>
    <s v="Danny Mora"/>
    <s v="Herbaceo 0.3-1.5 m"/>
    <s v="Pristimantis capitonis"/>
    <n v="1"/>
    <m/>
    <m/>
    <m/>
    <m/>
    <m/>
    <s v="Observacion"/>
  </r>
  <r>
    <d v="2021-10-21T00:00:00"/>
    <m/>
    <m/>
    <d v="1899-12-30T20:34:26"/>
    <n v="-76.643213329999995"/>
    <n v="3.3496233329999998"/>
    <n v="2375"/>
    <e v="#DIV/0!"/>
    <x v="6"/>
    <e v="#DIV/0!"/>
    <e v="#DIV/0!"/>
    <m/>
    <x v="2"/>
    <m/>
    <x v="1"/>
    <x v="10"/>
    <m/>
    <s v="Bosque primario"/>
    <m/>
    <m/>
    <s v="Ninguna"/>
    <n v="0"/>
    <m/>
    <m/>
    <m/>
    <m/>
    <m/>
    <m/>
  </r>
  <r>
    <d v="2021-10-21T00:00:00"/>
    <m/>
    <m/>
    <d v="1899-12-30T19:35:22"/>
    <n v="-76.642165000000006"/>
    <n v="3.349681667"/>
    <n v="2315"/>
    <e v="#DIV/0!"/>
    <x v="6"/>
    <e v="#DIV/0!"/>
    <e v="#DIV/0!"/>
    <m/>
    <x v="2"/>
    <m/>
    <x v="0"/>
    <x v="15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19:21:23"/>
    <n v="-76.641554999999997"/>
    <n v="3.3497783330000002"/>
    <n v="2344"/>
    <e v="#DIV/0!"/>
    <x v="6"/>
    <e v="#DIV/0!"/>
    <e v="#DIV/0!"/>
    <m/>
    <x v="2"/>
    <m/>
    <x v="0"/>
    <x v="15"/>
    <m/>
    <s v="Bosque primario"/>
    <s v="Andrea Huesaquillo"/>
    <s v="Herbaceo 0.3-1.5 m"/>
    <s v="Pristimantis palmeri"/>
    <n v="1"/>
    <m/>
    <m/>
    <m/>
    <m/>
    <m/>
    <s v="Observacion"/>
  </r>
  <r>
    <d v="2021-10-21T00:00:00"/>
    <m/>
    <m/>
    <d v="1899-12-30T19:26:45"/>
    <n v="-76.641706670000005"/>
    <n v="3.3496933329999998"/>
    <n v="2334"/>
    <e v="#DIV/0!"/>
    <x v="6"/>
    <e v="#DIV/0!"/>
    <e v="#DIV/0!"/>
    <m/>
    <x v="2"/>
    <m/>
    <x v="0"/>
    <x v="15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19:18:00"/>
    <n v="-76.641445000000004"/>
    <n v="3.3498716669999999"/>
    <n v="2340"/>
    <e v="#DIV/0!"/>
    <x v="6"/>
    <e v="#DIV/0!"/>
    <e v="#DIV/0!"/>
    <m/>
    <x v="2"/>
    <m/>
    <x v="0"/>
    <x v="15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19:49:42"/>
    <n v="-76.642523330000003"/>
    <n v="3.349373333"/>
    <n v="2324"/>
    <e v="#DIV/0!"/>
    <x v="6"/>
    <e v="#DIV/0!"/>
    <e v="#DIV/0!"/>
    <m/>
    <x v="2"/>
    <m/>
    <x v="2"/>
    <x v="10"/>
    <m/>
    <s v="Bosque primario"/>
    <s v="Andrea Huesaquillo"/>
    <s v="Arbustivo 1.5-5 m"/>
    <s v="Pristimantis palmeri"/>
    <n v="1"/>
    <m/>
    <m/>
    <m/>
    <m/>
    <m/>
    <s v="Observacion"/>
  </r>
  <r>
    <d v="2021-10-21T00:00:00"/>
    <m/>
    <m/>
    <d v="1899-12-30T19:55:20"/>
    <n v="-76.642473330000001"/>
    <n v="3.3491616670000002"/>
    <n v="2334"/>
    <e v="#DIV/0!"/>
    <x v="6"/>
    <e v="#DIV/0!"/>
    <e v="#DIV/0!"/>
    <m/>
    <x v="2"/>
    <m/>
    <x v="2"/>
    <x v="10"/>
    <m/>
    <s v="Bosque primario"/>
    <s v="Andrea Huesaquillo"/>
    <s v="Herbaceo 0.3-1.5 m"/>
    <s v="Pristimantis palmeri"/>
    <n v="1"/>
    <m/>
    <m/>
    <m/>
    <m/>
    <m/>
    <s v="Observacion"/>
  </r>
  <r>
    <d v="2021-10-21T00:00:00"/>
    <m/>
    <m/>
    <d v="1899-12-30T19:00:29"/>
    <n v="-76.64076"/>
    <n v="3.3500700000000001"/>
    <n v="2339"/>
    <e v="#DIV/0!"/>
    <x v="6"/>
    <e v="#DIV/0!"/>
    <e v="#DIV/0!"/>
    <m/>
    <x v="2"/>
    <m/>
    <x v="1"/>
    <x v="15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22:11:27"/>
    <n v="-76.646711670000002"/>
    <n v="3.3497650000000001"/>
    <n v="2403"/>
    <e v="#DIV/0!"/>
    <x v="6"/>
    <e v="#DIV/0!"/>
    <e v="#DIV/0!"/>
    <m/>
    <x v="2"/>
    <m/>
    <x v="2"/>
    <x v="11"/>
    <m/>
    <m/>
    <m/>
    <m/>
    <s v="Ninguna"/>
    <n v="0"/>
    <m/>
    <m/>
    <m/>
    <m/>
    <m/>
    <m/>
  </r>
  <r>
    <d v="2021-10-21T00:00:00"/>
    <m/>
    <m/>
    <d v="1899-12-30T18:38:55"/>
    <n v="-76.639696670000006"/>
    <n v="3.3507766669999999"/>
    <n v="2349"/>
    <e v="#DIV/0!"/>
    <x v="6"/>
    <e v="#DIV/0!"/>
    <e v="#DIV/0!"/>
    <m/>
    <x v="2"/>
    <m/>
    <x v="2"/>
    <x v="15"/>
    <m/>
    <s v="Bosque primario"/>
    <s v="Gustavo Rodriguez"/>
    <s v="Herbaceo 0.3-1.5 m"/>
    <s v="Pristimantis aff quimbaya"/>
    <n v="1"/>
    <s v="Foto 7090"/>
    <m/>
    <m/>
    <m/>
    <m/>
    <s v="Observacion"/>
  </r>
  <r>
    <d v="2021-10-21T00:00:00"/>
    <m/>
    <m/>
    <d v="1899-12-30T18:50:30"/>
    <n v="-76.640253329999993"/>
    <n v="3.3506100000000001"/>
    <n v="2340"/>
    <e v="#DIV/0!"/>
    <x v="6"/>
    <e v="#DIV/0!"/>
    <e v="#DIV/0!"/>
    <m/>
    <x v="2"/>
    <m/>
    <x v="2"/>
    <x v="15"/>
    <m/>
    <s v="Bosque primario"/>
    <s v="Andrea Huesaquillo"/>
    <s v="Herbaceo 0.3-1.5 m"/>
    <s v="Pristimantis palmeri"/>
    <n v="1"/>
    <m/>
    <m/>
    <m/>
    <m/>
    <m/>
    <s v="Observacion"/>
  </r>
  <r>
    <d v="2021-10-21T00:00:00"/>
    <m/>
    <m/>
    <d v="1899-12-30T18:34:37"/>
    <n v="-76.639403329999993"/>
    <n v="3.3507799999999999"/>
    <n v="2346"/>
    <e v="#DIV/0!"/>
    <x v="6"/>
    <e v="#DIV/0!"/>
    <e v="#DIV/0!"/>
    <m/>
    <x v="2"/>
    <m/>
    <x v="2"/>
    <x v="15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21:57:55"/>
    <n v="-76.645433330000003"/>
    <n v="3.349675"/>
    <n v="2435"/>
    <e v="#DIV/0!"/>
    <x v="6"/>
    <e v="#DIV/0!"/>
    <e v="#DIV/0!"/>
    <m/>
    <x v="2"/>
    <m/>
    <x v="3"/>
    <x v="11"/>
    <m/>
    <s v="Arbustal"/>
    <s v="Gustavo Rodriguez"/>
    <s v="Herbaceo 0.3-1.5 m"/>
    <s v="Pristimantis erythropleura"/>
    <n v="1"/>
    <m/>
    <m/>
    <m/>
    <m/>
    <m/>
    <s v="Auditivo"/>
  </r>
  <r>
    <d v="2021-10-21T00:00:00"/>
    <m/>
    <m/>
    <d v="1899-12-30T21:37:00"/>
    <n v="-76.643691669999995"/>
    <n v="3.3495599999999999"/>
    <n v="2447"/>
    <e v="#DIV/0!"/>
    <x v="6"/>
    <e v="#DIV/0!"/>
    <e v="#DIV/0!"/>
    <m/>
    <x v="2"/>
    <m/>
    <x v="0"/>
    <x v="10"/>
    <m/>
    <s v="Bosque primario"/>
    <s v="Gustavo Rodriguez"/>
    <s v="Herbaceo 0.3-1.5 m"/>
    <s v="Pristimantis palmeri"/>
    <n v="1"/>
    <m/>
    <m/>
    <m/>
    <m/>
    <m/>
    <s v="Observacion"/>
  </r>
  <r>
    <d v="2021-10-21T00:00:00"/>
    <m/>
    <m/>
    <d v="1899-12-30T21:21:21"/>
    <n v="-76.643649999999994"/>
    <n v="3.3494833329999998"/>
    <n v="2444"/>
    <e v="#DIV/0!"/>
    <x v="6"/>
    <e v="#DIV/0!"/>
    <e v="#DIV/0!"/>
    <m/>
    <x v="2"/>
    <m/>
    <x v="0"/>
    <x v="10"/>
    <m/>
    <s v="Bosque primario"/>
    <s v="Gustavo Rodriguez"/>
    <s v="Herbaceo 0.3-1.5 m"/>
    <s v="Bolitoglossa walkeri"/>
    <n v="1"/>
    <m/>
    <m/>
    <m/>
    <m/>
    <m/>
    <s v="Observacion"/>
  </r>
  <r>
    <d v="2021-10-21T00:00:00"/>
    <m/>
    <m/>
    <d v="1899-12-30T21:21:21"/>
    <n v="-76.643649999999994"/>
    <n v="3.3494833329999998"/>
    <n v="2444"/>
    <e v="#DIV/0!"/>
    <x v="6"/>
    <e v="#DIV/0!"/>
    <e v="#DIV/0!"/>
    <m/>
    <x v="2"/>
    <m/>
    <x v="0"/>
    <x v="10"/>
    <m/>
    <s v="Bosque primario"/>
    <s v="Gustavo Rodriguez"/>
    <s v="Arbustivo 1.5-5 m"/>
    <s v="Pristimantis aff quimbaya"/>
    <n v="1"/>
    <s v="Foto 7090"/>
    <m/>
    <m/>
    <m/>
    <m/>
    <s v="Observacion"/>
  </r>
  <r>
    <d v="2021-10-21T00:00:00"/>
    <m/>
    <m/>
    <d v="1899-12-30T21:33:38"/>
    <n v="-76.643743330000007"/>
    <n v="3.3496266669999999"/>
    <n v="2446"/>
    <e v="#DIV/0!"/>
    <x v="6"/>
    <e v="#DIV/0!"/>
    <e v="#DIV/0!"/>
    <m/>
    <x v="2"/>
    <m/>
    <x v="0"/>
    <x v="10"/>
    <m/>
    <s v="Bosque primario"/>
    <s v="Andrea Huesaquillo"/>
    <s v="Herbaceo 0.3-1.5 m"/>
    <s v="Pristimantis palmeri"/>
    <n v="1"/>
    <m/>
    <m/>
    <m/>
    <m/>
    <m/>
    <s v="Observacion"/>
  </r>
  <r>
    <d v="2021-10-19T00:00:00"/>
    <m/>
    <m/>
    <d v="1899-12-30T20:06:36"/>
    <n v="-76.647133330000003"/>
    <n v="3.3495750000000002"/>
    <n v="2394"/>
    <e v="#DIV/0!"/>
    <x v="6"/>
    <e v="#DIV/0!"/>
    <e v="#DIV/0!"/>
    <m/>
    <x v="2"/>
    <m/>
    <x v="1"/>
    <x v="11"/>
    <m/>
    <s v="Bosque ribereño"/>
    <s v="Gustavo Rodriguez"/>
    <s v="Herbaceo 0.3-1.5 m"/>
    <s v="Pristimantis brevifrons"/>
    <n v="1"/>
    <s v="Macho"/>
    <m/>
    <m/>
    <m/>
    <m/>
    <s v="Observacion"/>
  </r>
  <r>
    <d v="2021-10-19T00:00:00"/>
    <m/>
    <m/>
    <d v="1899-12-30T20:06:36"/>
    <n v="-76.647133330000003"/>
    <n v="3.3495750000000002"/>
    <n v="2394"/>
    <e v="#DIV/0!"/>
    <x v="6"/>
    <e v="#DIV/0!"/>
    <e v="#DIV/0!"/>
    <m/>
    <x v="2"/>
    <m/>
    <x v="1"/>
    <x v="11"/>
    <m/>
    <s v="Bosque ribereño"/>
    <s v="Gustavo Rodriguez"/>
    <s v="Herbaceo 0.3-1.5 m"/>
    <s v="Pristimantis erythropleura"/>
    <n v="1"/>
    <s v="Hembra"/>
    <m/>
    <m/>
    <m/>
    <m/>
    <s v="Observacion"/>
  </r>
  <r>
    <d v="2021-10-19T00:00:00"/>
    <m/>
    <m/>
    <d v="1899-12-30T20:56:28"/>
    <n v="-76.647544999999994"/>
    <n v="3.3481666670000001"/>
    <m/>
    <e v="#DIV/0!"/>
    <x v="6"/>
    <e v="#DIV/0!"/>
    <e v="#DIV/0!"/>
    <m/>
    <x v="2"/>
    <m/>
    <x v="0"/>
    <x v="11"/>
    <m/>
    <m/>
    <m/>
    <m/>
    <s v="Ninguna"/>
    <n v="0"/>
    <m/>
    <m/>
    <m/>
    <m/>
    <m/>
    <m/>
  </r>
  <r>
    <d v="2022-12-13T00:00:00"/>
    <m/>
    <m/>
    <d v="1899-12-30T17:02:14"/>
    <n v="-76.880313330000007"/>
    <n v="3.5793683330000001"/>
    <n v="630"/>
    <e v="#DIV/0!"/>
    <x v="7"/>
    <e v="#DIV/0!"/>
    <e v="#DIV/0!"/>
    <m/>
    <x v="0"/>
    <m/>
    <x v="3"/>
    <x v="2"/>
    <m/>
    <s v="Bosque primario"/>
    <s v="Luis Mamian"/>
    <s v="Rasante &lt;0.3 m"/>
    <s v="Oophaga lehmanni"/>
    <n v="1"/>
    <m/>
    <m/>
    <m/>
    <m/>
    <m/>
    <s v="Auditivo"/>
  </r>
  <r>
    <d v="2022-12-13T00:00:00"/>
    <m/>
    <m/>
    <d v="1899-12-30T16:51:19"/>
    <n v="-76.880463329999998"/>
    <n v="3.578906667"/>
    <n v="620"/>
    <e v="#DIV/0!"/>
    <x v="7"/>
    <e v="#DIV/0!"/>
    <e v="#DIV/0!"/>
    <m/>
    <x v="0"/>
    <m/>
    <x v="3"/>
    <x v="2"/>
    <m/>
    <s v="Bosque primario"/>
    <s v="Gustavo González"/>
    <s v="Rasante &lt;0.3 m"/>
    <s v="Oophaga lehmanni"/>
    <n v="1"/>
    <m/>
    <m/>
    <m/>
    <m/>
    <m/>
    <s v="Observacion"/>
  </r>
  <r>
    <d v="2022-12-13T00:00:00"/>
    <m/>
    <m/>
    <d v="1899-12-30T17:17:21"/>
    <n v="-76.880448329999993"/>
    <n v="3.579681667"/>
    <n v="620"/>
    <e v="#DIV/0!"/>
    <x v="7"/>
    <e v="#DIV/0!"/>
    <e v="#DIV/0!"/>
    <m/>
    <x v="0"/>
    <m/>
    <x v="3"/>
    <x v="2"/>
    <m/>
    <s v="Bosque primario"/>
    <s v="Gustavo Rodriguez"/>
    <s v="Rasante &lt;0.3 m"/>
    <s v="Oophaga lehmanni"/>
    <n v="2"/>
    <m/>
    <m/>
    <m/>
    <m/>
    <m/>
    <s v="Auditivo"/>
  </r>
  <r>
    <d v="2022-11-04T00:00:00"/>
    <m/>
    <m/>
    <d v="1899-12-30T19:11:26"/>
    <n v="-76.689008329999993"/>
    <n v="3.4076616670000002"/>
    <m/>
    <e v="#DIV/0!"/>
    <x v="7"/>
    <e v="#DIV/0!"/>
    <e v="#DIV/0!"/>
    <m/>
    <x v="3"/>
    <m/>
    <x v="1"/>
    <x v="18"/>
    <m/>
    <m/>
    <s v="Oscar Cuellar"/>
    <m/>
    <s v="Ninguna"/>
    <n v="0"/>
    <m/>
    <m/>
    <m/>
    <m/>
    <m/>
    <m/>
  </r>
  <r>
    <d v="2022-11-04T00:00:00"/>
    <m/>
    <m/>
    <d v="1899-12-30T19:18:01"/>
    <n v="-76.688731669999996"/>
    <n v="3.4073883330000001"/>
    <n v="3383"/>
    <e v="#DIV/0!"/>
    <x v="7"/>
    <e v="#DIV/0!"/>
    <e v="#DIV/0!"/>
    <m/>
    <x v="3"/>
    <m/>
    <x v="0"/>
    <x v="18"/>
    <m/>
    <s v="Bosque primario"/>
    <s v="Oscar Cuellar"/>
    <s v="Rasante &lt;0.3 m"/>
    <s v="Pristimantis buckleyi"/>
    <n v="2"/>
    <m/>
    <m/>
    <m/>
    <m/>
    <m/>
    <s v="Auditivo"/>
  </r>
  <r>
    <d v="2022-11-04T00:00:00"/>
    <m/>
    <m/>
    <d v="1899-12-30T18:23:17"/>
    <n v="-76.690686670000005"/>
    <n v="3.4061883329999998"/>
    <n v="3383"/>
    <e v="#DIV/0!"/>
    <x v="7"/>
    <e v="#DIV/0!"/>
    <e v="#DIV/0!"/>
    <m/>
    <x v="3"/>
    <m/>
    <x v="3"/>
    <x v="18"/>
    <m/>
    <s v="Arbustal"/>
    <s v="Oscar Cuellar"/>
    <s v="Herbaceo 0.3-1.5 m"/>
    <s v="Pristimantis aff leptolophus"/>
    <n v="3"/>
    <m/>
    <m/>
    <m/>
    <m/>
    <m/>
    <s v="Observacion"/>
  </r>
  <r>
    <d v="2022-11-04T00:00:00"/>
    <m/>
    <m/>
    <d v="1899-12-30T18:33:52"/>
    <n v="-76.690645000000004"/>
    <n v="3.4063050000000001"/>
    <m/>
    <e v="#DIV/0!"/>
    <x v="7"/>
    <e v="#DIV/0!"/>
    <e v="#DIV/0!"/>
    <m/>
    <x v="3"/>
    <m/>
    <x v="3"/>
    <x v="18"/>
    <m/>
    <s v="Arbustal"/>
    <s v="Oscar Cuellar"/>
    <s v="Herbaceo 0.3-1.5 m"/>
    <s v="Pristimantis aff leptolophus"/>
    <n v="1"/>
    <m/>
    <m/>
    <m/>
    <m/>
    <m/>
    <s v="Observacion"/>
  </r>
  <r>
    <d v="2022-11-04T00:00:00"/>
    <m/>
    <m/>
    <d v="1899-12-30T18:33:52"/>
    <n v="-76.690645000000004"/>
    <n v="3.4063050000000001"/>
    <n v="3383"/>
    <e v="#DIV/0!"/>
    <x v="7"/>
    <e v="#DIV/0!"/>
    <e v="#DIV/0!"/>
    <m/>
    <x v="3"/>
    <m/>
    <x v="3"/>
    <x v="18"/>
    <m/>
    <s v="Arbustal"/>
    <s v="Oscar Cuellar"/>
    <s v="Herbaceo 0.3-1.5 m"/>
    <s v="Pristimantis buckleyi"/>
    <n v="1"/>
    <m/>
    <m/>
    <m/>
    <m/>
    <m/>
    <s v="Auditivo"/>
  </r>
  <r>
    <d v="2022-11-04T00:00:00"/>
    <m/>
    <m/>
    <d v="1899-12-30T18:45:09"/>
    <n v="-76.690578329999994"/>
    <n v="3.406463333"/>
    <n v="3383"/>
    <e v="#DIV/0!"/>
    <x v="7"/>
    <e v="#DIV/0!"/>
    <e v="#DIV/0!"/>
    <m/>
    <x v="3"/>
    <m/>
    <x v="3"/>
    <x v="18"/>
    <m/>
    <s v="Arbustal"/>
    <s v="Oscar Cuellar"/>
    <s v="Herbaceo 0.3-1.5 m"/>
    <s v="Pristimantis aff leptolophus"/>
    <n v="3"/>
    <m/>
    <m/>
    <m/>
    <m/>
    <m/>
    <s v="Auditivo"/>
  </r>
  <r>
    <d v="2022-11-04T00:00:00"/>
    <m/>
    <m/>
    <d v="1899-12-30T18:54:22"/>
    <n v="-76.690568330000005"/>
    <n v="3.406656667"/>
    <n v="3383"/>
    <e v="#DIV/0!"/>
    <x v="7"/>
    <e v="#DIV/0!"/>
    <e v="#DIV/0!"/>
    <m/>
    <x v="3"/>
    <m/>
    <x v="2"/>
    <x v="18"/>
    <m/>
    <s v="Bosque primario"/>
    <s v="Oscar Cuellar"/>
    <s v="Rasante &lt;0.3 m"/>
    <s v="Pristimantis buckleyi"/>
    <n v="1"/>
    <m/>
    <m/>
    <m/>
    <m/>
    <m/>
    <s v="Auditivo"/>
  </r>
  <r>
    <d v="2022-12-03T00:00:00"/>
    <m/>
    <m/>
    <d v="1899-12-30T19:38:56"/>
    <n v="-76.722443330000004"/>
    <n v="3.4774366670000001"/>
    <m/>
    <e v="#DIV/0!"/>
    <x v="7"/>
    <e v="#DIV/0!"/>
    <e v="#DIV/0!"/>
    <m/>
    <x v="1"/>
    <m/>
    <x v="1"/>
    <x v="8"/>
    <m/>
    <s v="Bosque primario"/>
    <s v="Gustavo Rodriguez"/>
    <s v="Herbaceo 0.3-1.5 m"/>
    <s v="Pristimantis alius"/>
    <n v="1"/>
    <m/>
    <m/>
    <m/>
    <m/>
    <m/>
    <s v="Observacion"/>
  </r>
  <r>
    <d v="2022-12-03T00:00:00"/>
    <m/>
    <m/>
    <d v="1899-12-30T19:38:56"/>
    <n v="-76.722443330000004"/>
    <n v="3.4774366670000001"/>
    <m/>
    <e v="#DIV/0!"/>
    <x v="7"/>
    <e v="#DIV/0!"/>
    <e v="#DIV/0!"/>
    <m/>
    <x v="1"/>
    <m/>
    <x v="1"/>
    <x v="8"/>
    <m/>
    <s v="Bosque primario"/>
    <s v="Alvaro Fierro"/>
    <s v="Herbaceo 0.3-1.5 m"/>
    <s v="Bolitoglossa walkeri"/>
    <n v="1"/>
    <m/>
    <m/>
    <m/>
    <m/>
    <m/>
    <s v="Observacion"/>
  </r>
  <r>
    <d v="2022-12-03T00:00:00"/>
    <m/>
    <m/>
    <d v="1899-12-30T19:57:23"/>
    <n v="-76.722478330000001"/>
    <n v="3.4775450000000001"/>
    <n v="2100"/>
    <e v="#DIV/0!"/>
    <x v="7"/>
    <e v="#DIV/0!"/>
    <e v="#DIV/0!"/>
    <m/>
    <x v="1"/>
    <m/>
    <x v="1"/>
    <x v="8"/>
    <m/>
    <s v="Bosque primario"/>
    <m/>
    <s v="Herbaceo 0.3-1.5 m"/>
    <s v="Pristimantis alius"/>
    <n v="1"/>
    <m/>
    <m/>
    <m/>
    <m/>
    <m/>
    <s v="Observacion"/>
  </r>
  <r>
    <d v="2022-12-03T00:00:00"/>
    <m/>
    <m/>
    <d v="1899-12-30T19:53:33"/>
    <n v="-76.722498329999993"/>
    <n v="3.4775466669999999"/>
    <n v="2100"/>
    <e v="#DIV/0!"/>
    <x v="7"/>
    <e v="#DIV/0!"/>
    <e v="#DIV/0!"/>
    <m/>
    <x v="1"/>
    <m/>
    <x v="1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0:07:26"/>
    <n v="-76.722656670000006"/>
    <n v="3.4776850000000001"/>
    <n v="2100"/>
    <e v="#DIV/0!"/>
    <x v="7"/>
    <e v="#DIV/0!"/>
    <e v="#DIV/0!"/>
    <m/>
    <x v="1"/>
    <m/>
    <x v="1"/>
    <x v="8"/>
    <m/>
    <s v="Bosque primario"/>
    <s v="Gustavo Rodriguez"/>
    <s v="Herbaceo 0.3-1.5 m"/>
    <s v="Bolitoglossa walkeri"/>
    <n v="2"/>
    <m/>
    <m/>
    <m/>
    <m/>
    <m/>
    <s v="Observacion"/>
  </r>
  <r>
    <d v="2022-12-03T00:00:00"/>
    <m/>
    <m/>
    <d v="1899-12-30T20:19:03"/>
    <n v="-76.722831670000005"/>
    <n v="3.4779966670000002"/>
    <n v="2100"/>
    <e v="#DIV/0!"/>
    <x v="7"/>
    <e v="#DIV/0!"/>
    <e v="#DIV/0!"/>
    <m/>
    <x v="1"/>
    <m/>
    <x v="1"/>
    <x v="8"/>
    <m/>
    <s v="Bosque primario"/>
    <s v="Oscar Cuellar"/>
    <s v="Herbaceo 0.3-1.5 m"/>
    <s v="Pristimantis molybrignus"/>
    <n v="2"/>
    <m/>
    <m/>
    <m/>
    <m/>
    <m/>
    <s v="Observacion"/>
  </r>
  <r>
    <d v="2022-12-03T00:00:00"/>
    <m/>
    <m/>
    <d v="1899-12-30T20:02:02"/>
    <n v="-76.722539999999995"/>
    <n v="3.477668333"/>
    <n v="2100"/>
    <e v="#DIV/0!"/>
    <x v="7"/>
    <e v="#DIV/0!"/>
    <e v="#DIV/0!"/>
    <m/>
    <x v="1"/>
    <m/>
    <x v="1"/>
    <x v="8"/>
    <m/>
    <s v="Bosque primario"/>
    <m/>
    <s v="Herbaceo 0.3-1.5 m"/>
    <s v="Pristimantis alius"/>
    <n v="1"/>
    <m/>
    <m/>
    <m/>
    <m/>
    <m/>
    <s v="Observacion"/>
  </r>
  <r>
    <d v="2022-12-03T00:00:00"/>
    <m/>
    <m/>
    <d v="1899-12-30T19:52:24"/>
    <n v="-76.722498329999993"/>
    <n v="3.4775466669999999"/>
    <m/>
    <e v="#DIV/0!"/>
    <x v="7"/>
    <e v="#DIV/0!"/>
    <e v="#DIV/0!"/>
    <m/>
    <x v="1"/>
    <m/>
    <x v="1"/>
    <x v="8"/>
    <m/>
    <s v="Bosque primario"/>
    <s v="Oscar Cuellar"/>
    <s v="Herbaceo 0.3-1.5 m"/>
    <s v="Bolitoglossa walkeri"/>
    <n v="2"/>
    <m/>
    <m/>
    <m/>
    <m/>
    <m/>
    <s v="Observacion"/>
  </r>
  <r>
    <d v="2022-12-03T00:00:00"/>
    <m/>
    <m/>
    <d v="1899-12-30T19:52:24"/>
    <n v="-76.722498329999993"/>
    <n v="3.4775466669999999"/>
    <m/>
    <e v="#DIV/0!"/>
    <x v="7"/>
    <e v="#DIV/0!"/>
    <e v="#DIV/0!"/>
    <m/>
    <x v="1"/>
    <m/>
    <x v="1"/>
    <x v="8"/>
    <m/>
    <s v="Bosque primario"/>
    <m/>
    <s v="Herbaceo 0.3-1.5 m"/>
    <s v="Pristimantis alius"/>
    <n v="2"/>
    <m/>
    <m/>
    <m/>
    <m/>
    <m/>
    <s v="Auditivo"/>
  </r>
  <r>
    <d v="2022-12-03T00:00:00"/>
    <m/>
    <m/>
    <d v="1899-12-30T19:40:31"/>
    <n v="-76.722431670000006"/>
    <n v="3.4774383329999998"/>
    <n v="2100"/>
    <e v="#DIV/0!"/>
    <x v="7"/>
    <e v="#DIV/0!"/>
    <e v="#DIV/0!"/>
    <m/>
    <x v="1"/>
    <m/>
    <x v="1"/>
    <x v="8"/>
    <m/>
    <s v="Bosque primario"/>
    <s v="Alvaro Fierro"/>
    <s v="Herbaceo 0.3-1.5 m"/>
    <s v="Bolitoglossa walkeri"/>
    <n v="1"/>
    <m/>
    <m/>
    <m/>
    <m/>
    <m/>
    <s v="Observacion"/>
  </r>
  <r>
    <d v="2022-12-03T00:00:00"/>
    <m/>
    <m/>
    <d v="1899-12-30T20:54:01"/>
    <n v="-76.72286167"/>
    <n v="3.478411667"/>
    <n v="2100"/>
    <e v="#DIV/0!"/>
    <x v="7"/>
    <e v="#DIV/0!"/>
    <e v="#DIV/0!"/>
    <m/>
    <x v="1"/>
    <m/>
    <x v="2"/>
    <x v="8"/>
    <m/>
    <s v="Bosque primario"/>
    <s v="Oscar Cuellar"/>
    <s v="Herbaceo 0.3-1.5 m"/>
    <s v="Pristimantis silverstonei"/>
    <n v="1"/>
    <m/>
    <m/>
    <m/>
    <m/>
    <m/>
    <s v="Observacion"/>
  </r>
  <r>
    <d v="2022-12-03T00:00:00"/>
    <m/>
    <m/>
    <d v="1899-12-30T21:38:30"/>
    <n v="-76.722813329999994"/>
    <n v="3.4785033329999999"/>
    <n v="2100"/>
    <e v="#DIV/0!"/>
    <x v="7"/>
    <e v="#DIV/0!"/>
    <e v="#DIV/0!"/>
    <m/>
    <x v="1"/>
    <m/>
    <x v="2"/>
    <x v="8"/>
    <m/>
    <s v="Bosque primario"/>
    <s v="Oscar Cuellar"/>
    <s v="Rasante &lt;0.3 m"/>
    <s v="Hypodactylus mantipus"/>
    <n v="1"/>
    <m/>
    <m/>
    <m/>
    <m/>
    <m/>
    <s v="Auditivo"/>
  </r>
  <r>
    <d v="2022-12-03T00:00:00"/>
    <m/>
    <m/>
    <d v="1899-12-30T21:17:06"/>
    <n v="-76.722825"/>
    <n v="3.4785466669999998"/>
    <n v="2100"/>
    <e v="#DIV/0!"/>
    <x v="7"/>
    <e v="#DIV/0!"/>
    <e v="#DIV/0!"/>
    <m/>
    <x v="1"/>
    <m/>
    <x v="2"/>
    <x v="8"/>
    <m/>
    <s v="Bosque primario"/>
    <s v="Gustavo Rodriguez"/>
    <s v="Rasante &lt;0.3 m"/>
    <s v="Pristimantis juanchoi"/>
    <n v="1"/>
    <m/>
    <m/>
    <m/>
    <m/>
    <m/>
    <s v="Observacion"/>
  </r>
  <r>
    <d v="2022-12-03T00:00:00"/>
    <m/>
    <m/>
    <d v="1899-12-30T20:50:11"/>
    <n v="-76.722803330000005"/>
    <n v="3.4783183329999998"/>
    <n v="2100"/>
    <e v="#DIV/0!"/>
    <x v="7"/>
    <e v="#DIV/0!"/>
    <e v="#DIV/0!"/>
    <m/>
    <x v="1"/>
    <m/>
    <x v="2"/>
    <x v="8"/>
    <m/>
    <s v="Bosque primario"/>
    <s v="Oscar Cuellar"/>
    <s v="Rasante &lt;0.3 m"/>
    <s v="Hypodactylus mantipus"/>
    <n v="1"/>
    <m/>
    <m/>
    <m/>
    <m/>
    <m/>
    <s v="Auditivo"/>
  </r>
  <r>
    <d v="2022-12-03T00:00:00"/>
    <m/>
    <m/>
    <d v="1899-12-30T20:50:11"/>
    <n v="-76.722803330000005"/>
    <n v="3.4783183329999998"/>
    <n v="2100"/>
    <e v="#DIV/0!"/>
    <x v="7"/>
    <e v="#DIV/0!"/>
    <e v="#DIV/0!"/>
    <m/>
    <x v="1"/>
    <m/>
    <x v="2"/>
    <x v="8"/>
    <m/>
    <s v="Bosque primario"/>
    <s v="Gustavo Rodriguez"/>
    <s v="Herbaceo 0.3-1.5 m"/>
    <s v="Pristimantis phalarus"/>
    <n v="2"/>
    <m/>
    <m/>
    <m/>
    <m/>
    <m/>
    <s v="Auditivo"/>
  </r>
  <r>
    <d v="2022-12-03T00:00:00"/>
    <m/>
    <m/>
    <d v="1899-12-30T20:33:16"/>
    <n v="-76.72277167"/>
    <n v="3.4781200000000001"/>
    <n v="2100"/>
    <e v="#DIV/0!"/>
    <x v="7"/>
    <e v="#DIV/0!"/>
    <e v="#DIV/0!"/>
    <m/>
    <x v="1"/>
    <m/>
    <x v="2"/>
    <x v="8"/>
    <m/>
    <s v="Bosque primario"/>
    <s v="Alvaro Fierro"/>
    <s v="Arbustivo 1.5-5 m"/>
    <s v="Pristimantis alius"/>
    <n v="1"/>
    <m/>
    <m/>
    <m/>
    <m/>
    <m/>
    <s v="Observacion"/>
  </r>
  <r>
    <d v="2022-12-03T00:00:00"/>
    <m/>
    <m/>
    <d v="1899-12-30T20:34:54"/>
    <n v="-76.722755000000006"/>
    <n v="3.4779849999999999"/>
    <n v="2100"/>
    <e v="#DIV/0!"/>
    <x v="7"/>
    <e v="#DIV/0!"/>
    <e v="#DIV/0!"/>
    <m/>
    <x v="1"/>
    <m/>
    <x v="2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1:13:54"/>
    <n v="-76.722876670000005"/>
    <n v="3.478443333"/>
    <n v="2100"/>
    <e v="#DIV/0!"/>
    <x v="7"/>
    <e v="#DIV/0!"/>
    <e v="#DIV/0!"/>
    <m/>
    <x v="1"/>
    <m/>
    <x v="2"/>
    <x v="8"/>
    <m/>
    <s v="Bosque primario"/>
    <s v="Gustavo Rodriguez"/>
    <s v="Herbaceo 0.3-1.5 m"/>
    <s v="Pristimantis phalarus"/>
    <n v="1"/>
    <m/>
    <m/>
    <m/>
    <m/>
    <m/>
    <s v="Observacion"/>
  </r>
  <r>
    <d v="2022-12-03T00:00:00"/>
    <m/>
    <m/>
    <d v="1899-12-30T21:55:53"/>
    <n v="-76.722841669999994"/>
    <n v="3.4785499999999998"/>
    <n v="2100"/>
    <e v="#DIV/0!"/>
    <x v="7"/>
    <e v="#DIV/0!"/>
    <e v="#DIV/0!"/>
    <m/>
    <x v="1"/>
    <m/>
    <x v="2"/>
    <x v="8"/>
    <m/>
    <s v="Bosque primario"/>
    <s v="Alvaro Fierro"/>
    <s v="Herbaceo 0.3-1.5 m"/>
    <s v="Pristimantis molybrignus"/>
    <n v="1"/>
    <m/>
    <m/>
    <m/>
    <m/>
    <m/>
    <s v="Observacion"/>
  </r>
  <r>
    <d v="2022-12-03T00:00:00"/>
    <m/>
    <m/>
    <d v="1899-12-30T23:12:00"/>
    <n v="-76.723218329999995"/>
    <n v="3.4831249999999998"/>
    <n v="2100"/>
    <e v="#DIV/0!"/>
    <x v="7"/>
    <e v="#DIV/0!"/>
    <e v="#DIV/0!"/>
    <m/>
    <x v="1"/>
    <m/>
    <x v="0"/>
    <x v="6"/>
    <m/>
    <s v="Bosque secundario"/>
    <s v="Alvaro Fierro"/>
    <s v="Herbaceo 0.3-1.5 m"/>
    <s v="Pristimantis palmeri"/>
    <n v="1"/>
    <m/>
    <m/>
    <m/>
    <m/>
    <m/>
    <s v="Observacion"/>
  </r>
  <r>
    <d v="2022-12-03T00:00:00"/>
    <m/>
    <m/>
    <d v="1899-12-30T23:07:44"/>
    <n v="-76.723050000000001"/>
    <n v="3.4828749999999999"/>
    <n v="2100"/>
    <e v="#DIV/0!"/>
    <x v="7"/>
    <e v="#DIV/0!"/>
    <e v="#DIV/0!"/>
    <m/>
    <x v="1"/>
    <m/>
    <x v="0"/>
    <x v="6"/>
    <m/>
    <s v="Bosque secundario"/>
    <s v="Alvaro Fierro"/>
    <s v="Herbaceo 0.3-1.5 m"/>
    <s v="Pristimantis palmeri"/>
    <n v="2"/>
    <m/>
    <m/>
    <m/>
    <m/>
    <m/>
    <s v="Observacion"/>
  </r>
  <r>
    <d v="2022-12-03T00:00:00"/>
    <m/>
    <m/>
    <d v="1899-12-30T23:07:44"/>
    <n v="-76.723050000000001"/>
    <n v="3.4828749999999999"/>
    <n v="2100"/>
    <e v="#DIV/0!"/>
    <x v="7"/>
    <e v="#DIV/0!"/>
    <e v="#DIV/0!"/>
    <m/>
    <x v="1"/>
    <m/>
    <x v="0"/>
    <x v="6"/>
    <m/>
    <s v="Bosque secundario"/>
    <s v="Gustavo Rodriguez"/>
    <s v="Herbaceo 0.3-1.5 m"/>
    <s v="Pristimantis palmeri"/>
    <n v="1"/>
    <m/>
    <m/>
    <m/>
    <m/>
    <m/>
    <s v="Observacion"/>
  </r>
  <r>
    <d v="2022-12-03T00:00:00"/>
    <m/>
    <m/>
    <d v="1899-12-30T23:16:47"/>
    <n v="-76.723496670000003"/>
    <n v="3.48339"/>
    <n v="2100"/>
    <e v="#DIV/0!"/>
    <x v="7"/>
    <e v="#DIV/0!"/>
    <e v="#DIV/0!"/>
    <m/>
    <x v="1"/>
    <m/>
    <x v="0"/>
    <x v="6"/>
    <m/>
    <s v="Bosque secundario"/>
    <s v="Oscar Cuellar"/>
    <s v="Herbaceo 0.3-1.5 m"/>
    <s v="Pristimantis palmeri"/>
    <n v="1"/>
    <m/>
    <m/>
    <m/>
    <m/>
    <m/>
    <s v="Observacion"/>
  </r>
  <r>
    <d v="2022-12-03T00:00:00"/>
    <m/>
    <m/>
    <d v="1899-12-30T23:10:23"/>
    <n v="-76.723159999999993"/>
    <n v="3.4830333329999998"/>
    <n v="2100"/>
    <e v="#DIV/0!"/>
    <x v="7"/>
    <e v="#DIV/0!"/>
    <e v="#DIV/0!"/>
    <m/>
    <x v="1"/>
    <m/>
    <x v="0"/>
    <x v="6"/>
    <m/>
    <s v="Bosque secundario"/>
    <s v="Oscar Cuellar"/>
    <s v="Herbaceo 0.3-1.5 m"/>
    <s v="Pristimantis palmeri"/>
    <n v="1"/>
    <m/>
    <m/>
    <m/>
    <m/>
    <m/>
    <s v="Observacion"/>
  </r>
  <r>
    <d v="2022-12-03T00:00:00"/>
    <m/>
    <m/>
    <d v="1899-12-30T23:30:51"/>
    <n v="-76.72363833"/>
    <n v="3.484343333"/>
    <m/>
    <e v="#DIV/0!"/>
    <x v="7"/>
    <e v="#DIV/0!"/>
    <e v="#DIV/0!"/>
    <m/>
    <x v="1"/>
    <m/>
    <x v="2"/>
    <x v="6"/>
    <m/>
    <m/>
    <s v="Oscar Cuellar"/>
    <m/>
    <s v="Ninguna"/>
    <n v="0"/>
    <m/>
    <m/>
    <m/>
    <m/>
    <m/>
    <m/>
  </r>
  <r>
    <d v="2022-12-03T00:00:00"/>
    <m/>
    <m/>
    <d v="1899-12-30T22:40:13"/>
    <n v="-76.723198330000002"/>
    <n v="3.4810266670000001"/>
    <n v="2100"/>
    <e v="#DIV/0!"/>
    <x v="7"/>
    <e v="#DIV/0!"/>
    <e v="#DIV/0!"/>
    <m/>
    <x v="1"/>
    <m/>
    <x v="4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2:34:37"/>
    <n v="-76.723325000000003"/>
    <n v="3.4808783330000002"/>
    <n v="2100"/>
    <e v="#DIV/0!"/>
    <x v="7"/>
    <e v="#DIV/0!"/>
    <e v="#DIV/0!"/>
    <m/>
    <x v="1"/>
    <m/>
    <x v="4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2:37:27"/>
    <n v="-76.723150000000004"/>
    <n v="3.480823333"/>
    <n v="2100"/>
    <e v="#DIV/0!"/>
    <x v="7"/>
    <e v="#DIV/0!"/>
    <e v="#DIV/0!"/>
    <m/>
    <x v="1"/>
    <m/>
    <x v="4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2:25:20"/>
    <n v="-76.723183329999998"/>
    <n v="3.4803483329999998"/>
    <n v="2100"/>
    <e v="#DIV/0!"/>
    <x v="7"/>
    <e v="#DIV/0!"/>
    <e v="#DIV/0!"/>
    <m/>
    <x v="1"/>
    <m/>
    <x v="4"/>
    <x v="8"/>
    <m/>
    <s v="Bosque primario"/>
    <s v="Oscar Cuellar"/>
    <s v="Rasante &lt;0.3 m"/>
    <s v="Hypodactylus mantipus"/>
    <n v="1"/>
    <m/>
    <m/>
    <m/>
    <m/>
    <m/>
    <s v="Auditivo"/>
  </r>
  <r>
    <d v="2022-12-03T00:00:00"/>
    <m/>
    <m/>
    <d v="1899-12-30T22:25:20"/>
    <n v="-76.723183329999998"/>
    <n v="3.4803483329999998"/>
    <n v="2100"/>
    <e v="#DIV/0!"/>
    <x v="7"/>
    <e v="#DIV/0!"/>
    <e v="#DIV/0!"/>
    <m/>
    <x v="1"/>
    <m/>
    <x v="4"/>
    <x v="8"/>
    <m/>
    <s v="Bosque primario"/>
    <s v="Gustavo Rodriguez"/>
    <s v="Herbaceo 0.3-1.5 m"/>
    <s v="Pristimantis phalarus"/>
    <n v="3"/>
    <m/>
    <m/>
    <m/>
    <m/>
    <m/>
    <s v="Auditivo"/>
  </r>
  <r>
    <d v="2022-12-03T00:00:00"/>
    <m/>
    <m/>
    <d v="1899-12-30T22:30:28"/>
    <n v="-76.723238330000001"/>
    <n v="3.48062"/>
    <m/>
    <e v="#DIV/0!"/>
    <x v="7"/>
    <e v="#DIV/0!"/>
    <e v="#DIV/0!"/>
    <m/>
    <x v="1"/>
    <m/>
    <x v="4"/>
    <x v="8"/>
    <m/>
    <s v="Bosque primario"/>
    <s v="Gustavo Rodriguez"/>
    <s v="Rasante &lt;0.3 m"/>
    <s v="Hypodactylus mantipus"/>
    <n v="1"/>
    <m/>
    <m/>
    <m/>
    <m/>
    <m/>
    <s v="Observacion"/>
  </r>
  <r>
    <d v="2022-12-03T00:00:00"/>
    <m/>
    <m/>
    <d v="1899-12-30T22:07:06"/>
    <n v="-76.723048329999997"/>
    <n v="3.4791949999999998"/>
    <n v="2100"/>
    <e v="#DIV/0!"/>
    <x v="7"/>
    <e v="#DIV/0!"/>
    <e v="#DIV/0!"/>
    <m/>
    <x v="1"/>
    <m/>
    <x v="3"/>
    <x v="8"/>
    <m/>
    <s v="Bosque primario"/>
    <s v="Alvaro Fierro"/>
    <s v="Herbaceo 0.3-1.5 m"/>
    <s v="Pristimantis molybrignus"/>
    <n v="1"/>
    <m/>
    <m/>
    <m/>
    <m/>
    <m/>
    <s v="Observacion"/>
  </r>
  <r>
    <d v="2022-12-03T00:00:00"/>
    <m/>
    <m/>
    <d v="1899-12-30T22:15:08"/>
    <n v="-76.723073330000005"/>
    <n v="3.4795466670000001"/>
    <n v="2100"/>
    <e v="#DIV/0!"/>
    <x v="7"/>
    <e v="#DIV/0!"/>
    <e v="#DIV/0!"/>
    <m/>
    <x v="1"/>
    <m/>
    <x v="3"/>
    <x v="8"/>
    <m/>
    <s v="Bosque primario"/>
    <s v="Oscar Cuellar"/>
    <s v="Herbaceo 0.3-1.5 m"/>
    <s v="Pristimantis molybrignus"/>
    <n v="1"/>
    <m/>
    <m/>
    <m/>
    <m/>
    <m/>
    <s v="Observacion"/>
  </r>
  <r>
    <d v="2022-12-03T00:00:00"/>
    <m/>
    <m/>
    <d v="1899-12-30T22:15:08"/>
    <n v="-76.723073330000005"/>
    <n v="3.4795466670000001"/>
    <n v="2100"/>
    <e v="#DIV/0!"/>
    <x v="7"/>
    <e v="#DIV/0!"/>
    <e v="#DIV/0!"/>
    <m/>
    <x v="1"/>
    <m/>
    <x v="3"/>
    <x v="8"/>
    <m/>
    <s v="Bosque primario"/>
    <s v="Gustavo Rodriguez"/>
    <s v="Herbaceo 0.3-1.5 m"/>
    <s v="Pristimantis molybrignus"/>
    <n v="1"/>
    <m/>
    <m/>
    <m/>
    <m/>
    <m/>
    <s v="Observacion"/>
  </r>
  <r>
    <d v="2022-12-03T00:00:00"/>
    <m/>
    <m/>
    <d v="1899-12-30T23:21:47"/>
    <n v="-76.72345833"/>
    <n v="3.483691667"/>
    <m/>
    <e v="#DIV/0!"/>
    <x v="7"/>
    <e v="#DIV/0!"/>
    <e v="#DIV/0!"/>
    <m/>
    <x v="1"/>
    <m/>
    <x v="1"/>
    <x v="6"/>
    <m/>
    <s v="Bosque secundario"/>
    <m/>
    <s v="Herbaceo 0.3-1.5 m"/>
    <s v="Pristimantis palmeri"/>
    <n v="1"/>
    <m/>
    <m/>
    <m/>
    <m/>
    <m/>
    <s v="Observacion"/>
  </r>
  <r>
    <d v="2022-11-17T00:00:00"/>
    <m/>
    <m/>
    <d v="1899-12-30T21:03:09"/>
    <n v="-76.643013330000002"/>
    <n v="3.3496083329999999"/>
    <n v="2369"/>
    <e v="#DIV/0!"/>
    <x v="7"/>
    <e v="#DIV/0!"/>
    <e v="#DIV/0!"/>
    <m/>
    <x v="2"/>
    <m/>
    <x v="1"/>
    <x v="10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20:58:50"/>
    <n v="-76.642908329999997"/>
    <n v="3.3493283329999999"/>
    <n v="2369"/>
    <e v="#DIV/0!"/>
    <x v="7"/>
    <e v="#DIV/0!"/>
    <e v="#DIV/0!"/>
    <m/>
    <x v="2"/>
    <m/>
    <x v="1"/>
    <x v="10"/>
    <m/>
    <s v="Bosque primario"/>
    <s v="Andrea Guazaquillo"/>
    <s v="Herbaceo 0.3-1.5 m"/>
    <s v="Pristimantis palmeri"/>
    <n v="1"/>
    <m/>
    <m/>
    <m/>
    <m/>
    <m/>
    <s v="Observacion"/>
  </r>
  <r>
    <d v="2022-11-17T00:00:00"/>
    <m/>
    <m/>
    <d v="1899-12-30T21:12:05"/>
    <n v="-76.643021669999996"/>
    <n v="3.3496166669999998"/>
    <n v="2369"/>
    <e v="#DIV/0!"/>
    <x v="7"/>
    <e v="#DIV/0!"/>
    <e v="#DIV/0!"/>
    <m/>
    <x v="2"/>
    <m/>
    <x v="1"/>
    <x v="10"/>
    <m/>
    <s v="Bosque primario"/>
    <s v="Diana Murillo"/>
    <s v="Herbaceo 0.3-1.5 m"/>
    <s v="Pristimantis palmeri"/>
    <n v="2"/>
    <m/>
    <m/>
    <m/>
    <m/>
    <m/>
    <s v="Observacion"/>
  </r>
  <r>
    <d v="2022-11-17T00:00:00"/>
    <m/>
    <m/>
    <d v="1899-12-30T21:15:51"/>
    <n v="-76.642705000000007"/>
    <n v="3.34931"/>
    <n v="2369"/>
    <e v="#DIV/0!"/>
    <x v="7"/>
    <e v="#DIV/0!"/>
    <e v="#DIV/0!"/>
    <m/>
    <x v="2"/>
    <m/>
    <x v="1"/>
    <x v="10"/>
    <m/>
    <s v="Bosque primario"/>
    <s v="Gustavo Rodriguez"/>
    <s v="Herbaceo 0.3-1.5 m"/>
    <s v="Pristimantis palmeri"/>
    <n v="1"/>
    <m/>
    <m/>
    <m/>
    <m/>
    <m/>
    <s v="Observacion"/>
  </r>
  <r>
    <d v="2022-11-17T00:00:00"/>
    <m/>
    <m/>
    <d v="1899-12-30T21:09:20"/>
    <n v="-76.643036670000001"/>
    <n v="3.3495783330000002"/>
    <n v="2369"/>
    <e v="#DIV/0!"/>
    <x v="7"/>
    <e v="#DIV/0!"/>
    <e v="#DIV/0!"/>
    <m/>
    <x v="2"/>
    <m/>
    <x v="1"/>
    <x v="10"/>
    <m/>
    <s v="Bosque primario"/>
    <s v="Andrea Guazaquillo"/>
    <s v="Herbaceo 0.3-1.5 m"/>
    <s v="Pristimantis aff quimbaya"/>
    <n v="1"/>
    <m/>
    <m/>
    <m/>
    <s v="Procesos de remoción en masa"/>
    <m/>
    <s v="Observacion"/>
  </r>
  <r>
    <d v="2022-11-17T00:00:00"/>
    <m/>
    <m/>
    <d v="1899-12-30T19:57:43"/>
    <n v="-76.642153329999999"/>
    <n v="3.3496766670000002"/>
    <n v="2369"/>
    <e v="#DIV/0!"/>
    <x v="7"/>
    <e v="#DIV/0!"/>
    <e v="#DIV/0!"/>
    <m/>
    <x v="2"/>
    <m/>
    <x v="0"/>
    <x v="15"/>
    <m/>
    <s v="Bosque primario"/>
    <s v="Andrea Guazaquillo"/>
    <s v="Rasante &lt;0.3 m"/>
    <s v="Pristimantis palmeri"/>
    <n v="1"/>
    <m/>
    <m/>
    <m/>
    <m/>
    <m/>
    <s v="Observacion"/>
  </r>
  <r>
    <d v="2022-11-17T00:00:00"/>
    <m/>
    <m/>
    <d v="1899-12-30T19:35:52"/>
    <n v="-76.641151669999999"/>
    <n v="3.3498549999999998"/>
    <n v="2369"/>
    <e v="#DIV/0!"/>
    <x v="7"/>
    <e v="#DIV/0!"/>
    <e v="#DIV/0!"/>
    <m/>
    <x v="2"/>
    <m/>
    <x v="0"/>
    <x v="15"/>
    <m/>
    <s v="Bosque primario"/>
    <s v="Gustavo Rodriguez"/>
    <s v="Herbaceo 0.3-1.5 m"/>
    <s v="Pristimantis palmeri"/>
    <n v="1"/>
    <m/>
    <m/>
    <m/>
    <m/>
    <m/>
    <s v="Observacion"/>
  </r>
  <r>
    <d v="2022-11-17T00:00:00"/>
    <m/>
    <m/>
    <d v="1899-12-30T19:45:51"/>
    <n v="-76.641673330000003"/>
    <n v="3.3497599999999998"/>
    <n v="2369"/>
    <e v="#DIV/0!"/>
    <x v="7"/>
    <e v="#DIV/0!"/>
    <e v="#DIV/0!"/>
    <m/>
    <x v="2"/>
    <m/>
    <x v="0"/>
    <x v="15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19:34:15"/>
    <n v="-76.641183330000004"/>
    <n v="3.3499099999999999"/>
    <n v="2369"/>
    <e v="#DIV/0!"/>
    <x v="7"/>
    <e v="#DIV/0!"/>
    <e v="#DIV/0!"/>
    <m/>
    <x v="2"/>
    <m/>
    <x v="0"/>
    <x v="15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19:51:49"/>
    <n v="-76.642004999999997"/>
    <n v="3.3495983329999999"/>
    <n v="2369"/>
    <e v="#DIV/0!"/>
    <x v="7"/>
    <e v="#DIV/0!"/>
    <e v="#DIV/0!"/>
    <m/>
    <x v="2"/>
    <m/>
    <x v="0"/>
    <x v="15"/>
    <m/>
    <s v="Bosque primario"/>
    <s v="Gustavo Rodriguez"/>
    <s v="Herbaceo 0.3-1.5 m"/>
    <s v="Pristimantis brevifrons"/>
    <n v="1"/>
    <m/>
    <m/>
    <m/>
    <m/>
    <m/>
    <s v="Observacion"/>
  </r>
  <r>
    <d v="2022-11-17T00:00:00"/>
    <m/>
    <m/>
    <d v="1899-12-30T20:18:07"/>
    <n v="-76.642256669999995"/>
    <n v="3.3494799999999998"/>
    <n v="2369"/>
    <e v="#DIV/0!"/>
    <x v="7"/>
    <e v="#DIV/0!"/>
    <e v="#DIV/0!"/>
    <m/>
    <x v="2"/>
    <m/>
    <x v="2"/>
    <x v="10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20:48:05"/>
    <n v="-76.642690000000002"/>
    <n v="3.3491399999999998"/>
    <m/>
    <e v="#DIV/0!"/>
    <x v="7"/>
    <e v="#DIV/0!"/>
    <e v="#DIV/0!"/>
    <m/>
    <x v="2"/>
    <m/>
    <x v="2"/>
    <x v="10"/>
    <m/>
    <s v="Bosque primario"/>
    <s v="Diana Murillo"/>
    <s v="Herbaceo 0.3-1.5 m"/>
    <s v="Pristimantis calcaratus"/>
    <n v="2"/>
    <m/>
    <m/>
    <m/>
    <m/>
    <m/>
    <s v="Observacion"/>
  </r>
  <r>
    <d v="2022-11-17T00:00:00"/>
    <m/>
    <m/>
    <d v="1899-12-30T20:17:22"/>
    <n v="-76.642210000000006"/>
    <n v="3.3495266670000001"/>
    <n v="2369"/>
    <e v="#DIV/0!"/>
    <x v="7"/>
    <e v="#DIV/0!"/>
    <e v="#DIV/0!"/>
    <m/>
    <x v="2"/>
    <m/>
    <x v="2"/>
    <x v="10"/>
    <m/>
    <s v="Bosque primario"/>
    <s v="Gustavo Rodriguez"/>
    <s v="Herbaceo 0.3-1.5 m"/>
    <s v="Pristimantis brevifrons"/>
    <n v="4"/>
    <s v="Cantando"/>
    <m/>
    <m/>
    <m/>
    <m/>
    <s v="Observacion"/>
  </r>
  <r>
    <d v="2022-11-17T00:00:00"/>
    <m/>
    <m/>
    <d v="1899-12-30T20:44:37"/>
    <n v="-76.642515000000003"/>
    <n v="3.349135"/>
    <n v="2369"/>
    <e v="#DIV/0!"/>
    <x v="7"/>
    <e v="#DIV/0!"/>
    <e v="#DIV/0!"/>
    <m/>
    <x v="2"/>
    <m/>
    <x v="2"/>
    <x v="10"/>
    <m/>
    <s v="Bosque primario"/>
    <s v="Diana Murillo"/>
    <s v="Herbaceo 0.3-1.5 m"/>
    <s v="Pristimantis calcaratus"/>
    <n v="2"/>
    <m/>
    <m/>
    <m/>
    <m/>
    <m/>
    <s v="Observacion"/>
  </r>
  <r>
    <d v="2022-11-17T00:00:00"/>
    <m/>
    <m/>
    <d v="1899-12-30T20:39:15"/>
    <n v="-76.642366670000001"/>
    <n v="3.3492866669999999"/>
    <n v="2369"/>
    <e v="#DIV/0!"/>
    <x v="7"/>
    <e v="#DIV/0!"/>
    <e v="#DIV/0!"/>
    <m/>
    <x v="2"/>
    <m/>
    <x v="2"/>
    <x v="10"/>
    <m/>
    <s v="Bosque primario"/>
    <s v="Gustavo Rodriguez"/>
    <s v="Herbaceo 0.3-1.5 m"/>
    <s v="Pristimantis palmeri"/>
    <n v="1"/>
    <m/>
    <m/>
    <m/>
    <m/>
    <m/>
    <s v="Observacion"/>
  </r>
  <r>
    <d v="2022-11-17T00:00:00"/>
    <m/>
    <m/>
    <d v="1899-12-30T20:02:51"/>
    <n v="-76.642178329999993"/>
    <n v="3.3494666670000002"/>
    <n v="2369"/>
    <e v="#DIV/0!"/>
    <x v="7"/>
    <e v="#DIV/0!"/>
    <e v="#DIV/0!"/>
    <m/>
    <x v="2"/>
    <m/>
    <x v="2"/>
    <x v="10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20:41:43"/>
    <n v="-76.642461670000003"/>
    <n v="3.3492483329999998"/>
    <n v="2369"/>
    <e v="#DIV/0!"/>
    <x v="7"/>
    <e v="#DIV/0!"/>
    <e v="#DIV/0!"/>
    <m/>
    <x v="2"/>
    <m/>
    <x v="2"/>
    <x v="10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20:34:43"/>
    <n v="-76.642184999999998"/>
    <n v="3.3492999999999999"/>
    <n v="2369"/>
    <e v="#DIV/0!"/>
    <x v="7"/>
    <e v="#DIV/0!"/>
    <e v="#DIV/0!"/>
    <m/>
    <x v="2"/>
    <m/>
    <x v="2"/>
    <x v="10"/>
    <m/>
    <s v="Bosque primario"/>
    <s v="Gustavo Rodriguez"/>
    <s v="Herbaceo 0.3-1.5 m"/>
    <s v="Pristimantis calcaratus"/>
    <n v="1"/>
    <m/>
    <m/>
    <m/>
    <m/>
    <m/>
    <s v="Observacion"/>
  </r>
  <r>
    <d v="2022-11-17T00:00:00"/>
    <m/>
    <m/>
    <d v="1899-12-30T19:22:22"/>
    <n v="-76.640833330000007"/>
    <n v="3.3501249999999998"/>
    <n v="2369"/>
    <e v="#DIV/0!"/>
    <x v="7"/>
    <e v="#DIV/0!"/>
    <e v="#DIV/0!"/>
    <m/>
    <x v="2"/>
    <m/>
    <x v="1"/>
    <x v="15"/>
    <m/>
    <s v="Bosque primario"/>
    <s v="Gustavo Rodriguez"/>
    <s v="Herbaceo 0.3-1.5 m"/>
    <s v="Pristimantis palmeri"/>
    <n v="1"/>
    <m/>
    <m/>
    <m/>
    <m/>
    <m/>
    <s v="Observacion"/>
  </r>
  <r>
    <d v="2022-11-17T00:00:00"/>
    <m/>
    <m/>
    <d v="1899-12-30T19:18:22"/>
    <n v="-76.640559999999994"/>
    <n v="3.3502233330000002"/>
    <n v="2369"/>
    <e v="#DIV/0!"/>
    <x v="7"/>
    <e v="#DIV/0!"/>
    <e v="#DIV/0!"/>
    <m/>
    <x v="2"/>
    <m/>
    <x v="1"/>
    <x v="15"/>
    <m/>
    <s v="Bosque primario"/>
    <s v="Gustavo Rodriguez"/>
    <s v="Herbaceo 0.3-1.5 m"/>
    <s v="Pristimantis palmeri"/>
    <n v="2"/>
    <m/>
    <m/>
    <m/>
    <m/>
    <m/>
    <s v="Observacion"/>
  </r>
  <r>
    <d v="2022-11-17T00:00:00"/>
    <m/>
    <m/>
    <d v="1899-12-30T19:27:06"/>
    <n v="-76.640898329999999"/>
    <n v="3.3498966669999999"/>
    <n v="2369"/>
    <e v="#DIV/0!"/>
    <x v="7"/>
    <e v="#DIV/0!"/>
    <e v="#DIV/0!"/>
    <m/>
    <x v="2"/>
    <m/>
    <x v="1"/>
    <x v="15"/>
    <m/>
    <s v="Bosque primario"/>
    <s v="Diana Murillo"/>
    <s v="Rasante &lt;0.3 m"/>
    <s v="Pristimantis palmeri"/>
    <n v="1"/>
    <m/>
    <m/>
    <m/>
    <m/>
    <m/>
    <s v="Observacion"/>
  </r>
  <r>
    <d v="2022-11-17T00:00:00"/>
    <m/>
    <m/>
    <d v="1899-12-30T22:06:51"/>
    <n v="-76.646671670000003"/>
    <n v="3.3497966670000001"/>
    <n v="2369"/>
    <e v="#DIV/0!"/>
    <x v="7"/>
    <e v="#DIV/0!"/>
    <e v="#DIV/0!"/>
    <m/>
    <x v="2"/>
    <m/>
    <x v="2"/>
    <x v="11"/>
    <m/>
    <m/>
    <m/>
    <m/>
    <s v="Ninguna"/>
    <n v="0"/>
    <m/>
    <m/>
    <m/>
    <m/>
    <m/>
    <m/>
  </r>
  <r>
    <d v="2022-11-17T00:00:00"/>
    <m/>
    <m/>
    <d v="1899-12-30T19:05:27"/>
    <n v="-76.640083329999996"/>
    <n v="3.3505799999999999"/>
    <n v="2369"/>
    <e v="#DIV/0!"/>
    <x v="7"/>
    <e v="#DIV/0!"/>
    <e v="#DIV/0!"/>
    <m/>
    <x v="2"/>
    <m/>
    <x v="2"/>
    <x v="15"/>
    <m/>
    <s v="Arbustal"/>
    <s v="Andrea Guazaquillo"/>
    <s v="Herbaceo 0.3-1.5 m"/>
    <s v="Pristimantis palmeri"/>
    <n v="1"/>
    <m/>
    <m/>
    <m/>
    <m/>
    <m/>
    <s v="Observacion"/>
  </r>
  <r>
    <d v="2022-11-17T00:00:00"/>
    <m/>
    <m/>
    <d v="1899-12-30T18:43:24"/>
    <n v="-76.639706669999995"/>
    <n v="3.35087"/>
    <n v="2369"/>
    <e v="#DIV/0!"/>
    <x v="7"/>
    <e v="#DIV/0!"/>
    <e v="#DIV/0!"/>
    <m/>
    <x v="2"/>
    <m/>
    <x v="2"/>
    <x v="15"/>
    <m/>
    <s v="Bosque primario"/>
    <s v="Andrea Guazaquillo"/>
    <s v="Rasante &lt;0.3 m"/>
    <s v="Pristimantis palmeri"/>
    <n v="2"/>
    <m/>
    <m/>
    <m/>
    <m/>
    <m/>
    <s v="Observacion"/>
  </r>
  <r>
    <d v="2022-11-17T00:00:00"/>
    <m/>
    <m/>
    <d v="1899-12-30T18:45:40"/>
    <n v="-76.639683329999997"/>
    <n v="3.3508849999999999"/>
    <n v="2369"/>
    <e v="#DIV/0!"/>
    <x v="7"/>
    <e v="#DIV/0!"/>
    <e v="#DIV/0!"/>
    <m/>
    <x v="2"/>
    <m/>
    <x v="2"/>
    <x v="15"/>
    <m/>
    <s v="Bosque primario"/>
    <s v="Gustavo Rodriguez"/>
    <s v="Herbaceo 0.3-1.5 m"/>
    <s v="Pristimantis palmeri"/>
    <n v="1"/>
    <m/>
    <m/>
    <m/>
    <m/>
    <m/>
    <s v="Observacion"/>
  </r>
  <r>
    <d v="2022-11-17T00:00:00"/>
    <m/>
    <m/>
    <d v="1899-12-30T18:57:53"/>
    <n v="-76.640006670000005"/>
    <n v="3.3508116669999999"/>
    <n v="2369"/>
    <e v="#DIV/0!"/>
    <x v="7"/>
    <e v="#DIV/0!"/>
    <e v="#DIV/0!"/>
    <m/>
    <x v="2"/>
    <m/>
    <x v="2"/>
    <x v="15"/>
    <m/>
    <s v="Bosque primario"/>
    <s v="Andrea Guazaquillo"/>
    <s v="Herbaceo 0.3-1.5 m"/>
    <s v="Pristimantis calcaratus"/>
    <n v="1"/>
    <m/>
    <m/>
    <m/>
    <m/>
    <m/>
    <s v="Observacion"/>
  </r>
  <r>
    <d v="2022-11-17T00:00:00"/>
    <m/>
    <m/>
    <d v="1899-12-30T18:47:36"/>
    <n v="-76.639731670000003"/>
    <n v="3.3508100000000001"/>
    <n v="2369"/>
    <e v="#DIV/0!"/>
    <x v="7"/>
    <e v="#DIV/0!"/>
    <e v="#DIV/0!"/>
    <m/>
    <x v="2"/>
    <m/>
    <x v="2"/>
    <x v="15"/>
    <m/>
    <s v="Bosque primario"/>
    <s v="Andrea Guazaquillo"/>
    <s v="Rasante &lt;0.3 m"/>
    <s v="Pristimantis palmeri"/>
    <n v="1"/>
    <m/>
    <m/>
    <m/>
    <m/>
    <m/>
    <s v="Observacion"/>
  </r>
  <r>
    <d v="2022-11-17T00:00:00"/>
    <m/>
    <m/>
    <d v="1899-12-30T19:02:17"/>
    <n v="-76.640020000000007"/>
    <n v="3.3506749999999998"/>
    <n v="2369"/>
    <e v="#DIV/0!"/>
    <x v="7"/>
    <e v="#DIV/0!"/>
    <e v="#DIV/0!"/>
    <m/>
    <x v="2"/>
    <m/>
    <x v="2"/>
    <x v="15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19:02:17"/>
    <n v="-76.640020000000007"/>
    <n v="3.3506749999999998"/>
    <n v="2369"/>
    <e v="#DIV/0!"/>
    <x v="7"/>
    <e v="#DIV/0!"/>
    <e v="#DIV/0!"/>
    <m/>
    <x v="2"/>
    <m/>
    <x v="2"/>
    <x v="15"/>
    <m/>
    <s v="Bosque primario"/>
    <s v="Andrea Guazaquillo"/>
    <s v="Herbaceo 0.3-1.5 m"/>
    <s v="Pristimantis calcaratus"/>
    <n v="1"/>
    <m/>
    <m/>
    <m/>
    <m/>
    <m/>
    <s v="Observacion"/>
  </r>
  <r>
    <d v="2022-11-17T00:00:00"/>
    <m/>
    <m/>
    <d v="1899-12-30T18:40:10"/>
    <n v="-76.639611669999994"/>
    <n v="3.3509000000000002"/>
    <n v="2369"/>
    <e v="#DIV/0!"/>
    <x v="7"/>
    <e v="#DIV/0!"/>
    <e v="#DIV/0!"/>
    <m/>
    <x v="2"/>
    <m/>
    <x v="2"/>
    <x v="15"/>
    <m/>
    <s v="Bosque primario"/>
    <s v="Andrea Guazaquillo"/>
    <s v="Herbaceo 0.3-1.5 m"/>
    <s v="Pristimantis palmeri"/>
    <n v="1"/>
    <m/>
    <m/>
    <m/>
    <m/>
    <m/>
    <s v="Observacion"/>
  </r>
  <r>
    <d v="2022-11-17T00:00:00"/>
    <m/>
    <m/>
    <d v="1899-12-30T21:58:05"/>
    <n v="-76.645431669999994"/>
    <n v="3.349751667"/>
    <n v="2369"/>
    <e v="#DIV/0!"/>
    <x v="7"/>
    <e v="#DIV/0!"/>
    <e v="#DIV/0!"/>
    <m/>
    <x v="2"/>
    <m/>
    <x v="3"/>
    <x v="11"/>
    <m/>
    <m/>
    <m/>
    <m/>
    <s v="Ninguna"/>
    <n v="0"/>
    <m/>
    <m/>
    <m/>
    <m/>
    <m/>
    <m/>
  </r>
  <r>
    <d v="2022-11-17T00:00:00"/>
    <m/>
    <m/>
    <d v="1899-12-30T21:33:15"/>
    <n v="-76.643531670000002"/>
    <n v="3.3495300000000001"/>
    <n v="2369"/>
    <e v="#DIV/0!"/>
    <x v="7"/>
    <e v="#DIV/0!"/>
    <e v="#DIV/0!"/>
    <m/>
    <x v="2"/>
    <m/>
    <x v="0"/>
    <x v="10"/>
    <m/>
    <s v="Bosque primario"/>
    <s v="Diana Murillo"/>
    <s v="Herbaceo 0.3-1.5 m"/>
    <s v="Pristimantis calcaratus"/>
    <n v="1"/>
    <m/>
    <m/>
    <m/>
    <m/>
    <m/>
    <s v="Observacion"/>
  </r>
  <r>
    <d v="2022-11-17T00:00:00"/>
    <m/>
    <m/>
    <d v="1899-12-30T21:41:26"/>
    <n v="-76.64384167"/>
    <n v="3.3497333330000001"/>
    <n v="2369"/>
    <e v="#DIV/0!"/>
    <x v="7"/>
    <e v="#DIV/0!"/>
    <e v="#DIV/0!"/>
    <m/>
    <x v="2"/>
    <m/>
    <x v="0"/>
    <x v="10"/>
    <m/>
    <s v="Bosque primario"/>
    <s v="Diana Murillo"/>
    <s v="Herbaceo 0.3-1.5 m"/>
    <s v="Pristimantis palmeri"/>
    <n v="1"/>
    <m/>
    <m/>
    <m/>
    <m/>
    <m/>
    <s v="Observacion"/>
  </r>
  <r>
    <d v="2022-11-17T00:00:00"/>
    <m/>
    <m/>
    <d v="1899-12-30T21:41:26"/>
    <n v="-76.64384167"/>
    <n v="3.3497333330000001"/>
    <n v="2369"/>
    <e v="#DIV/0!"/>
    <x v="7"/>
    <e v="#DIV/0!"/>
    <e v="#DIV/0!"/>
    <m/>
    <x v="2"/>
    <m/>
    <x v="0"/>
    <x v="10"/>
    <m/>
    <s v="Bosque primario"/>
    <s v="Gustavo Rodriguez"/>
    <s v="Herbaceo 0.3-1.5 m"/>
    <s v="Pristimantis acatallelus"/>
    <n v="1"/>
    <m/>
    <m/>
    <m/>
    <m/>
    <m/>
    <s v="Auditivo"/>
  </r>
  <r>
    <d v="2022-11-17T00:00:00"/>
    <m/>
    <m/>
    <d v="1899-12-30T21:43:16"/>
    <n v="-76.643969999999996"/>
    <n v="3.3497383329999999"/>
    <n v="2369"/>
    <e v="#DIV/0!"/>
    <x v="7"/>
    <e v="#DIV/0!"/>
    <e v="#DIV/0!"/>
    <m/>
    <x v="2"/>
    <m/>
    <x v="0"/>
    <x v="10"/>
    <m/>
    <s v="Bosque primario"/>
    <s v="Andrea Guazaquillo"/>
    <s v="Herbaceo 0.3-1.5 m"/>
    <s v="Pristimantis palmeri"/>
    <n v="1"/>
    <m/>
    <m/>
    <m/>
    <m/>
    <m/>
    <s v="Observacion"/>
  </r>
  <r>
    <d v="2022-11-17T00:00:00"/>
    <m/>
    <m/>
    <d v="1899-12-30T21:48:08"/>
    <n v="-76.644211670000004"/>
    <n v="3.3496450000000002"/>
    <n v="2369"/>
    <e v="#DIV/0!"/>
    <x v="7"/>
    <e v="#DIV/0!"/>
    <e v="#DIV/0!"/>
    <m/>
    <x v="2"/>
    <m/>
    <x v="0"/>
    <x v="10"/>
    <m/>
    <s v="Bosque primario"/>
    <s v="Andrea Guazaquillo"/>
    <s v="Herbaceo 0.3-1.5 m"/>
    <s v="Pristimantis palmeri"/>
    <n v="1"/>
    <m/>
    <m/>
    <m/>
    <m/>
    <m/>
    <s v="Observacion"/>
  </r>
  <r>
    <d v="2022-11-16T00:00:00"/>
    <m/>
    <m/>
    <d v="1899-12-30T20:24:25"/>
    <n v="-76.652805000000001"/>
    <n v="3.353611667"/>
    <n v="2523"/>
    <e v="#DIV/0!"/>
    <x v="7"/>
    <e v="#DIV/0!"/>
    <e v="#DIV/0!"/>
    <m/>
    <x v="2"/>
    <m/>
    <x v="3"/>
    <x v="13"/>
    <m/>
    <s v="Bosque secundario"/>
    <s v="Gustavo Rodriguez"/>
    <s v="Herbaceo 0.3-1.5 m"/>
    <s v="Pristimantis thectopternus"/>
    <n v="1"/>
    <m/>
    <m/>
    <m/>
    <s v="Procesos de remoción en masa"/>
    <m/>
    <s v="Observacion"/>
  </r>
  <r>
    <d v="2022-11-16T00:00:00"/>
    <m/>
    <m/>
    <d v="1899-12-30T20:42:30"/>
    <n v="-76.652068330000006"/>
    <n v="3.3534199999999998"/>
    <n v="2523"/>
    <e v="#DIV/0!"/>
    <x v="7"/>
    <e v="#DIV/0!"/>
    <e v="#DIV/0!"/>
    <m/>
    <x v="2"/>
    <m/>
    <x v="3"/>
    <x v="13"/>
    <m/>
    <s v="Bosque secundario"/>
    <s v="Andrea Guazaquillo"/>
    <s v="Herbaceo 0.3-1.5 m"/>
    <s v="Pristimantis palmeri"/>
    <n v="1"/>
    <m/>
    <m/>
    <m/>
    <m/>
    <m/>
    <s v="Observacion"/>
  </r>
  <r>
    <d v="2022-11-16T00:00:00"/>
    <m/>
    <m/>
    <d v="1899-12-30T19:13:34"/>
    <n v="-76.655746669999999"/>
    <n v="3.354425"/>
    <n v="2533"/>
    <e v="#DIV/0!"/>
    <x v="7"/>
    <e v="#DIV/0!"/>
    <e v="#DIV/0!"/>
    <m/>
    <x v="2"/>
    <m/>
    <x v="0"/>
    <x v="14"/>
    <m/>
    <s v="Bosque secundario"/>
    <s v="Gustavo Rodriguez"/>
    <s v="Herbaceo 0.3-1.5 m"/>
    <s v="Pristimantis palmeri"/>
    <n v="1"/>
    <m/>
    <m/>
    <m/>
    <m/>
    <m/>
    <s v="Auditivo"/>
  </r>
  <r>
    <d v="2022-11-16T00:00:00"/>
    <m/>
    <m/>
    <d v="1899-12-30T19:05:15"/>
    <n v="-76.655716670000004"/>
    <n v="3.3544616669999998"/>
    <n v="2533"/>
    <e v="#DIV/0!"/>
    <x v="7"/>
    <e v="#DIV/0!"/>
    <e v="#DIV/0!"/>
    <m/>
    <x v="2"/>
    <m/>
    <x v="0"/>
    <x v="14"/>
    <m/>
    <s v="Bosque secundario"/>
    <s v="Andrea Guazaquillo"/>
    <s v="Herbaceo 0.3-1.5 m"/>
    <s v="Pristimantis acatallelus"/>
    <n v="1"/>
    <m/>
    <m/>
    <m/>
    <m/>
    <m/>
    <s v="Observacion"/>
  </r>
  <r>
    <d v="2022-11-16T00:00:00"/>
    <m/>
    <m/>
    <d v="1899-12-30T20:12:45"/>
    <n v="-76.652889999999999"/>
    <n v="3.353506667"/>
    <n v="2533"/>
    <e v="#DIV/0!"/>
    <x v="7"/>
    <e v="#DIV/0!"/>
    <e v="#DIV/0!"/>
    <m/>
    <x v="2"/>
    <m/>
    <x v="4"/>
    <x v="13"/>
    <m/>
    <s v="Bosque secundario"/>
    <s v="Gustavo Rodriguez"/>
    <s v="Rasante &lt;0.3 m"/>
    <s v="Pristimantis acatallelus"/>
    <n v="1"/>
    <m/>
    <m/>
    <m/>
    <m/>
    <m/>
    <s v="Observacion"/>
  </r>
  <r>
    <d v="2022-11-16T00:00:00"/>
    <m/>
    <m/>
    <d v="1899-12-30T20:02:05"/>
    <n v="-76.653665000000004"/>
    <n v="3.3531166670000001"/>
    <n v="2533"/>
    <e v="#DIV/0!"/>
    <x v="7"/>
    <e v="#DIV/0!"/>
    <e v="#DIV/0!"/>
    <m/>
    <x v="2"/>
    <m/>
    <x v="4"/>
    <x v="13"/>
    <m/>
    <s v="Bosque secundario"/>
    <s v="Andrea Guazaquillo"/>
    <s v="Herbaceo 0.3-1.5 m"/>
    <s v="Pristimantis acatallelus"/>
    <n v="1"/>
    <m/>
    <m/>
    <m/>
    <s v="Procesos de remoción en masa"/>
    <m/>
    <s v="Observacion"/>
  </r>
  <r>
    <d v="2022-11-16T00:00:00"/>
    <m/>
    <m/>
    <d v="1899-12-30T18:36:01"/>
    <n v="-76.656256670000005"/>
    <n v="3.355336667"/>
    <n v="2533"/>
    <e v="#DIV/0!"/>
    <x v="7"/>
    <e v="#DIV/0!"/>
    <e v="#DIV/0!"/>
    <m/>
    <x v="2"/>
    <m/>
    <x v="2"/>
    <x v="14"/>
    <m/>
    <s v="Bosque ribereño"/>
    <s v="Gustavo Rodriguez"/>
    <s v="Herbaceo 0.3-1.5 m"/>
    <s v="Pristimantis acatallelus"/>
    <n v="2"/>
    <m/>
    <m/>
    <m/>
    <m/>
    <m/>
    <s v="Auditivo"/>
  </r>
  <r>
    <d v="2022-11-16T00:00:00"/>
    <m/>
    <m/>
    <d v="1899-12-30T21:17:07"/>
    <n v="-76.649754999999999"/>
    <n v="3.3528383329999998"/>
    <n v="2523"/>
    <e v="#DIV/0!"/>
    <x v="7"/>
    <e v="#DIV/0!"/>
    <e v="#DIV/0!"/>
    <m/>
    <x v="2"/>
    <m/>
    <x v="2"/>
    <x v="13"/>
    <m/>
    <s v="Bosque secundario"/>
    <s v="Gustavo Rodriguez"/>
    <s v="Herbaceo 0.3-1.5 m"/>
    <s v="Pristimantis acatallelus"/>
    <n v="1"/>
    <m/>
    <m/>
    <m/>
    <m/>
    <m/>
    <s v="Auditivo"/>
  </r>
  <r>
    <d v="2022-11-16T00:00:00"/>
    <m/>
    <m/>
    <d v="1899-12-30T21:06:24"/>
    <n v="-76.650390000000002"/>
    <n v="3.3528216670000002"/>
    <n v="2523"/>
    <e v="#DIV/0!"/>
    <x v="7"/>
    <e v="#DIV/0!"/>
    <e v="#DIV/0!"/>
    <m/>
    <x v="2"/>
    <m/>
    <x v="2"/>
    <x v="13"/>
    <m/>
    <s v="Bosque secundario"/>
    <s v="Diana Murillo"/>
    <s v="Herbaceo 0.3-1.5 m"/>
    <s v="Pristimantis calcaratus"/>
    <n v="1"/>
    <m/>
    <m/>
    <m/>
    <m/>
    <m/>
    <s v="Observacion"/>
  </r>
  <r>
    <d v="2022-11-16T00:00:00"/>
    <m/>
    <m/>
    <d v="1899-12-30T18:42:41"/>
    <n v="-76.656366669999997"/>
    <n v="3.3550466669999999"/>
    <n v="2533"/>
    <e v="#DIV/0!"/>
    <x v="7"/>
    <e v="#DIV/0!"/>
    <e v="#DIV/0!"/>
    <m/>
    <x v="2"/>
    <m/>
    <x v="1"/>
    <x v="14"/>
    <m/>
    <s v="Bosque secundario"/>
    <s v="Gustavo Rodriguez"/>
    <s v="Herbaceo 0.3-1.5 m"/>
    <s v="Pristimantis acatallelus"/>
    <n v="1"/>
    <m/>
    <m/>
    <m/>
    <m/>
    <m/>
    <s v="Auditivo"/>
  </r>
  <r>
    <d v="2022-11-16T00:00:00"/>
    <m/>
    <m/>
    <d v="1899-12-30T18:42:41"/>
    <n v="-76.656366669999997"/>
    <n v="3.3550466669999999"/>
    <n v="2533"/>
    <e v="#DIV/0!"/>
    <x v="7"/>
    <e v="#DIV/0!"/>
    <e v="#DIV/0!"/>
    <m/>
    <x v="2"/>
    <m/>
    <x v="1"/>
    <x v="14"/>
    <m/>
    <s v="Bosque secundario"/>
    <s v="Gustavo Rodriguez"/>
    <s v="Herbaceo 0.3-1.5 m"/>
    <s v="Pristimantis palmeri"/>
    <n v="1"/>
    <m/>
    <m/>
    <m/>
    <m/>
    <m/>
    <s v="Auditivo"/>
  </r>
  <r>
    <d v="2022-11-16T00:00:00"/>
    <m/>
    <m/>
    <d v="1899-12-30T21:23:01"/>
    <n v="-76.649523329999994"/>
    <n v="3.3526400000000001"/>
    <n v="2523"/>
    <e v="#DIV/0!"/>
    <x v="7"/>
    <e v="#DIV/0!"/>
    <e v="#DIV/0!"/>
    <m/>
    <x v="2"/>
    <m/>
    <x v="1"/>
    <x v="13"/>
    <m/>
    <s v="Bosque secundario"/>
    <s v="Andrea Guazaquillo"/>
    <s v="Herbaceo 0.3-1.5 m"/>
    <s v="Pristimantis palmeri"/>
    <n v="1"/>
    <m/>
    <m/>
    <m/>
    <m/>
    <m/>
    <s v="Observacion"/>
  </r>
  <r>
    <d v="2022-11-16T00:00:00"/>
    <m/>
    <m/>
    <d v="1899-12-30T21:46:01"/>
    <n v="-76.648120000000006"/>
    <n v="3.35236"/>
    <n v="2523"/>
    <e v="#DIV/0!"/>
    <x v="7"/>
    <e v="#DIV/0!"/>
    <e v="#DIV/0!"/>
    <m/>
    <x v="2"/>
    <m/>
    <x v="0"/>
    <x v="13"/>
    <m/>
    <s v="Bosque secundario"/>
    <s v="Gustavo Rodriguez"/>
    <s v="Herbaceo 0.3-1.5 m"/>
    <s v="Pristimantis capitonis"/>
    <n v="1"/>
    <m/>
    <m/>
    <m/>
    <m/>
    <m/>
    <s v="Observacion"/>
  </r>
  <r>
    <d v="2022-11-15T00:00:00"/>
    <m/>
    <m/>
    <d v="1899-12-30T20:42:23"/>
    <n v="-76.647231669999996"/>
    <n v="3.3496566670000001"/>
    <n v="2397"/>
    <e v="#DIV/0!"/>
    <x v="7"/>
    <e v="#DIV/0!"/>
    <e v="#DIV/0!"/>
    <m/>
    <x v="2"/>
    <m/>
    <x v="1"/>
    <x v="11"/>
    <m/>
    <s v="Arbustal"/>
    <s v="Gustavo Rodriguez"/>
    <s v="Herbaceo 0.3-1.5 m"/>
    <s v="Pristimantis brevifrons"/>
    <n v="1"/>
    <m/>
    <m/>
    <m/>
    <m/>
    <m/>
    <s v="Observacion"/>
  </r>
  <r>
    <d v="2022-11-15T00:00:00"/>
    <m/>
    <m/>
    <d v="1899-12-30T20:42:23"/>
    <n v="-76.647231669999996"/>
    <n v="3.3496566670000001"/>
    <n v="2397"/>
    <e v="#DIV/0!"/>
    <x v="7"/>
    <e v="#DIV/0!"/>
    <e v="#DIV/0!"/>
    <m/>
    <x v="2"/>
    <m/>
    <x v="1"/>
    <x v="11"/>
    <m/>
    <s v="Arbustal"/>
    <s v="Andrea Guazaquillo"/>
    <s v="Herbaceo 0.3-1.5 m"/>
    <s v="Pristimantis brevifrons"/>
    <n v="1"/>
    <m/>
    <m/>
    <m/>
    <m/>
    <m/>
    <s v="Observacion"/>
  </r>
  <r>
    <d v="2022-11-15T00:00:00"/>
    <m/>
    <m/>
    <d v="1899-12-30T20:38:16"/>
    <n v="-76.647136669999995"/>
    <n v="3.3497033329999999"/>
    <n v="2397"/>
    <e v="#DIV/0!"/>
    <x v="7"/>
    <e v="#DIV/0!"/>
    <e v="#DIV/0!"/>
    <m/>
    <x v="2"/>
    <m/>
    <x v="1"/>
    <x v="11"/>
    <m/>
    <s v="Arbustal"/>
    <s v="Gustavo Rodriguez"/>
    <s v="Arbustivo 1.5-5 m"/>
    <s v="Pristimantis palmeri"/>
    <n v="1"/>
    <s v="Cantando a borde de quebrada"/>
    <m/>
    <m/>
    <m/>
    <m/>
    <s v="Auditivo"/>
  </r>
  <r>
    <d v="2022-11-15T00:00:00"/>
    <m/>
    <m/>
    <d v="1899-12-30T20:54:41"/>
    <n v="-76.647106669999999"/>
    <n v="3.3494999999999999"/>
    <n v="2397"/>
    <e v="#DIV/0!"/>
    <x v="7"/>
    <e v="#DIV/0!"/>
    <e v="#DIV/0!"/>
    <m/>
    <x v="2"/>
    <m/>
    <x v="1"/>
    <x v="11"/>
    <m/>
    <s v="Arbustal"/>
    <s v="Andrea Guazaquillo"/>
    <s v="Herbaceo 0.3-1.5 m"/>
    <s v="Pristimantis erythropleura"/>
    <n v="1"/>
    <m/>
    <m/>
    <m/>
    <m/>
    <m/>
    <s v="Observacion"/>
  </r>
  <r>
    <d v="2022-11-15T00:00:00"/>
    <m/>
    <m/>
    <d v="1899-12-30T21:04:45"/>
    <n v="-76.647056669999998"/>
    <n v="3.3493866670000001"/>
    <n v="2397"/>
    <e v="#DIV/0!"/>
    <x v="7"/>
    <e v="#DIV/0!"/>
    <e v="#DIV/0!"/>
    <m/>
    <x v="2"/>
    <m/>
    <x v="1"/>
    <x v="11"/>
    <m/>
    <s v="Bosque ribereño"/>
    <s v="Gustavo Rodriguez"/>
    <s v="Herbaceo 0.3-1.5 m"/>
    <s v="Pristimantis erythropleura"/>
    <n v="1"/>
    <m/>
    <m/>
    <m/>
    <m/>
    <m/>
    <s v="Observacion"/>
  </r>
  <r>
    <d v="2022-11-15T00:00:00"/>
    <m/>
    <m/>
    <d v="1899-12-30T21:25:13"/>
    <n v="-76.647163329999998"/>
    <n v="3.3486233329999999"/>
    <n v="2397"/>
    <e v="#DIV/0!"/>
    <x v="7"/>
    <e v="#DIV/0!"/>
    <e v="#DIV/0!"/>
    <m/>
    <x v="2"/>
    <m/>
    <x v="0"/>
    <x v="11"/>
    <m/>
    <s v="Bosque ribereño"/>
    <s v="Andrea Guazaquillo"/>
    <s v="Herbaceo 0.3-1.5 m"/>
    <s v="Centrolene robledoi"/>
    <n v="1"/>
    <m/>
    <m/>
    <m/>
    <m/>
    <m/>
    <s v="Observacion"/>
  </r>
  <r>
    <d v="2022-11-15T00:00:00"/>
    <m/>
    <m/>
    <d v="1899-12-30T21:22:01"/>
    <n v="-76.647121670000004"/>
    <n v="3.3487149999999999"/>
    <n v="2397"/>
    <e v="#DIV/0!"/>
    <x v="7"/>
    <e v="#DIV/0!"/>
    <e v="#DIV/0!"/>
    <m/>
    <x v="2"/>
    <m/>
    <x v="0"/>
    <x v="11"/>
    <m/>
    <s v="Bosque ribereño"/>
    <s v="Diana Murillo"/>
    <s v="Herbaceo 0.3-1.5 m"/>
    <s v="Pristimantis erythropleura"/>
    <n v="1"/>
    <m/>
    <m/>
    <m/>
    <m/>
    <m/>
    <s v="Observacion"/>
  </r>
  <r>
    <d v="2022-11-02T00:00:00"/>
    <m/>
    <m/>
    <d v="1899-12-30T21:00:40"/>
    <n v="-76.678376670000006"/>
    <n v="3.4022016669999999"/>
    <n v="3035"/>
    <e v="#DIV/0!"/>
    <x v="7"/>
    <e v="#DIV/0!"/>
    <e v="#DIV/0!"/>
    <m/>
    <x v="3"/>
    <m/>
    <x v="0"/>
    <x v="19"/>
    <m/>
    <s v="Bosque primario"/>
    <s v="Oscar Cuellar"/>
    <s v="Herbaceo 0.3-1.5 m"/>
    <s v="Pristimantis calcaratus"/>
    <n v="1"/>
    <s v="Juvenil"/>
    <m/>
    <m/>
    <m/>
    <m/>
    <s v="Observacion"/>
  </r>
  <r>
    <d v="2022-11-02T00:00:00"/>
    <m/>
    <m/>
    <d v="1899-12-30T21:02:55"/>
    <n v="-76.678399999999996"/>
    <n v="3.402113333"/>
    <n v="3058"/>
    <e v="#DIV/0!"/>
    <x v="7"/>
    <e v="#DIV/0!"/>
    <e v="#DIV/0!"/>
    <m/>
    <x v="3"/>
    <m/>
    <x v="0"/>
    <x v="19"/>
    <m/>
    <s v="Bosque primario"/>
    <s v="Oscar Cuellar"/>
    <s v="Herbaceo 0.3-1.5 m"/>
    <s v="Pristimantis calcaratus"/>
    <n v="1"/>
    <s v="Juvenil"/>
    <m/>
    <m/>
    <m/>
    <m/>
    <s v="Observacion"/>
  </r>
  <r>
    <d v="2022-11-02T00:00:00"/>
    <m/>
    <m/>
    <d v="1899-12-30T20:51:43"/>
    <n v="-76.67795667"/>
    <n v="3.4023300000000001"/>
    <n v="3028"/>
    <e v="#DIV/0!"/>
    <x v="7"/>
    <e v="#DIV/0!"/>
    <e v="#DIV/0!"/>
    <m/>
    <x v="3"/>
    <m/>
    <x v="0"/>
    <x v="19"/>
    <m/>
    <s v="Bosque primario"/>
    <s v="Oscar Cuellar"/>
    <s v="Herbaceo 0.3-1.5 m"/>
    <s v="Pristimantis calcaratus"/>
    <n v="1"/>
    <s v="Sobre hoja de helecho"/>
    <m/>
    <m/>
    <m/>
    <m/>
    <s v="Observacion"/>
  </r>
  <r>
    <d v="2022-11-02T00:00:00"/>
    <m/>
    <m/>
    <d v="1899-12-30T21:49:43"/>
    <n v="-76.680293329999998"/>
    <n v="3.4007516670000002"/>
    <n v="3025"/>
    <e v="#DIV/0!"/>
    <x v="7"/>
    <e v="#DIV/0!"/>
    <e v="#DIV/0!"/>
    <m/>
    <x v="3"/>
    <m/>
    <x v="0"/>
    <x v="16"/>
    <m/>
    <s v="Bosque ribereño"/>
    <s v="Oscar Cuellar"/>
    <s v="Herbaceo 0.3-1.5 m"/>
    <s v="Pristimantis calcaratus"/>
    <n v="2"/>
    <s v="Juvenil"/>
    <m/>
    <m/>
    <m/>
    <m/>
    <s v="Observacion"/>
  </r>
  <r>
    <d v="2022-11-02T00:00:00"/>
    <m/>
    <m/>
    <d v="1899-12-30T21:49:43"/>
    <n v="-76.680293329999998"/>
    <n v="3.4007516670000002"/>
    <n v="3025"/>
    <e v="#DIV/0!"/>
    <x v="7"/>
    <e v="#DIV/0!"/>
    <e v="#DIV/0!"/>
    <m/>
    <x v="3"/>
    <m/>
    <x v="0"/>
    <x v="16"/>
    <m/>
    <s v="Bosque ribereño"/>
    <s v="Oscar Cuellar"/>
    <s v="Subarboreo 5-12 m"/>
    <s v="Hyloscirtus larinopygion"/>
    <n v="1"/>
    <s v="Cantando a borde de quebrada"/>
    <m/>
    <m/>
    <m/>
    <m/>
    <s v="Auditivo"/>
  </r>
  <r>
    <d v="2022-11-02T00:00:00"/>
    <m/>
    <m/>
    <d v="1899-12-30T22:05:58"/>
    <n v="-76.680454999999995"/>
    <n v="3.4010750000000001"/>
    <n v="3028"/>
    <e v="#DIV/0!"/>
    <x v="7"/>
    <e v="#DIV/0!"/>
    <e v="#DIV/0!"/>
    <m/>
    <x v="3"/>
    <m/>
    <x v="0"/>
    <x v="16"/>
    <m/>
    <s v="Bosque ribereño"/>
    <s v="Oscar Cuellar"/>
    <s v="Rasante &lt;0.3 m"/>
    <s v="Pristimantis capitonis"/>
    <n v="1"/>
    <s v="Juvenil"/>
    <m/>
    <m/>
    <m/>
    <m/>
    <s v="Observacion"/>
  </r>
  <r>
    <d v="2022-11-02T00:00:00"/>
    <m/>
    <m/>
    <d v="1899-12-30T22:05:58"/>
    <n v="-76.680454999999995"/>
    <n v="3.4010750000000001"/>
    <m/>
    <e v="#DIV/0!"/>
    <x v="7"/>
    <e v="#DIV/0!"/>
    <e v="#DIV/0!"/>
    <m/>
    <x v="3"/>
    <m/>
    <x v="0"/>
    <x v="16"/>
    <m/>
    <s v="Bosque ribereño"/>
    <s v="Oscar Cuellar"/>
    <s v="Subarboreo 5-12 m"/>
    <s v="Hyloscirtus larinopygion"/>
    <n v="2"/>
    <s v="A borde de quebrada"/>
    <m/>
    <m/>
    <m/>
    <m/>
    <s v="Auditivo"/>
  </r>
  <r>
    <d v="2022-11-02T00:00:00"/>
    <m/>
    <m/>
    <d v="1899-12-30T22:11:27"/>
    <n v="-76.680671669999995"/>
    <n v="3.4010233329999999"/>
    <n v="3028"/>
    <e v="#DIV/0!"/>
    <x v="7"/>
    <e v="#DIV/0!"/>
    <e v="#DIV/0!"/>
    <m/>
    <x v="3"/>
    <m/>
    <x v="0"/>
    <x v="16"/>
    <m/>
    <s v="Bosque primario"/>
    <s v="Oscar Cuellar"/>
    <s v="Rasante &lt;0.3 m"/>
    <s v="Pristimantis buckleyi"/>
    <n v="1"/>
    <s v="Juvenil"/>
    <m/>
    <m/>
    <s v="Procesos de remoción en masa"/>
    <m/>
    <s v="Observacion"/>
  </r>
  <r>
    <d v="2022-11-02T00:00:00"/>
    <m/>
    <m/>
    <d v="1899-12-30T21:31:34"/>
    <n v="-76.679093330000001"/>
    <n v="3.4007183329999999"/>
    <m/>
    <e v="#DIV/0!"/>
    <x v="7"/>
    <e v="#DIV/0!"/>
    <e v="#DIV/0!"/>
    <m/>
    <x v="3"/>
    <m/>
    <x v="2"/>
    <x v="16"/>
    <m/>
    <m/>
    <s v="Oscar Cuellar"/>
    <m/>
    <s v="Ninguna"/>
    <n v="0"/>
    <m/>
    <m/>
    <m/>
    <s v="Procesos de remoción en masa"/>
    <m/>
    <m/>
  </r>
  <r>
    <d v="2022-11-02T00:00:00"/>
    <m/>
    <m/>
    <d v="1899-12-30T21:45:32"/>
    <n v="-76.680066670000002"/>
    <n v="3.400956667"/>
    <m/>
    <e v="#DIV/0!"/>
    <x v="7"/>
    <e v="#DIV/0!"/>
    <e v="#DIV/0!"/>
    <m/>
    <x v="3"/>
    <m/>
    <x v="1"/>
    <x v="16"/>
    <m/>
    <m/>
    <s v="Oscar Cuellar"/>
    <m/>
    <s v="Ninguna"/>
    <n v="0"/>
    <m/>
    <m/>
    <m/>
    <m/>
    <m/>
    <m/>
  </r>
  <r>
    <d v="2022-11-02T00:00:00"/>
    <m/>
    <m/>
    <d v="1899-12-30T20:46:45"/>
    <n v="-76.677778329999995"/>
    <n v="3.4024483330000002"/>
    <m/>
    <e v="#DIV/0!"/>
    <x v="7"/>
    <e v="#DIV/0!"/>
    <e v="#DIV/0!"/>
    <m/>
    <x v="3"/>
    <m/>
    <x v="1"/>
    <x v="19"/>
    <m/>
    <m/>
    <s v="Oscar Cuellar"/>
    <m/>
    <s v="Ninguna"/>
    <n v="0"/>
    <m/>
    <m/>
    <m/>
    <m/>
    <m/>
    <m/>
  </r>
  <r>
    <d v="2022-11-02T00:00:00"/>
    <m/>
    <m/>
    <d v="1899-12-30T20:06:40"/>
    <n v="-76.676443329999998"/>
    <n v="3.4024749999999999"/>
    <n v="2978"/>
    <e v="#DIV/0!"/>
    <x v="7"/>
    <e v="#DIV/0!"/>
    <e v="#DIV/0!"/>
    <m/>
    <x v="3"/>
    <m/>
    <x v="2"/>
    <x v="19"/>
    <m/>
    <s v="Bosque primario"/>
    <s v="Oscar Cuellar"/>
    <s v="Herbaceo 0.3-1.5 m"/>
    <s v="Pristimantis calcaratus"/>
    <n v="1"/>
    <s v="Perchado sobre helecho"/>
    <m/>
    <m/>
    <m/>
    <m/>
    <s v="Observacion"/>
  </r>
  <r>
    <d v="2022-12-13T00:00:00"/>
    <m/>
    <m/>
    <d v="1899-12-30T21:50:10"/>
    <n v="-76.880615000000006"/>
    <n v="3.5794266669999999"/>
    <n v="620"/>
    <e v="#DIV/0!"/>
    <x v="7"/>
    <e v="#DIV/0!"/>
    <e v="#DIV/0!"/>
    <m/>
    <x v="0"/>
    <m/>
    <x v="3"/>
    <x v="2"/>
    <m/>
    <s v="Bosque primario"/>
    <s v="Gustavo Rodriguez"/>
    <s v="Rasante &lt;0.3 m"/>
    <s v="Oophaga lehmanni"/>
    <n v="1"/>
    <m/>
    <m/>
    <m/>
    <m/>
    <m/>
    <s v="Observacion"/>
  </r>
  <r>
    <d v="2022-12-13T00:00:00"/>
    <m/>
    <m/>
    <d v="1899-12-30T21:52:17"/>
    <n v="-76.880726670000001"/>
    <n v="3.5793849999999998"/>
    <n v="620"/>
    <e v="#DIV/0!"/>
    <x v="7"/>
    <e v="#DIV/0!"/>
    <e v="#DIV/0!"/>
    <m/>
    <x v="0"/>
    <m/>
    <x v="3"/>
    <x v="2"/>
    <m/>
    <s v="Bosque primario"/>
    <s v="Luis Mamian"/>
    <s v="Herbaceo 0.3-1.5 m"/>
    <s v="Pristimantis afrox"/>
    <n v="1"/>
    <m/>
    <m/>
    <m/>
    <m/>
    <m/>
    <s v="Observacion"/>
  </r>
  <r>
    <d v="2022-12-13T00:00:00"/>
    <m/>
    <m/>
    <d v="1899-12-30T21:42:34"/>
    <n v="-76.880636670000001"/>
    <n v="3.5791566669999999"/>
    <n v="620"/>
    <e v="#DIV/0!"/>
    <x v="7"/>
    <e v="#DIV/0!"/>
    <e v="#DIV/0!"/>
    <m/>
    <x v="0"/>
    <m/>
    <x v="3"/>
    <x v="2"/>
    <m/>
    <s v="Bosque primario"/>
    <m/>
    <s v="Rasante &lt;0.3 m"/>
    <s v="Pristimantis latidiscus"/>
    <n v="2"/>
    <m/>
    <m/>
    <m/>
    <m/>
    <m/>
    <s v="Observacion"/>
  </r>
  <r>
    <d v="2022-12-13T00:00:00"/>
    <m/>
    <m/>
    <d v="1899-12-30T21:36:43"/>
    <n v="-76.880854999999997"/>
    <n v="3.5791983329999999"/>
    <m/>
    <e v="#DIV/0!"/>
    <x v="7"/>
    <e v="#DIV/0!"/>
    <e v="#DIV/0!"/>
    <m/>
    <x v="0"/>
    <m/>
    <x v="3"/>
    <x v="2"/>
    <m/>
    <s v="Bosque primario"/>
    <m/>
    <s v="Herbaceo 0.3-1.5 m"/>
    <s v="Pristimantis afrox"/>
    <n v="1"/>
    <m/>
    <m/>
    <m/>
    <m/>
    <m/>
    <s v="Observacion"/>
  </r>
  <r>
    <d v="2022-12-13T00:00:00"/>
    <m/>
    <m/>
    <d v="1899-12-30T21:36:43"/>
    <n v="-76.880854999999997"/>
    <n v="3.5791983329999999"/>
    <m/>
    <e v="#DIV/0!"/>
    <x v="7"/>
    <e v="#DIV/0!"/>
    <e v="#DIV/0!"/>
    <m/>
    <x v="0"/>
    <m/>
    <x v="3"/>
    <x v="2"/>
    <m/>
    <s v="Bosque primario"/>
    <m/>
    <s v="Herbaceo 0.3-1.5 m"/>
    <s v="Oophaga lehmanni"/>
    <n v="1"/>
    <m/>
    <m/>
    <m/>
    <m/>
    <m/>
    <s v="Observacion"/>
  </r>
  <r>
    <d v="2022-12-13T00:00:00"/>
    <m/>
    <m/>
    <d v="1899-12-30T21:15:42"/>
    <n v="-76.880555000000001"/>
    <n v="3.578601667"/>
    <n v="620"/>
    <e v="#DIV/0!"/>
    <x v="7"/>
    <e v="#DIV/0!"/>
    <e v="#DIV/0!"/>
    <m/>
    <x v="0"/>
    <m/>
    <x v="2"/>
    <x v="2"/>
    <m/>
    <s v="Bosque primario"/>
    <s v="Gustavo Rodriguez"/>
    <s v="Herbaceo 0.3-1.5 m"/>
    <s v="Oophaga lehmanni"/>
    <n v="1"/>
    <m/>
    <m/>
    <m/>
    <m/>
    <m/>
    <s v="Observacion"/>
  </r>
  <r>
    <d v="2022-12-13T00:00:00"/>
    <m/>
    <m/>
    <d v="1899-12-30T21:27:24"/>
    <n v="-76.880573330000004"/>
    <n v="3.5788383330000002"/>
    <n v="620"/>
    <e v="#DIV/0!"/>
    <x v="7"/>
    <e v="#DIV/0!"/>
    <e v="#DIV/0!"/>
    <m/>
    <x v="0"/>
    <m/>
    <x v="2"/>
    <x v="2"/>
    <m/>
    <s v="Bosque primario"/>
    <s v="Gustavo González"/>
    <s v="Rasante &lt;0.3 m"/>
    <s v="Oophaga lehmanni"/>
    <n v="1"/>
    <m/>
    <m/>
    <m/>
    <m/>
    <m/>
    <s v="Observacion"/>
  </r>
  <r>
    <d v="2022-12-13T00:00:00"/>
    <m/>
    <m/>
    <d v="1899-12-30T21:00:41"/>
    <n v="-76.880870000000002"/>
    <n v="3.5783133330000001"/>
    <n v="620"/>
    <e v="#DIV/0!"/>
    <x v="7"/>
    <e v="#DIV/0!"/>
    <e v="#DIV/0!"/>
    <m/>
    <x v="0"/>
    <m/>
    <x v="2"/>
    <x v="2"/>
    <m/>
    <s v="Bosque ribereño"/>
    <m/>
    <s v="Rasante &lt;0.3 m"/>
    <s v="Rhaebo haematiticus"/>
    <n v="1"/>
    <s v="A borde de quebrada"/>
    <m/>
    <m/>
    <m/>
    <m/>
    <s v="Observacion"/>
  </r>
  <r>
    <d v="2022-12-13T00:00:00"/>
    <m/>
    <m/>
    <d v="1899-12-30T20:33:31"/>
    <n v="-76.880705000000006"/>
    <n v="3.5771283330000001"/>
    <n v="620"/>
    <e v="#DIV/0!"/>
    <x v="7"/>
    <e v="#DIV/0!"/>
    <e v="#DIV/0!"/>
    <m/>
    <x v="0"/>
    <m/>
    <x v="0"/>
    <x v="2"/>
    <m/>
    <s v="Bosque primario"/>
    <s v="Gustavo González"/>
    <s v="Herbaceo 0.3-1.5 m"/>
    <s v="Hyalinobatrachium aureoguttatum"/>
    <n v="1"/>
    <m/>
    <m/>
    <m/>
    <m/>
    <m/>
    <s v="Auditivo"/>
  </r>
  <r>
    <d v="2022-12-13T00:00:00"/>
    <m/>
    <m/>
    <d v="1899-12-30T20:33:31"/>
    <n v="-76.880705000000006"/>
    <n v="3.5771283330000001"/>
    <n v="620"/>
    <e v="#DIV/0!"/>
    <x v="7"/>
    <e v="#DIV/0!"/>
    <e v="#DIV/0!"/>
    <m/>
    <x v="0"/>
    <m/>
    <x v="0"/>
    <x v="2"/>
    <m/>
    <s v="Bosque primario"/>
    <s v="Gustavo González"/>
    <s v="Herbaceo 0.3-1.5 m"/>
    <s v="Espadarana prosoblepon"/>
    <n v="1"/>
    <m/>
    <m/>
    <m/>
    <m/>
    <m/>
    <s v="Auditivo"/>
  </r>
  <r>
    <d v="2022-12-13T00:00:00"/>
    <m/>
    <m/>
    <d v="1899-12-30T16:15:55"/>
    <n v="-76.881349999999998"/>
    <n v="3.5789149999999998"/>
    <n v="620"/>
    <e v="#DIV/0!"/>
    <x v="7"/>
    <e v="#DIV/0!"/>
    <e v="#DIV/0!"/>
    <m/>
    <x v="0"/>
    <m/>
    <x v="2"/>
    <x v="2"/>
    <m/>
    <s v="Bosque primario"/>
    <s v="Gustavo Rodriguez"/>
    <s v="Rasante &lt;0.3 m"/>
    <s v="Oophaga lehmanni"/>
    <n v="1"/>
    <m/>
    <m/>
    <m/>
    <m/>
    <m/>
    <s v="Observacion"/>
  </r>
  <r>
    <d v="2022-12-13T00:00:00"/>
    <m/>
    <m/>
    <d v="1899-12-30T16:05:09"/>
    <n v="-76.880971669999994"/>
    <n v="3.5786983330000002"/>
    <n v="619"/>
    <e v="#DIV/0!"/>
    <x v="7"/>
    <e v="#DIV/0!"/>
    <e v="#DIV/0!"/>
    <m/>
    <x v="0"/>
    <m/>
    <x v="2"/>
    <x v="2"/>
    <m/>
    <s v="Bosque primario"/>
    <s v="Gustavo González"/>
    <s v="Rasante &lt;0.3 m"/>
    <s v="Oophaga lehmanni"/>
    <n v="1"/>
    <m/>
    <m/>
    <m/>
    <m/>
    <m/>
    <s v="Auditivo"/>
  </r>
  <r>
    <d v="2022-12-13T00:00:00"/>
    <m/>
    <m/>
    <d v="1899-12-30T15:57:25"/>
    <n v="-76.880786670000006"/>
    <n v="3.5787300000000002"/>
    <n v="619"/>
    <e v="#DIV/0!"/>
    <x v="7"/>
    <e v="#DIV/0!"/>
    <e v="#DIV/0!"/>
    <m/>
    <x v="0"/>
    <m/>
    <x v="2"/>
    <x v="2"/>
    <m/>
    <s v="Bosque primario"/>
    <s v="Jhonatan Vanegas"/>
    <s v="Arbustivo 1.5-5 m"/>
    <s v="Oophaga lehmanni"/>
    <n v="1"/>
    <m/>
    <m/>
    <m/>
    <m/>
    <m/>
    <s v="Observacion"/>
  </r>
  <r>
    <d v="2022-12-13T00:00:00"/>
    <m/>
    <m/>
    <d v="1899-12-30T15:35:55"/>
    <n v="-76.881076669999999"/>
    <n v="3.5782366670000001"/>
    <m/>
    <e v="#DIV/0!"/>
    <x v="7"/>
    <e v="#DIV/0!"/>
    <e v="#DIV/0!"/>
    <m/>
    <x v="0"/>
    <m/>
    <x v="1"/>
    <x v="2"/>
    <m/>
    <m/>
    <m/>
    <m/>
    <s v="Ninguna"/>
    <n v="0"/>
    <m/>
    <m/>
    <m/>
    <m/>
    <m/>
    <m/>
  </r>
  <r>
    <d v="2022-12-13T00:00:00"/>
    <m/>
    <m/>
    <d v="1899-12-30T15:22:50"/>
    <n v="-76.880523330000003"/>
    <n v="3.5773216670000001"/>
    <n v="619"/>
    <e v="#DIV/0!"/>
    <x v="7"/>
    <e v="#DIV/0!"/>
    <e v="#DIV/0!"/>
    <m/>
    <x v="0"/>
    <m/>
    <x v="0"/>
    <x v="2"/>
    <m/>
    <s v="Bosque primario"/>
    <s v="Gustavo Rodriguez"/>
    <s v="Rasante &lt;0.3 m"/>
    <s v="Craugastor raniformis"/>
    <n v="1"/>
    <m/>
    <m/>
    <m/>
    <m/>
    <m/>
    <s v="Observacion"/>
  </r>
  <r>
    <d v="2022-12-14T00:00:00"/>
    <m/>
    <m/>
    <d v="1899-12-30T21:04:17"/>
    <n v="-76.877613330000003"/>
    <n v="3.5809483329999998"/>
    <n v="600"/>
    <e v="#DIV/0!"/>
    <x v="7"/>
    <e v="#DIV/0!"/>
    <e v="#DIV/0!"/>
    <m/>
    <x v="0"/>
    <m/>
    <x v="0"/>
    <x v="21"/>
    <m/>
    <s v="Bosque secundario"/>
    <s v="Luis Mamian"/>
    <s v="Herbaceo 0.3-1.5 m"/>
    <s v="Agalychnis spurrelli"/>
    <n v="1"/>
    <m/>
    <m/>
    <m/>
    <m/>
    <m/>
    <s v="Observacion"/>
  </r>
  <r>
    <d v="2022-12-14T00:00:00"/>
    <m/>
    <m/>
    <d v="1899-12-30T20:49:39"/>
    <n v="-76.877570000000006"/>
    <n v="3.5815199999999998"/>
    <n v="600"/>
    <e v="#DIV/0!"/>
    <x v="7"/>
    <e v="#DIV/0!"/>
    <e v="#DIV/0!"/>
    <m/>
    <x v="0"/>
    <m/>
    <x v="0"/>
    <x v="21"/>
    <m/>
    <s v="Bosque secundario"/>
    <s v="Jhonatan Vanegas"/>
    <s v="Herbaceo 0.3-1.5 m"/>
    <s v="Smilisca phaeota"/>
    <n v="1"/>
    <m/>
    <m/>
    <m/>
    <s v="Procesos de remoción en masa"/>
    <m/>
    <s v="Observacion"/>
  </r>
  <r>
    <d v="2022-12-14T00:00:00"/>
    <m/>
    <m/>
    <d v="1899-12-30T21:23:18"/>
    <n v="-76.876528329999999"/>
    <n v="3.579555"/>
    <n v="600"/>
    <e v="#DIV/0!"/>
    <x v="7"/>
    <e v="#DIV/0!"/>
    <e v="#DIV/0!"/>
    <m/>
    <x v="0"/>
    <m/>
    <x v="0"/>
    <x v="21"/>
    <m/>
    <s v="Bosque secundario"/>
    <s v="Jennifer chavez"/>
    <s v="Herbaceo 0.3-1.5 m"/>
    <s v="Pristimantis achatinus"/>
    <n v="1"/>
    <m/>
    <m/>
    <m/>
    <m/>
    <m/>
    <s v="Observacion"/>
  </r>
  <r>
    <d v="2023-11-15T00:00:00"/>
    <m/>
    <m/>
    <d v="1899-12-30T00:00:00"/>
    <n v="-76.646100000000004"/>
    <n v="3.3496999999999999"/>
    <n v="2300"/>
    <s v=""/>
    <x v="8"/>
    <n v="8"/>
    <n v="27.5"/>
    <m/>
    <x v="2"/>
    <m/>
    <x v="2"/>
    <x v="11"/>
    <m/>
    <s v="Bosque secundario"/>
    <s v="Andrea Guazaquillo"/>
    <s v="Herbaceo 0.3-1.5 m"/>
    <s v="Pristimantis palmeri"/>
    <n v="1"/>
    <m/>
    <m/>
    <m/>
    <s v="Deforestación"/>
    <m/>
    <s v="Observacion"/>
  </r>
  <r>
    <d v="2023-11-15T00:00:00"/>
    <m/>
    <m/>
    <d v="1899-12-30T00:00:00"/>
    <n v="-76.646500000000003"/>
    <n v="3.3498999999999999"/>
    <n v="2300"/>
    <s v=""/>
    <x v="8"/>
    <n v="8"/>
    <n v="27.5"/>
    <m/>
    <x v="2"/>
    <m/>
    <x v="2"/>
    <x v="11"/>
    <m/>
    <s v="Bosque secundario"/>
    <s v="Alvaro Fierro"/>
    <s v="Herbaceo 0.3-1.5 m"/>
    <s v="Pristimantis erythropleura"/>
    <n v="1"/>
    <m/>
    <m/>
    <m/>
    <m/>
    <m/>
    <s v="Observacion"/>
  </r>
  <r>
    <d v="2023-10-13T00:00:00"/>
    <m/>
    <m/>
    <d v="1899-12-30T21:35:05"/>
    <n v="-76.723174999999998"/>
    <n v="3.4800183329999999"/>
    <n v="2100"/>
    <s v=""/>
    <x v="8"/>
    <n v="10"/>
    <n v="26"/>
    <m/>
    <x v="1"/>
    <m/>
    <x v="3"/>
    <x v="8"/>
    <m/>
    <s v="Bosque primario"/>
    <s v="Leonardo Belalcazar"/>
    <s v="Herbaceo 0.3-1.5 m"/>
    <s v="Pristimantis molybrignus"/>
    <n v="1"/>
    <m/>
    <m/>
    <m/>
    <m/>
    <m/>
    <s v="Observacion"/>
  </r>
  <r>
    <d v="2023-10-13T00:00:00"/>
    <m/>
    <m/>
    <d v="1899-12-30T20:03:16"/>
    <n v="-76.722671669999997"/>
    <n v="3.477686667"/>
    <n v="2100"/>
    <s v=""/>
    <x v="8"/>
    <n v="10"/>
    <n v="22.5"/>
    <m/>
    <x v="1"/>
    <m/>
    <x v="1"/>
    <x v="8"/>
    <m/>
    <s v="Bosque primario"/>
    <s v="Leonardo Belalcazar"/>
    <s v="Herbaceo 0.3-1.5 m"/>
    <s v="Pristimantis molybrignus"/>
    <n v="1"/>
    <m/>
    <m/>
    <m/>
    <m/>
    <m/>
    <s v="Observacion"/>
  </r>
  <r>
    <d v="2023-10-13T00:00:00"/>
    <m/>
    <m/>
    <d v="1899-12-30T20:03:16"/>
    <n v="-76.722671669999997"/>
    <n v="3.477686667"/>
    <n v="2100"/>
    <s v=""/>
    <x v="8"/>
    <n v="10"/>
    <n v="22.5"/>
    <m/>
    <x v="1"/>
    <m/>
    <x v="1"/>
    <x v="8"/>
    <m/>
    <s v="Bosque primario"/>
    <s v="Leonardo Belalcazar"/>
    <s v="Herbaceo 0.3-1.5 m"/>
    <s v="Pristimantis molybrignus"/>
    <n v="2"/>
    <m/>
    <m/>
    <m/>
    <m/>
    <m/>
    <s v="Observacion"/>
  </r>
  <r>
    <d v="2023-10-13T00:00:00"/>
    <m/>
    <m/>
    <d v="1899-12-30T22:34:34"/>
    <n v="-76.723664999999997"/>
    <n v="3.4834966669999998"/>
    <m/>
    <s v=""/>
    <x v="8"/>
    <n v="15"/>
    <n v="20"/>
    <m/>
    <x v="1"/>
    <m/>
    <x v="1"/>
    <x v="6"/>
    <m/>
    <m/>
    <m/>
    <m/>
    <s v="Ninguna"/>
    <n v="0"/>
    <m/>
    <m/>
    <m/>
    <m/>
    <m/>
    <m/>
  </r>
  <r>
    <d v="2023-10-13T00:00:00"/>
    <m/>
    <m/>
    <d v="1899-12-30T21:40:48"/>
    <n v="-76.723211669999998"/>
    <n v="3.4803066669999998"/>
    <n v="2100"/>
    <s v=""/>
    <x v="8"/>
    <n v="10"/>
    <n v="21"/>
    <m/>
    <x v="1"/>
    <m/>
    <x v="4"/>
    <x v="8"/>
    <m/>
    <s v="Bosque primario"/>
    <s v="Alvaro Fierro"/>
    <s v="Herbaceo 0.3-1.5 m"/>
    <s v="Bolitoglossa walkeri"/>
    <n v="1"/>
    <m/>
    <m/>
    <m/>
    <m/>
    <m/>
    <s v="Observacion"/>
  </r>
  <r>
    <d v="2023-10-13T00:00:00"/>
    <m/>
    <m/>
    <d v="1899-12-30T22:26:32"/>
    <n v="-76.723100000000002"/>
    <n v="3.4828983330000001"/>
    <n v="2100"/>
    <s v=""/>
    <x v="8"/>
    <n v="11"/>
    <n v="18.5"/>
    <m/>
    <x v="1"/>
    <m/>
    <x v="0"/>
    <x v="6"/>
    <m/>
    <s v="Bosque primario"/>
    <s v="Alvaro Fierro"/>
    <s v="Herbaceo 0.3-1.5 m"/>
    <s v="Pristimantis palmeri"/>
    <n v="1"/>
    <m/>
    <m/>
    <m/>
    <m/>
    <m/>
    <s v="Observacion"/>
  </r>
  <r>
    <d v="2023-10-13T00:00:00"/>
    <m/>
    <m/>
    <d v="1899-12-30T20:50:08"/>
    <n v="-76.722880000000004"/>
    <n v="3.4789266670000001"/>
    <n v="2100"/>
    <s v=""/>
    <x v="8"/>
    <n v="10"/>
    <n v="30"/>
    <m/>
    <x v="1"/>
    <m/>
    <x v="2"/>
    <x v="8"/>
    <m/>
    <s v="Bosque primario"/>
    <s v="Óscar Cuellar"/>
    <s v="Arbustivo 1.5-5 m"/>
    <s v="Pristimantis molybrignus"/>
    <n v="1"/>
    <m/>
    <m/>
    <m/>
    <m/>
    <m/>
    <s v="Observacion"/>
  </r>
  <r>
    <d v="2023-10-13T00:00:00"/>
    <m/>
    <m/>
    <d v="1899-12-30T21:55:40"/>
    <n v="-76.723221670000001"/>
    <n v="3.4806900000000001"/>
    <n v="2100"/>
    <s v=""/>
    <x v="8"/>
    <n v="10"/>
    <n v="21"/>
    <m/>
    <x v="1"/>
    <m/>
    <x v="4"/>
    <x v="8"/>
    <m/>
    <s v="Bosque primario"/>
    <m/>
    <s v="Herbaceo 0.3-1.5 m"/>
    <s v="Pristimantis alius"/>
    <n v="1"/>
    <m/>
    <m/>
    <m/>
    <m/>
    <m/>
    <s v="Observacion"/>
  </r>
  <r>
    <d v="2023-10-13T00:00:00"/>
    <m/>
    <m/>
    <d v="1899-12-30T20:16:54"/>
    <n v="-76.722768329999994"/>
    <n v="3.4780600000000002"/>
    <n v="2100"/>
    <s v=""/>
    <x v="8"/>
    <n v="10"/>
    <n v="30"/>
    <m/>
    <x v="1"/>
    <m/>
    <x v="2"/>
    <x v="8"/>
    <m/>
    <s v="Bosque primario"/>
    <s v="Óscar Cuellar"/>
    <s v="Herbaceo 0.3-1.5 m"/>
    <s v="Pristimantis silverstonei"/>
    <n v="1"/>
    <m/>
    <m/>
    <m/>
    <m/>
    <m/>
    <s v="Auditivo"/>
  </r>
  <r>
    <d v="2023-10-13T00:00:00"/>
    <m/>
    <m/>
    <d v="1899-12-30T20:16:54"/>
    <n v="-76.722768329999994"/>
    <n v="3.4780600000000002"/>
    <n v="2100"/>
    <s v=""/>
    <x v="8"/>
    <n v="10"/>
    <n v="30"/>
    <m/>
    <x v="1"/>
    <m/>
    <x v="2"/>
    <x v="8"/>
    <m/>
    <s v="Bosque primario"/>
    <s v="Leonardo Belalcazar"/>
    <s v="Herbaceo 0.3-1.5 m"/>
    <s v="Pristimantis molybrignus"/>
    <n v="2"/>
    <m/>
    <m/>
    <m/>
    <m/>
    <m/>
    <s v="Observacion"/>
  </r>
  <r>
    <d v="2023-10-13T00:00:00"/>
    <m/>
    <m/>
    <d v="1899-12-30T20:16:54"/>
    <n v="-76.722768329999994"/>
    <n v="3.4780600000000002"/>
    <n v="2100"/>
    <s v=""/>
    <x v="8"/>
    <n v="10"/>
    <n v="30"/>
    <m/>
    <x v="1"/>
    <m/>
    <x v="2"/>
    <x v="8"/>
    <m/>
    <s v="Bosque primario"/>
    <s v="Danny Mora"/>
    <s v="Herbaceo 0.3-1.5 m"/>
    <s v="Hypodactylus mantipus"/>
    <n v="1"/>
    <m/>
    <m/>
    <m/>
    <m/>
    <m/>
    <s v="Observacion"/>
  </r>
  <r>
    <d v="2023-10-13T00:00:00"/>
    <m/>
    <m/>
    <d v="1899-12-30T21:42:07"/>
    <n v="-76.723213329999993"/>
    <n v="3.4802583330000001"/>
    <n v="2100"/>
    <s v=""/>
    <x v="8"/>
    <n v="10"/>
    <n v="21"/>
    <m/>
    <x v="1"/>
    <m/>
    <x v="4"/>
    <x v="8"/>
    <m/>
    <s v="Bosque primario"/>
    <s v="Otro"/>
    <s v="Herbaceo 0.3-1.5 m"/>
    <s v="Pristimantis alius"/>
    <n v="3"/>
    <m/>
    <m/>
    <m/>
    <m/>
    <m/>
    <s v="Observacion"/>
  </r>
  <r>
    <d v="2023-10-13T00:00:00"/>
    <m/>
    <m/>
    <d v="1899-12-30T19:30:09"/>
    <n v="-76.722388330000001"/>
    <n v="3.4772416669999999"/>
    <n v="2100"/>
    <s v=""/>
    <x v="8"/>
    <n v="10"/>
    <n v="22.5"/>
    <m/>
    <x v="1"/>
    <m/>
    <x v="1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19:30:09"/>
    <n v="-76.722388330000001"/>
    <n v="3.4772416669999999"/>
    <n v="2100"/>
    <s v=""/>
    <x v="8"/>
    <n v="10"/>
    <n v="22.5"/>
    <m/>
    <x v="1"/>
    <m/>
    <x v="1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19:40:31"/>
    <n v="-76.722438330000003"/>
    <n v="3.4775783329999999"/>
    <n v="2100"/>
    <s v=""/>
    <x v="8"/>
    <n v="10"/>
    <n v="22.5"/>
    <m/>
    <x v="1"/>
    <m/>
    <x v="1"/>
    <x v="8"/>
    <m/>
    <s v="Bosque primario"/>
    <s v="Óscar Cuellar"/>
    <s v="Herbaceo 0.3-1.5 m"/>
    <s v="Bolitoglossa walkeri"/>
    <n v="1"/>
    <m/>
    <m/>
    <m/>
    <m/>
    <m/>
    <s v="Observacion"/>
  </r>
  <r>
    <d v="2023-10-13T00:00:00"/>
    <m/>
    <m/>
    <d v="1899-12-30T19:40:31"/>
    <n v="-76.722438330000003"/>
    <n v="3.4775783329999999"/>
    <n v="2100"/>
    <s v=""/>
    <x v="8"/>
    <n v="10"/>
    <n v="22.5"/>
    <m/>
    <x v="1"/>
    <m/>
    <x v="1"/>
    <x v="8"/>
    <m/>
    <s v="Bosque primario"/>
    <s v="Óscar Cuellar"/>
    <s v="Herbaceo 0.3-1.5 m"/>
    <s v="Bolitoglossa walkeri"/>
    <n v="1"/>
    <m/>
    <m/>
    <m/>
    <m/>
    <m/>
    <s v="Observacion"/>
  </r>
  <r>
    <d v="2023-10-13T00:00:00"/>
    <m/>
    <m/>
    <d v="1899-12-30T19:40:31"/>
    <n v="-76.722438330000003"/>
    <n v="3.4775783329999999"/>
    <n v="2100"/>
    <s v=""/>
    <x v="8"/>
    <n v="10"/>
    <n v="22.5"/>
    <m/>
    <x v="1"/>
    <m/>
    <x v="1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21:52:51"/>
    <n v="-76.723193330000001"/>
    <n v="3.4806699999999999"/>
    <n v="2100"/>
    <s v=""/>
    <x v="8"/>
    <n v="10"/>
    <n v="21"/>
    <m/>
    <x v="1"/>
    <m/>
    <x v="4"/>
    <x v="8"/>
    <m/>
    <s v="Bosque primario"/>
    <s v="Otro"/>
    <s v="Herbaceo 0.3-1.5 m"/>
    <s v="Pristimantis alius"/>
    <n v="1"/>
    <m/>
    <m/>
    <m/>
    <m/>
    <m/>
    <s v="Observacion"/>
  </r>
  <r>
    <d v="2023-10-13T00:00:00"/>
    <m/>
    <m/>
    <d v="1899-12-30T21:29:22"/>
    <n v="-76.723169999999996"/>
    <n v="3.4798716669999998"/>
    <n v="2100"/>
    <s v=""/>
    <x v="8"/>
    <n v="10"/>
    <n v="26"/>
    <m/>
    <x v="1"/>
    <m/>
    <x v="3"/>
    <x v="8"/>
    <m/>
    <s v="Bosque primario"/>
    <s v="Otro"/>
    <s v="Herbaceo 0.3-1.5 m"/>
    <s v="Pristimantis alius"/>
    <n v="1"/>
    <m/>
    <m/>
    <m/>
    <m/>
    <m/>
    <s v="Observacion"/>
  </r>
  <r>
    <d v="2023-10-13T00:00:00"/>
    <m/>
    <m/>
    <d v="1899-12-30T20:40:35"/>
    <n v="-76.722838330000002"/>
    <n v="3.478723333"/>
    <n v="2100"/>
    <s v=""/>
    <x v="8"/>
    <n v="10"/>
    <n v="30"/>
    <m/>
    <x v="1"/>
    <m/>
    <x v="2"/>
    <x v="8"/>
    <m/>
    <s v="Bosque primario"/>
    <s v="Otro"/>
    <s v="Herbaceo 0.3-1.5 m"/>
    <s v="Pristimantis alius"/>
    <n v="2"/>
    <m/>
    <m/>
    <m/>
    <m/>
    <m/>
    <s v="Observacion"/>
  </r>
  <r>
    <d v="2023-10-13T00:00:00"/>
    <m/>
    <m/>
    <d v="1899-12-30T20:53:37"/>
    <n v="-76.722920000000002"/>
    <n v="3.4789916669999998"/>
    <n v="2100"/>
    <s v=""/>
    <x v="8"/>
    <n v="10"/>
    <n v="30"/>
    <m/>
    <x v="1"/>
    <m/>
    <x v="2"/>
    <x v="8"/>
    <m/>
    <s v="Bosque primario"/>
    <s v="Alvaro Fierro"/>
    <s v="Herbaceo 0.3-1.5 m"/>
    <s v="Pristimantis molybrignus"/>
    <n v="1"/>
    <m/>
    <m/>
    <m/>
    <m/>
    <m/>
    <s v="Observacion"/>
  </r>
  <r>
    <d v="2023-10-13T00:00:00"/>
    <m/>
    <m/>
    <d v="1899-12-30T20:53:37"/>
    <n v="-76.722920000000002"/>
    <n v="3.4789916669999998"/>
    <n v="2100"/>
    <s v=""/>
    <x v="8"/>
    <n v="10"/>
    <n v="30"/>
    <m/>
    <x v="1"/>
    <m/>
    <x v="2"/>
    <x v="8"/>
    <m/>
    <s v="Bosque primario"/>
    <s v="Alvaro Fierro"/>
    <s v="Herbaceo 0.3-1.5 m"/>
    <s v="Bolitoglossa walkeri"/>
    <n v="2"/>
    <m/>
    <m/>
    <m/>
    <m/>
    <m/>
    <s v="Observacion"/>
  </r>
  <r>
    <d v="2023-10-13T00:00:00"/>
    <m/>
    <m/>
    <d v="1899-12-30T21:08:12"/>
    <n v="-76.723034999999996"/>
    <n v="3.479403333"/>
    <n v="2100"/>
    <s v=""/>
    <x v="8"/>
    <n v="10"/>
    <n v="26"/>
    <m/>
    <x v="1"/>
    <m/>
    <x v="3"/>
    <x v="8"/>
    <m/>
    <s v="Bosque primario"/>
    <s v="Óscar Cuellar"/>
    <s v="Herbaceo 0.3-1.5 m"/>
    <s v="Bolitoglossa walkeri"/>
    <n v="1"/>
    <m/>
    <m/>
    <m/>
    <m/>
    <m/>
    <s v="Observacion"/>
  </r>
  <r>
    <d v="2023-10-13T00:00:00"/>
    <m/>
    <m/>
    <d v="1899-12-30T21:08:12"/>
    <n v="-76.723034999999996"/>
    <n v="3.479403333"/>
    <n v="2100"/>
    <s v=""/>
    <x v="8"/>
    <n v="10"/>
    <n v="26"/>
    <m/>
    <x v="1"/>
    <m/>
    <x v="3"/>
    <x v="8"/>
    <m/>
    <s v="Bosque primario"/>
    <s v="Alvaro Fierro"/>
    <s v="Herbaceo 0.3-1.5 m"/>
    <s v="Pristimantis alius"/>
    <n v="1"/>
    <m/>
    <m/>
    <m/>
    <m/>
    <m/>
    <s v="Observacion"/>
  </r>
  <r>
    <d v="2023-10-13T00:00:00"/>
    <m/>
    <m/>
    <d v="1899-12-30T19:25:14"/>
    <n v="-76.722300000000004"/>
    <n v="3.477146667"/>
    <n v="2100"/>
    <s v=""/>
    <x v="8"/>
    <n v="10"/>
    <n v="22.5"/>
    <m/>
    <x v="1"/>
    <m/>
    <x v="1"/>
    <x v="8"/>
    <m/>
    <m/>
    <s v="Otro"/>
    <s v="Rasante &lt;0.3 m"/>
    <s v="Pristimantis alius"/>
    <n v="1"/>
    <m/>
    <m/>
    <m/>
    <m/>
    <m/>
    <s v="Observacion"/>
  </r>
  <r>
    <d v="2023-10-13T00:00:00"/>
    <m/>
    <m/>
    <d v="1899-12-30T20:31:40"/>
    <n v="-76.722840000000005"/>
    <n v="3.4783849999999998"/>
    <n v="2100"/>
    <s v=""/>
    <x v="8"/>
    <n v="10"/>
    <n v="30"/>
    <m/>
    <x v="1"/>
    <m/>
    <x v="2"/>
    <x v="8"/>
    <m/>
    <s v="Bosque primario"/>
    <s v="Danny Mora"/>
    <s v="Herbaceo 0.3-1.5 m"/>
    <s v="Pristimantis molybrignus"/>
    <n v="2"/>
    <m/>
    <m/>
    <m/>
    <m/>
    <m/>
    <s v="Observacion"/>
  </r>
  <r>
    <d v="2023-10-13T00:00:00"/>
    <m/>
    <m/>
    <d v="1899-12-30T20:47:57"/>
    <n v="-76.722893330000005"/>
    <n v="3.4788250000000001"/>
    <n v="2100"/>
    <s v=""/>
    <x v="8"/>
    <n v="10"/>
    <n v="30"/>
    <m/>
    <x v="1"/>
    <m/>
    <x v="2"/>
    <x v="8"/>
    <m/>
    <s v="Bosque primario"/>
    <s v="Leonardo Belalcazar"/>
    <s v="Herbaceo 0.3-1.5 m"/>
    <s v="Pristimantis molybrignus"/>
    <n v="1"/>
    <m/>
    <m/>
    <m/>
    <m/>
    <m/>
    <s v="Observacion"/>
  </r>
  <r>
    <d v="2023-10-13T00:00:00"/>
    <m/>
    <m/>
    <d v="1899-12-30T20:47:57"/>
    <n v="-76.722893330000005"/>
    <n v="3.4788250000000001"/>
    <n v="2100"/>
    <s v=""/>
    <x v="8"/>
    <n v="10"/>
    <n v="30"/>
    <m/>
    <x v="1"/>
    <m/>
    <x v="2"/>
    <x v="8"/>
    <m/>
    <s v="Bosque primario"/>
    <s v="Óscar Cuellar"/>
    <s v="Herbaceo 0.3-1.5 m"/>
    <s v="Pristimantis molybrignus"/>
    <n v="2"/>
    <m/>
    <m/>
    <m/>
    <m/>
    <m/>
    <s v="Observacion"/>
  </r>
  <r>
    <d v="2023-10-13T00:00:00"/>
    <m/>
    <m/>
    <d v="1899-12-30T21:48:17"/>
    <n v="-76.723235000000003"/>
    <n v="3.4804283329999999"/>
    <n v="2100"/>
    <s v=""/>
    <x v="8"/>
    <n v="10"/>
    <n v="21"/>
    <m/>
    <x v="1"/>
    <m/>
    <x v="4"/>
    <x v="8"/>
    <m/>
    <s v="Bosque primario"/>
    <s v="Gustavo Rodriguez"/>
    <s v="Herbaceo 0.3-1.5 m"/>
    <s v="Pristimantis molybrignus"/>
    <n v="3"/>
    <m/>
    <m/>
    <m/>
    <m/>
    <m/>
    <s v="Observacion"/>
  </r>
  <r>
    <d v="2023-10-13T00:00:00"/>
    <m/>
    <m/>
    <d v="1899-12-30T20:21:42"/>
    <n v="-76.722703330000002"/>
    <n v="3.4781083330000002"/>
    <n v="2100"/>
    <s v=""/>
    <x v="8"/>
    <n v="10"/>
    <n v="30"/>
    <m/>
    <x v="1"/>
    <m/>
    <x v="2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20:21:42"/>
    <n v="-76.722703330000002"/>
    <n v="3.4781083330000002"/>
    <n v="2100"/>
    <s v=""/>
    <x v="8"/>
    <n v="10"/>
    <n v="30"/>
    <m/>
    <x v="1"/>
    <m/>
    <x v="2"/>
    <x v="8"/>
    <m/>
    <s v="Bosque primario"/>
    <s v="Otro"/>
    <s v="Herbaceo 0.3-1.5 m"/>
    <s v="Pristimantis alius"/>
    <n v="1"/>
    <m/>
    <m/>
    <m/>
    <m/>
    <m/>
    <s v="Observacion"/>
  </r>
  <r>
    <d v="2023-10-13T00:00:00"/>
    <m/>
    <m/>
    <d v="1899-12-30T19:26:35"/>
    <n v="-76.722363329999993"/>
    <n v="3.4771000000000001"/>
    <n v="2100"/>
    <s v=""/>
    <x v="8"/>
    <n v="10"/>
    <n v="22.5"/>
    <m/>
    <x v="1"/>
    <m/>
    <x v="1"/>
    <x v="8"/>
    <m/>
    <s v="Bosque primario"/>
    <s v="Alvaro Fierro"/>
    <s v="Herbaceo 0.3-1.5 m"/>
    <s v="Pristimantis alius"/>
    <n v="1"/>
    <m/>
    <m/>
    <m/>
    <m/>
    <m/>
    <s v="Observacion"/>
  </r>
  <r>
    <d v="2023-10-13T00:00:00"/>
    <m/>
    <m/>
    <d v="1899-12-30T22:23:38"/>
    <n v="-76.722941669999997"/>
    <n v="3.4826899999999998"/>
    <n v="2100"/>
    <s v=""/>
    <x v="8"/>
    <n v="11"/>
    <n v="18.5"/>
    <m/>
    <x v="1"/>
    <m/>
    <x v="0"/>
    <x v="6"/>
    <m/>
    <s v="Bosque secundario"/>
    <s v="Gustavo Rodriguez"/>
    <s v="Herbaceo 0.3-1.5 m"/>
    <s v="Pristimantis palmeri"/>
    <n v="1"/>
    <m/>
    <m/>
    <m/>
    <m/>
    <m/>
    <s v="Observacion"/>
  </r>
  <r>
    <d v="2023-10-13T00:00:00"/>
    <m/>
    <m/>
    <d v="1899-12-30T21:14:36"/>
    <n v="-76.723036669999999"/>
    <n v="3.4795950000000002"/>
    <n v="2100"/>
    <s v=""/>
    <x v="8"/>
    <n v="10"/>
    <n v="26"/>
    <m/>
    <x v="1"/>
    <m/>
    <x v="3"/>
    <x v="8"/>
    <m/>
    <s v="Bosque primario"/>
    <s v="Alvaro Fierro"/>
    <s v="Herbaceo 0.3-1.5 m"/>
    <s v="Hypodactylus mantipus"/>
    <n v="1"/>
    <m/>
    <m/>
    <m/>
    <m/>
    <m/>
    <s v="Observacion"/>
  </r>
  <r>
    <d v="2023-10-13T00:00:00"/>
    <m/>
    <m/>
    <d v="1899-12-30T21:14:36"/>
    <n v="-76.723036669999999"/>
    <n v="3.4795950000000002"/>
    <n v="2100"/>
    <s v=""/>
    <x v="8"/>
    <n v="10"/>
    <n v="26"/>
    <m/>
    <x v="1"/>
    <m/>
    <x v="3"/>
    <x v="8"/>
    <m/>
    <s v="Bosque primario"/>
    <s v="Gustavo Rodriguez"/>
    <s v="Herbaceo 0.3-1.5 m"/>
    <s v="Pristimantis alius"/>
    <n v="1"/>
    <m/>
    <m/>
    <m/>
    <m/>
    <m/>
    <s v="Observacion"/>
  </r>
  <r>
    <d v="2023-10-13T00:00:00"/>
    <m/>
    <m/>
    <d v="1899-12-30T20:25:26"/>
    <n v="-76.722719999999995"/>
    <n v="3.4782816670000001"/>
    <n v="2100"/>
    <s v=""/>
    <x v="8"/>
    <n v="10"/>
    <n v="30"/>
    <m/>
    <x v="1"/>
    <m/>
    <x v="2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20:57:13"/>
    <n v="-76.722949999999997"/>
    <n v="3.4791416669999999"/>
    <n v="2100"/>
    <s v=""/>
    <x v="8"/>
    <n v="10"/>
    <n v="30"/>
    <m/>
    <x v="1"/>
    <m/>
    <x v="2"/>
    <x v="8"/>
    <m/>
    <s v="Bosque primario"/>
    <s v="Alvaro Fierro"/>
    <s v="Herbaceo 0.3-1.5 m"/>
    <s v="Pristimantis molybrignus"/>
    <n v="5"/>
    <m/>
    <m/>
    <m/>
    <m/>
    <m/>
    <s v="Observacion"/>
  </r>
  <r>
    <d v="2023-10-13T00:00:00"/>
    <m/>
    <m/>
    <d v="1899-12-30T22:44:24"/>
    <n v="-76.723613330000006"/>
    <n v="3.4846966670000001"/>
    <m/>
    <s v=""/>
    <x v="8"/>
    <n v="5"/>
    <n v="12"/>
    <m/>
    <x v="1"/>
    <m/>
    <x v="2"/>
    <x v="6"/>
    <m/>
    <m/>
    <m/>
    <m/>
    <s v="Ninguna"/>
    <n v="0"/>
    <m/>
    <m/>
    <m/>
    <m/>
    <m/>
    <m/>
  </r>
  <r>
    <d v="2023-10-13T00:00:00"/>
    <m/>
    <m/>
    <d v="1899-12-30T19:55:18"/>
    <n v="-76.722605000000001"/>
    <n v="3.4776250000000002"/>
    <n v="2100"/>
    <s v=""/>
    <x v="8"/>
    <n v="10"/>
    <n v="22.5"/>
    <m/>
    <x v="1"/>
    <m/>
    <x v="1"/>
    <x v="8"/>
    <m/>
    <s v="Bosque primario"/>
    <s v="Óscar Cuellar"/>
    <s v="Herbaceo 0.3-1.5 m"/>
    <s v="Pristimantis molybrignus"/>
    <n v="2"/>
    <m/>
    <m/>
    <m/>
    <m/>
    <m/>
    <s v="Observacion"/>
  </r>
  <r>
    <d v="2023-10-13T00:00:00"/>
    <m/>
    <m/>
    <d v="1899-12-30T21:25:16"/>
    <n v="-76.723056670000005"/>
    <n v="3.4796466669999999"/>
    <n v="2100"/>
    <s v=""/>
    <x v="8"/>
    <n v="10"/>
    <n v="26"/>
    <m/>
    <x v="1"/>
    <m/>
    <x v="3"/>
    <x v="8"/>
    <m/>
    <s v="Bosque primario"/>
    <s v="Danny Mora"/>
    <s v="Rasante &lt;0.3 m"/>
    <s v="Hypodactylus mantipus"/>
    <n v="1"/>
    <m/>
    <m/>
    <m/>
    <m/>
    <m/>
    <s v="Observacion"/>
  </r>
  <r>
    <d v="2023-10-13T00:00:00"/>
    <m/>
    <m/>
    <d v="1899-12-30T22:02:42"/>
    <n v="-76.723193330000001"/>
    <n v="3.480911667"/>
    <n v="2100"/>
    <s v=""/>
    <x v="8"/>
    <n v="10"/>
    <n v="21"/>
    <m/>
    <x v="1"/>
    <m/>
    <x v="4"/>
    <x v="8"/>
    <m/>
    <s v="Bosque primario"/>
    <s v="Alvaro Fierro"/>
    <s v="Herbaceo 0.3-1.5 m"/>
    <s v="Pristimantis molybrignus"/>
    <n v="1"/>
    <m/>
    <m/>
    <m/>
    <m/>
    <m/>
    <s v="Observacion"/>
  </r>
  <r>
    <d v="2023-10-13T00:00:00"/>
    <m/>
    <m/>
    <d v="1899-12-30T22:02:42"/>
    <n v="-76.723193330000001"/>
    <n v="3.480911667"/>
    <n v="2100"/>
    <s v=""/>
    <x v="8"/>
    <n v="10"/>
    <n v="21"/>
    <m/>
    <x v="1"/>
    <m/>
    <x v="4"/>
    <x v="8"/>
    <m/>
    <s v="Bosque primario"/>
    <s v="Óscar Cuellar"/>
    <s v="Rasante &lt;0.3 m"/>
    <s v="Hypodactylus mantipus"/>
    <n v="1"/>
    <m/>
    <m/>
    <m/>
    <m/>
    <m/>
    <s v="Observacion"/>
  </r>
  <r>
    <d v="2023-10-13T00:00:00"/>
    <m/>
    <m/>
    <d v="1899-12-30T22:02:42"/>
    <n v="-76.723193330000001"/>
    <n v="3.480911667"/>
    <n v="2100"/>
    <s v=""/>
    <x v="8"/>
    <n v="10"/>
    <n v="21"/>
    <m/>
    <x v="1"/>
    <m/>
    <x v="4"/>
    <x v="8"/>
    <m/>
    <s v="Bosque primario"/>
    <s v="Óscar Cuellar"/>
    <s v="Herbaceo 0.3-1.5 m"/>
    <s v="Pristimantis molybrignus"/>
    <n v="1"/>
    <m/>
    <m/>
    <m/>
    <m/>
    <m/>
    <s v="Observacion"/>
  </r>
  <r>
    <d v="2023-10-13T00:00:00"/>
    <m/>
    <m/>
    <d v="1899-12-30T20:43:33"/>
    <n v="-76.722828329999999"/>
    <n v="3.4787033329999999"/>
    <n v="2100"/>
    <s v=""/>
    <x v="8"/>
    <n v="10"/>
    <n v="30"/>
    <m/>
    <x v="1"/>
    <m/>
    <x v="2"/>
    <x v="8"/>
    <m/>
    <s v="Bosque primario"/>
    <s v="Leonardo Belalcazar"/>
    <s v="Herbaceo 0.3-1.5 m"/>
    <s v="Bolitoglossa walkeri"/>
    <n v="2"/>
    <m/>
    <m/>
    <m/>
    <m/>
    <m/>
    <s v="Observacion"/>
  </r>
  <r>
    <d v="2023-10-13T00:00:00"/>
    <m/>
    <m/>
    <d v="1899-12-30T19:33:59"/>
    <n v="-76.722466670000003"/>
    <n v="3.4773516670000002"/>
    <n v="2100"/>
    <s v=""/>
    <x v="8"/>
    <n v="10"/>
    <n v="22.5"/>
    <m/>
    <x v="1"/>
    <m/>
    <x v="1"/>
    <x v="8"/>
    <m/>
    <s v="Bosque primario"/>
    <s v="Óscar Cuellar"/>
    <s v="Herbaceo 0.3-1.5 m"/>
    <s v="Bolitoglossa walkeri"/>
    <n v="1"/>
    <m/>
    <m/>
    <m/>
    <m/>
    <m/>
    <s v="Observacion"/>
  </r>
  <r>
    <d v="2023-10-13T00:00:00"/>
    <m/>
    <m/>
    <d v="1899-12-30T20:26:17"/>
    <n v="-76.722763330000006"/>
    <n v="3.4783083330000002"/>
    <n v="2100"/>
    <s v=""/>
    <x v="8"/>
    <n v="10"/>
    <n v="30"/>
    <m/>
    <x v="1"/>
    <m/>
    <x v="2"/>
    <x v="8"/>
    <m/>
    <s v="Bosque primario"/>
    <s v="Otro"/>
    <s v="Herbaceo 0.3-1.5 m"/>
    <s v="Pristimantis alius"/>
    <n v="2"/>
    <m/>
    <m/>
    <m/>
    <m/>
    <m/>
    <s v="Observacion"/>
  </r>
  <r>
    <d v="2023-10-13T00:00:00"/>
    <m/>
    <m/>
    <d v="1899-12-30T22:05:36"/>
    <n v="-76.723176670000001"/>
    <n v="3.4809733330000001"/>
    <n v="2100"/>
    <s v=""/>
    <x v="8"/>
    <n v="10"/>
    <n v="21"/>
    <m/>
    <x v="1"/>
    <m/>
    <x v="4"/>
    <x v="8"/>
    <m/>
    <s v="Bosque primario"/>
    <s v="Alvaro Fierro"/>
    <s v="Herbaceo 0.3-1.5 m"/>
    <s v="Pristimantis brevifrons"/>
    <n v="1"/>
    <m/>
    <m/>
    <m/>
    <m/>
    <m/>
    <s v="Observacion"/>
  </r>
  <r>
    <d v="2023-10-13T00:00:00"/>
    <m/>
    <m/>
    <d v="1899-12-30T21:23:19"/>
    <n v="-76.723070000000007"/>
    <n v="3.47966"/>
    <n v="2100"/>
    <s v=""/>
    <x v="8"/>
    <n v="10"/>
    <n v="26"/>
    <m/>
    <x v="1"/>
    <m/>
    <x v="3"/>
    <x v="8"/>
    <m/>
    <s v="Bosque primario"/>
    <s v="Danny Mora"/>
    <s v="Herbaceo 0.3-1.5 m"/>
    <s v="Pristimantis juanchoi"/>
    <n v="1"/>
    <m/>
    <m/>
    <m/>
    <m/>
    <m/>
    <s v="Observacion"/>
  </r>
  <r>
    <d v="2023-10-13T00:00:00"/>
    <m/>
    <m/>
    <d v="1899-12-30T20:09:31"/>
    <n v="-76.722768329999994"/>
    <n v="3.4778583329999999"/>
    <n v="2100"/>
    <s v=""/>
    <x v="8"/>
    <n v="10"/>
    <n v="22.5"/>
    <m/>
    <x v="1"/>
    <m/>
    <x v="1"/>
    <x v="8"/>
    <m/>
    <s v="Bosque primario"/>
    <s v="Otro"/>
    <s v="Herbaceo 0.3-1.5 m"/>
    <s v="Pristimantis molybrignus"/>
    <n v="1"/>
    <m/>
    <m/>
    <m/>
    <m/>
    <m/>
    <s v="Observacion"/>
  </r>
  <r>
    <d v="2023-10-13T00:00:00"/>
    <m/>
    <m/>
    <d v="1899-12-30T20:09:31"/>
    <n v="-76.722768329999994"/>
    <n v="3.4778583329999999"/>
    <n v="2100"/>
    <s v=""/>
    <x v="8"/>
    <n v="10"/>
    <n v="22.5"/>
    <m/>
    <x v="1"/>
    <m/>
    <x v="1"/>
    <x v="8"/>
    <m/>
    <s v="Bosque primario"/>
    <s v="Alvaro Fierro"/>
    <s v="Herbaceo 0.3-1.5 m"/>
    <s v="Bolitoglossa walkeri"/>
    <n v="1"/>
    <m/>
    <m/>
    <m/>
    <m/>
    <m/>
    <s v="Auditivo"/>
  </r>
  <r>
    <d v="2023-10-13T00:00:00"/>
    <m/>
    <m/>
    <d v="1899-12-30T20:09:31"/>
    <n v="-76.722768329999994"/>
    <n v="3.4778583329999999"/>
    <n v="2100"/>
    <s v=""/>
    <x v="8"/>
    <n v="10"/>
    <n v="22.5"/>
    <m/>
    <x v="1"/>
    <m/>
    <x v="1"/>
    <x v="8"/>
    <m/>
    <s v="Bosque primario"/>
    <s v="Óscar Cuellar"/>
    <s v="Herbaceo 0.3-1.5 m"/>
    <s v="Pristimantis molybrignus"/>
    <n v="1"/>
    <m/>
    <m/>
    <m/>
    <m/>
    <m/>
    <s v="Observacion"/>
  </r>
  <r>
    <d v="2023-10-14T00:00:00"/>
    <m/>
    <m/>
    <d v="1899-12-30T19:20:32"/>
    <n v="-76.718265000000002"/>
    <n v="3.4861566669999999"/>
    <m/>
    <s v=""/>
    <x v="8"/>
    <n v="5.5"/>
    <s v=""/>
    <m/>
    <x v="1"/>
    <m/>
    <x v="3"/>
    <x v="7"/>
    <m/>
    <s v="Potrero"/>
    <s v="Óscar Cuellar"/>
    <s v="Herbaceo 0.3-1.5 m"/>
    <s v="Pristimantis erythropleura"/>
    <n v="1"/>
    <m/>
    <m/>
    <m/>
    <m/>
    <m/>
    <s v="Auditivo"/>
  </r>
  <r>
    <d v="2023-10-14T00:00:00"/>
    <m/>
    <m/>
    <d v="1899-12-30T19:20:32"/>
    <n v="-76.718265000000002"/>
    <n v="3.4861566669999999"/>
    <m/>
    <s v=""/>
    <x v="8"/>
    <n v="5.5"/>
    <s v=""/>
    <m/>
    <x v="1"/>
    <m/>
    <x v="3"/>
    <x v="7"/>
    <m/>
    <s v="Potrero"/>
    <s v="Óscar Cuellar"/>
    <s v="Herbaceo 0.3-1.5 m"/>
    <s v="Pristimantis myops"/>
    <n v="1"/>
    <m/>
    <m/>
    <m/>
    <m/>
    <m/>
    <s v="Auditivo"/>
  </r>
  <r>
    <d v="2023-10-14T00:00:00"/>
    <m/>
    <m/>
    <d v="1899-12-30T19:02:36"/>
    <n v="-76.718818330000005"/>
    <n v="3.487221667"/>
    <m/>
    <s v=""/>
    <x v="8"/>
    <n v="3.25"/>
    <s v=""/>
    <m/>
    <x v="1"/>
    <m/>
    <x v="4"/>
    <x v="7"/>
    <m/>
    <s v="Potrero"/>
    <s v="Óscar Cuellar"/>
    <s v="Herbaceo 0.3-1.5 m"/>
    <s v="Pristimantis palmeri"/>
    <n v="3"/>
    <m/>
    <m/>
    <m/>
    <m/>
    <m/>
    <s v="Auditivo"/>
  </r>
  <r>
    <d v="2023-10-14T00:00:00"/>
    <m/>
    <m/>
    <d v="1899-12-30T19:04:15"/>
    <n v="-76.718746670000002"/>
    <n v="3.4870450000000002"/>
    <m/>
    <s v=""/>
    <x v="8"/>
    <n v="3.25"/>
    <s v=""/>
    <m/>
    <x v="1"/>
    <m/>
    <x v="4"/>
    <x v="7"/>
    <m/>
    <s v="Potrero"/>
    <s v="Óscar Cuellar"/>
    <s v="Herbaceo 0.3-1.5 m"/>
    <s v="Pristimantis myops"/>
    <n v="1"/>
    <m/>
    <m/>
    <m/>
    <m/>
    <m/>
    <s v="Auditivo"/>
  </r>
  <r>
    <d v="2023-10-14T00:00:00"/>
    <m/>
    <m/>
    <d v="1899-12-30T19:09:17"/>
    <n v="-76.718553330000006"/>
    <n v="3.4866766669999998"/>
    <m/>
    <s v=""/>
    <x v="8"/>
    <n v="3.25"/>
    <s v=""/>
    <m/>
    <x v="1"/>
    <m/>
    <x v="4"/>
    <x v="7"/>
    <m/>
    <s v="Potrero"/>
    <s v="Óscar Cuellar"/>
    <s v="Arbustivo 1.5-5 m"/>
    <s v="Pristimantis myops"/>
    <n v="1"/>
    <m/>
    <m/>
    <m/>
    <m/>
    <m/>
    <s v="Auditivo"/>
  </r>
  <r>
    <d v="2023-10-14T00:00:00"/>
    <m/>
    <m/>
    <d v="1899-12-30T19:28:33"/>
    <n v="-76.717955000000003"/>
    <n v="3.486075"/>
    <m/>
    <s v=""/>
    <x v="8"/>
    <n v="5.5"/>
    <s v=""/>
    <m/>
    <x v="1"/>
    <m/>
    <x v="3"/>
    <x v="7"/>
    <m/>
    <s v="Potrero"/>
    <s v="Alvaro Fierro"/>
    <s v="Herbaceo 0.3-1.5 m"/>
    <s v="Pristimantis myops"/>
    <n v="2"/>
    <m/>
    <m/>
    <m/>
    <s v="Residuos solidos"/>
    <m/>
    <s v="Auditivo"/>
  </r>
  <r>
    <d v="2023-11-23T00:00:00"/>
    <m/>
    <m/>
    <d v="1899-12-30T00:00:00"/>
    <n v="-76.888499999999993"/>
    <n v="3.5971000000000002"/>
    <n v="563"/>
    <s v=""/>
    <x v="8"/>
    <n v="11.5"/>
    <n v="14"/>
    <m/>
    <x v="0"/>
    <m/>
    <x v="3"/>
    <x v="0"/>
    <m/>
    <s v="Bosque primario"/>
    <s v="Sebastian Ovalle"/>
    <s v="Herbaceo 0.3-1.5 m"/>
    <s v="Smilisca phaeota"/>
    <n v="1"/>
    <m/>
    <m/>
    <m/>
    <m/>
    <m/>
    <s v="Observacion"/>
  </r>
  <r>
    <d v="2023-11-23T00:00:00"/>
    <m/>
    <m/>
    <d v="1899-12-30T00:00:00"/>
    <n v="-76.888599999999997"/>
    <n v="3.597"/>
    <n v="563"/>
    <s v=""/>
    <x v="8"/>
    <n v="11.5"/>
    <n v="14"/>
    <m/>
    <x v="0"/>
    <m/>
    <x v="3"/>
    <x v="0"/>
    <m/>
    <s v="Bosque primario"/>
    <s v="Danny Mora"/>
    <s v="Herbaceo 0.3-1.5 m"/>
    <s v="Boana picturata"/>
    <n v="3"/>
    <m/>
    <m/>
    <m/>
    <m/>
    <m/>
    <s v="Observacion"/>
  </r>
  <r>
    <d v="2023-11-23T00:00:00"/>
    <m/>
    <m/>
    <d v="1899-12-30T00:00:00"/>
    <n v="-76.888499999999993"/>
    <n v="3.5971000000000002"/>
    <n v="563"/>
    <s v=""/>
    <x v="8"/>
    <n v="11.5"/>
    <n v="14"/>
    <m/>
    <x v="0"/>
    <m/>
    <x v="3"/>
    <x v="0"/>
    <m/>
    <s v="Bosque primario"/>
    <s v="Danny Mora"/>
    <s v="Herbaceo 0.3-1.5 m"/>
    <s v="Smilisca phaeota"/>
    <n v="1"/>
    <m/>
    <m/>
    <m/>
    <m/>
    <m/>
    <s v="Auditivo"/>
  </r>
  <r>
    <d v="2023-11-23T00:00:00"/>
    <m/>
    <m/>
    <d v="1899-12-30T00:00:00"/>
    <n v="-76.888599999999997"/>
    <n v="3.5973999999999999"/>
    <n v="563"/>
    <s v=""/>
    <x v="8"/>
    <n v="11.5"/>
    <n v="14"/>
    <m/>
    <x v="0"/>
    <m/>
    <x v="3"/>
    <x v="0"/>
    <m/>
    <s v="Bosque primario"/>
    <s v="Sebastian Ovalle"/>
    <s v="Herbaceo 0.3-1.5 m"/>
    <s v="Smilisca phaeota"/>
    <n v="1"/>
    <m/>
    <m/>
    <m/>
    <m/>
    <m/>
    <s v="Observacion"/>
  </r>
  <r>
    <d v="2023-11-16T00:00:00"/>
    <m/>
    <m/>
    <d v="1899-12-30T00:00:00"/>
    <n v="-76.651899999999998"/>
    <n v="3.3534999999999999"/>
    <n v="2570"/>
    <s v=""/>
    <x v="8"/>
    <n v="33"/>
    <n v="15"/>
    <m/>
    <x v="2"/>
    <m/>
    <x v="3"/>
    <x v="13"/>
    <m/>
    <s v="Bosque secundario"/>
    <s v="Alvaro Fierro"/>
    <s v="Rasante &lt;0.3 m"/>
    <s v="Pristimantis brevifrons"/>
    <n v="1"/>
    <m/>
    <m/>
    <m/>
    <m/>
    <m/>
    <s v="Observacion"/>
  </r>
  <r>
    <d v="2023-11-16T00:00:00"/>
    <m/>
    <m/>
    <d v="1899-12-30T00:00:00"/>
    <n v="-76.652429209999994"/>
    <n v="3.3534943460000002"/>
    <n v="2550"/>
    <s v=""/>
    <x v="8"/>
    <n v="33"/>
    <n v="15"/>
    <m/>
    <x v="2"/>
    <m/>
    <x v="3"/>
    <x v="13"/>
    <m/>
    <s v="Bosque secundario"/>
    <s v="Alvaro Fierro"/>
    <s v="Rasante &lt;0.3 m"/>
    <s v="Pristimantis brevifrons"/>
    <n v="1"/>
    <m/>
    <m/>
    <m/>
    <m/>
    <m/>
    <s v="Observacion"/>
  </r>
  <r>
    <d v="2023-11-23T00:00:00"/>
    <m/>
    <m/>
    <d v="1899-12-30T11:36:40"/>
    <n v="-76.880700000000004"/>
    <n v="3.5966"/>
    <n v="533"/>
    <n v="1"/>
    <x v="8"/>
    <n v="21"/>
    <n v="30"/>
    <m/>
    <x v="0"/>
    <m/>
    <x v="3"/>
    <x v="1"/>
    <m/>
    <s v="Bosque ribereño"/>
    <s v="Danny Mora"/>
    <s v="Rasante &lt;0.3 m"/>
    <s v="Craugastor raniformis"/>
    <n v="1"/>
    <m/>
    <m/>
    <m/>
    <m/>
    <m/>
    <s v="Observacion"/>
  </r>
  <r>
    <d v="2023-11-22T00:00:00"/>
    <m/>
    <m/>
    <d v="1899-12-30T00:00:00"/>
    <n v="-76.88077586"/>
    <n v="3.5784978559999998"/>
    <m/>
    <n v="4"/>
    <x v="8"/>
    <n v="25"/>
    <n v="37.5"/>
    <m/>
    <x v="0"/>
    <m/>
    <x v="2"/>
    <x v="2"/>
    <m/>
    <s v="Bosque ribereño"/>
    <s v="Danny Mora"/>
    <s v="Rasante &lt;0.3 m"/>
    <s v="Oophaga lehmanni"/>
    <n v="1"/>
    <m/>
    <m/>
    <m/>
    <m/>
    <m/>
    <s v="Auditivo"/>
  </r>
  <r>
    <d v="2023-11-16T00:00:00"/>
    <m/>
    <m/>
    <d v="1899-12-30T00:00:00"/>
    <n v="-76.655500529999998"/>
    <n v="3.354115996"/>
    <n v="2604"/>
    <s v=""/>
    <x v="8"/>
    <n v="19"/>
    <n v="6"/>
    <m/>
    <x v="2"/>
    <m/>
    <x v="0"/>
    <x v="14"/>
    <m/>
    <s v="Bosque secundario"/>
    <s v="Alvaro Fierro"/>
    <s v="Rasante &lt;0.3 m"/>
    <s v="Pristimantis acatallelus"/>
    <n v="1"/>
    <m/>
    <m/>
    <m/>
    <m/>
    <m/>
    <s v="Observacion"/>
  </r>
  <r>
    <d v="2023-11-16T00:00:00"/>
    <m/>
    <m/>
    <d v="1899-12-30T00:00:00"/>
    <n v="-76.655600000000007"/>
    <n v="3.3542000000000001"/>
    <n v="2604"/>
    <s v=""/>
    <x v="8"/>
    <n v="19"/>
    <n v="6"/>
    <m/>
    <x v="2"/>
    <m/>
    <x v="0"/>
    <x v="14"/>
    <m/>
    <s v="Bosque secundario"/>
    <s v="Alvaro Fierro"/>
    <s v="Arbustivo 1.5-5 m"/>
    <s v="Pristimantis acatallelus"/>
    <n v="1"/>
    <m/>
    <m/>
    <m/>
    <m/>
    <m/>
    <s v="Observacion"/>
  </r>
  <r>
    <d v="2023-11-16T00:00:00"/>
    <m/>
    <m/>
    <d v="1899-12-30T00:00:00"/>
    <n v="-76.655500529999998"/>
    <n v="3.354115996"/>
    <n v="2604"/>
    <s v=""/>
    <x v="8"/>
    <n v="19"/>
    <n v="6"/>
    <m/>
    <x v="2"/>
    <m/>
    <x v="0"/>
    <x v="14"/>
    <m/>
    <s v="Bosque secundario"/>
    <s v="Alvaro Fierro"/>
    <s v="Herbaceo 0.3-1.5 m"/>
    <s v="Pristimantis acatallelus"/>
    <n v="1"/>
    <m/>
    <m/>
    <m/>
    <m/>
    <m/>
    <s v="Observacion"/>
  </r>
  <r>
    <d v="2023-11-16T00:00:00"/>
    <m/>
    <m/>
    <d v="1899-12-30T00:00:00"/>
    <n v="-76.6554"/>
    <n v="3.3540000000000001"/>
    <n v="2604"/>
    <s v=""/>
    <x v="8"/>
    <n v="19"/>
    <n v="6"/>
    <m/>
    <x v="2"/>
    <m/>
    <x v="0"/>
    <x v="14"/>
    <m/>
    <s v="Bosque secundario"/>
    <s v="Alvaro Fierro"/>
    <s v="Arbustivo 1.5-5 m"/>
    <s v="Pristimantis acatallelus"/>
    <n v="1"/>
    <m/>
    <m/>
    <m/>
    <m/>
    <m/>
    <s v="Observacion"/>
  </r>
  <r>
    <d v="2023-10-11T00:00:00"/>
    <m/>
    <m/>
    <d v="1899-12-30T21:02:34"/>
    <n v="-76.725849999999994"/>
    <n v="3.4993783330000001"/>
    <m/>
    <n v="1.5"/>
    <x v="8"/>
    <n v="2"/>
    <s v=""/>
    <m/>
    <x v="1"/>
    <m/>
    <x v="1"/>
    <x v="9"/>
    <m/>
    <s v="Bosque ribereño"/>
    <s v="Otro"/>
    <s v="Herbaceo 0.3-1.5 m"/>
    <s v="Pristimantis erythropleura"/>
    <n v="1"/>
    <m/>
    <m/>
    <m/>
    <m/>
    <m/>
    <s v="Observacion"/>
  </r>
  <r>
    <d v="2023-10-11T00:00:00"/>
    <m/>
    <m/>
    <d v="1899-12-30T20:16:15"/>
    <n v="-76.726468330000003"/>
    <n v="3.5000466669999999"/>
    <n v="1785"/>
    <n v="6.6"/>
    <x v="8"/>
    <n v="1.75"/>
    <s v=""/>
    <m/>
    <x v="1"/>
    <m/>
    <x v="0"/>
    <x v="9"/>
    <m/>
    <s v="Bosque ribereño"/>
    <s v="Otro"/>
    <s v="Herbaceo 0.3-1.5 m"/>
    <s v="Pristimantis erythropleura"/>
    <n v="1"/>
    <m/>
    <m/>
    <m/>
    <m/>
    <m/>
    <s v="Observacion"/>
  </r>
  <r>
    <d v="2023-10-11T00:00:00"/>
    <m/>
    <m/>
    <d v="1899-12-30T20:43:38"/>
    <n v="-76.726005000000001"/>
    <n v="3.4994200000000002"/>
    <m/>
    <n v="1.5"/>
    <x v="8"/>
    <n v="2"/>
    <s v=""/>
    <m/>
    <x v="1"/>
    <m/>
    <x v="1"/>
    <x v="9"/>
    <m/>
    <s v="Bosque ribereño"/>
    <s v="Otro"/>
    <s v="Rasante &lt;0.3 m"/>
    <s v="Pristimantis alius"/>
    <n v="1"/>
    <m/>
    <m/>
    <m/>
    <m/>
    <m/>
    <s v="Observacion"/>
  </r>
  <r>
    <d v="2023-10-11T00:00:00"/>
    <m/>
    <m/>
    <d v="1899-12-30T19:14:41"/>
    <n v="-76.726733330000002"/>
    <n v="3.5001466670000001"/>
    <m/>
    <n v="6.6"/>
    <x v="8"/>
    <n v="1.75"/>
    <s v=""/>
    <m/>
    <x v="1"/>
    <m/>
    <x v="0"/>
    <x v="9"/>
    <m/>
    <s v="Bosque ribereño"/>
    <s v="Alvaro Fierro"/>
    <s v="Rasante &lt;0.3 m"/>
    <s v="Pristimantis erythropleura"/>
    <n v="1"/>
    <m/>
    <m/>
    <m/>
    <m/>
    <m/>
    <s v="Observacion"/>
  </r>
  <r>
    <d v="2023-10-11T00:00:00"/>
    <m/>
    <m/>
    <d v="1899-12-30T20:40:15"/>
    <n v="-76.726074999999994"/>
    <n v="3.4994116669999999"/>
    <m/>
    <n v="1.5"/>
    <x v="8"/>
    <n v="2"/>
    <s v=""/>
    <m/>
    <x v="1"/>
    <m/>
    <x v="1"/>
    <x v="9"/>
    <m/>
    <s v="Bosque ribereño"/>
    <s v="Otro"/>
    <s v="Arbustivo 1.5-5 m"/>
    <s v="Pristimantis alius"/>
    <n v="1"/>
    <m/>
    <m/>
    <m/>
    <m/>
    <m/>
    <s v="Auditivo"/>
  </r>
  <r>
    <d v="2023-10-11T00:00:00"/>
    <m/>
    <m/>
    <d v="1899-12-30T20:37:36"/>
    <n v="-76.726076669999998"/>
    <n v="3.4994366669999999"/>
    <m/>
    <n v="1.5"/>
    <x v="8"/>
    <n v="2"/>
    <s v=""/>
    <m/>
    <x v="1"/>
    <m/>
    <x v="1"/>
    <x v="9"/>
    <m/>
    <s v="Bosque ribereño"/>
    <s v="Otro"/>
    <s v="Arbustivo 1.5-5 m"/>
    <s v="Pristimantis molybrignus"/>
    <n v="1"/>
    <m/>
    <m/>
    <m/>
    <m/>
    <m/>
    <s v="Observacion"/>
  </r>
  <r>
    <d v="2023-10-11T00:00:00"/>
    <m/>
    <m/>
    <d v="1899-12-30T20:20:53"/>
    <n v="-76.726418330000001"/>
    <n v="3.4998399999999998"/>
    <n v="1786"/>
    <n v="6.6"/>
    <x v="8"/>
    <n v="1.75"/>
    <s v=""/>
    <m/>
    <x v="1"/>
    <m/>
    <x v="0"/>
    <x v="9"/>
    <m/>
    <s v="Bosque ribereño"/>
    <s v="Otro"/>
    <s v="Herbaceo 0.3-1.5 m"/>
    <s v="Pristimantis palmeri"/>
    <n v="1"/>
    <m/>
    <m/>
    <m/>
    <m/>
    <m/>
    <s v="Observacion"/>
  </r>
  <r>
    <d v="2023-10-11T00:00:00"/>
    <m/>
    <m/>
    <d v="1899-12-30T19:26:47"/>
    <n v="-76.726796669999999"/>
    <n v="3.5001600000000002"/>
    <n v="1754"/>
    <n v="6.6"/>
    <x v="8"/>
    <n v="1.75"/>
    <s v=""/>
    <m/>
    <x v="1"/>
    <m/>
    <x v="0"/>
    <x v="9"/>
    <m/>
    <s v="Bosque ribereño"/>
    <s v="Otro"/>
    <s v="Herbaceo 0.3-1.5 m"/>
    <s v="Pristimantis palmeri"/>
    <n v="1"/>
    <m/>
    <m/>
    <m/>
    <m/>
    <m/>
    <s v="Observacion"/>
  </r>
  <r>
    <d v="2023-10-11T00:00:00"/>
    <m/>
    <m/>
    <d v="1899-12-30T19:41:11"/>
    <n v="-76.726786669999996"/>
    <n v="3.5001116670000001"/>
    <n v="1796"/>
    <n v="6.6"/>
    <x v="8"/>
    <n v="1.75"/>
    <s v=""/>
    <m/>
    <x v="1"/>
    <m/>
    <x v="0"/>
    <x v="9"/>
    <m/>
    <s v="Bosque ribereño"/>
    <s v="Alvaro Fierro"/>
    <s v="Arbustivo 1.5-5 m"/>
    <s v="Centrolene savagei"/>
    <n v="1"/>
    <m/>
    <m/>
    <m/>
    <m/>
    <m/>
    <s v="Observacion"/>
  </r>
  <r>
    <d v="2023-10-11T00:00:00"/>
    <m/>
    <m/>
    <d v="1899-12-30T19:25:13"/>
    <n v="-76.726743330000005"/>
    <n v="3.5001633330000002"/>
    <n v="1754"/>
    <n v="6.6"/>
    <x v="8"/>
    <n v="1.75"/>
    <s v=""/>
    <m/>
    <x v="1"/>
    <m/>
    <x v="0"/>
    <x v="9"/>
    <m/>
    <s v="Bosque ribereño"/>
    <s v="Otro"/>
    <s v="Herbaceo 0.3-1.5 m"/>
    <s v="Pristimantis erythropleura"/>
    <n v="2"/>
    <m/>
    <m/>
    <m/>
    <m/>
    <m/>
    <s v="Observacion"/>
  </r>
  <r>
    <d v="2023-10-11T00:00:00"/>
    <m/>
    <m/>
    <d v="1899-12-30T20:31:16"/>
    <n v="-76.726288330000003"/>
    <n v="3.4996933330000002"/>
    <n v="1793"/>
    <n v="1.5"/>
    <x v="8"/>
    <n v="2"/>
    <s v=""/>
    <m/>
    <x v="1"/>
    <m/>
    <x v="1"/>
    <x v="9"/>
    <m/>
    <s v="Bosque ribereño"/>
    <s v="Otro"/>
    <s v="Herbaceo 0.3-1.5 m"/>
    <s v="Pristimantis palmeri"/>
    <n v="1"/>
    <m/>
    <m/>
    <m/>
    <m/>
    <m/>
    <s v="Observacion"/>
  </r>
  <r>
    <d v="2023-11-16T00:00:00"/>
    <m/>
    <m/>
    <d v="1899-12-30T21:19:10"/>
    <n v="-76.647900000000007"/>
    <n v="3.3519999999999999"/>
    <n v="2339"/>
    <s v=""/>
    <x v="8"/>
    <n v="16.5"/>
    <n v="11"/>
    <m/>
    <x v="2"/>
    <m/>
    <x v="0"/>
    <x v="13"/>
    <m/>
    <s v="Bosque secundario"/>
    <s v="Ricardo Ocampo"/>
    <s v="Herbaceo 0.3-1.5 m"/>
    <s v="Bolitoglossa walkeri"/>
    <n v="1"/>
    <m/>
    <m/>
    <m/>
    <m/>
    <m/>
    <s v="Observacion"/>
  </r>
  <r>
    <d v="2023-11-24T00:00:00"/>
    <m/>
    <m/>
    <d v="1899-12-30T00:00:00"/>
    <n v="-76.888300000000001"/>
    <n v="3.5508000000000002"/>
    <n v="642"/>
    <s v=""/>
    <x v="8"/>
    <n v="30"/>
    <n v="22.5"/>
    <m/>
    <x v="0"/>
    <m/>
    <x v="2"/>
    <x v="4"/>
    <m/>
    <s v="Bosque primario"/>
    <s v="Sebastian ovalle"/>
    <s v="Rasante &lt;0.3 m"/>
    <s v="Rhaebo haematiticus"/>
    <n v="4"/>
    <m/>
    <m/>
    <m/>
    <m/>
    <m/>
    <s v="Observacion"/>
  </r>
  <r>
    <d v="2023-11-23T00:00:00"/>
    <m/>
    <m/>
    <d v="1899-12-30T00:00:00"/>
    <n v="-76.880708330000004"/>
    <n v="3.5954266669999999"/>
    <m/>
    <s v=""/>
    <x v="8"/>
    <n v="30"/>
    <n v="12.5"/>
    <m/>
    <x v="0"/>
    <m/>
    <x v="4"/>
    <x v="1"/>
    <m/>
    <m/>
    <m/>
    <m/>
    <s v="Ninguna"/>
    <n v="0"/>
    <m/>
    <m/>
    <m/>
    <m/>
    <m/>
    <m/>
  </r>
  <r>
    <d v="2023-11-14T00:00:00"/>
    <m/>
    <m/>
    <d v="1899-12-30T00:00:00"/>
    <n v="-76.647099999999995"/>
    <n v="3.3496999999999999"/>
    <m/>
    <n v="1"/>
    <x v="8"/>
    <n v="12.5"/>
    <n v="7.5"/>
    <m/>
    <x v="2"/>
    <m/>
    <x v="1"/>
    <x v="11"/>
    <m/>
    <s v="Bosque ribereño"/>
    <s v="Alvaro Fierro"/>
    <s v="Herbaceo 0.3-1.5 m"/>
    <s v="Bolitoglossa walkeri"/>
    <n v="1"/>
    <m/>
    <m/>
    <m/>
    <m/>
    <m/>
    <s v="Observacion"/>
  </r>
  <r>
    <d v="2023-11-21T00:00:00"/>
    <m/>
    <m/>
    <d v="1899-12-30T00:00:00"/>
    <n v="-76.882099999999994"/>
    <n v="3.5523423670000001"/>
    <n v="567"/>
    <s v=""/>
    <x v="8"/>
    <n v="36"/>
    <n v="2"/>
    <m/>
    <x v="0"/>
    <m/>
    <x v="1"/>
    <x v="5"/>
    <m/>
    <s v="Bosque secundario"/>
    <s v="Sebastian Ovalle"/>
    <s v="Rasante &lt;0.3 m"/>
    <s v="Rhaebo haematiticus"/>
    <n v="1"/>
    <m/>
    <m/>
    <m/>
    <s v="Vías"/>
    <m/>
    <s v="Observacion"/>
  </r>
  <r>
    <d v="2023-11-21T00:00:00"/>
    <m/>
    <m/>
    <d v="1899-12-30T00:00:00"/>
    <n v="-76.882499999999993"/>
    <n v="3.5522"/>
    <n v="567"/>
    <s v=""/>
    <x v="8"/>
    <n v="36"/>
    <n v="2"/>
    <m/>
    <x v="0"/>
    <m/>
    <x v="1"/>
    <x v="5"/>
    <m/>
    <s v="Bosque secundario"/>
    <s v="Danny Mora"/>
    <s v="Rasante &lt;0.3 m"/>
    <s v="Pristimantis labiosus"/>
    <n v="1"/>
    <m/>
    <m/>
    <m/>
    <s v="Vías"/>
    <m/>
    <s v="Auditivo"/>
  </r>
  <r>
    <d v="2023-11-21T00:00:00"/>
    <m/>
    <m/>
    <d v="1899-12-30T00:00:00"/>
    <n v="-76.882324190000006"/>
    <n v="3.5523423670000001"/>
    <n v="567"/>
    <s v=""/>
    <x v="8"/>
    <n v="36"/>
    <n v="2"/>
    <m/>
    <x v="0"/>
    <m/>
    <x v="1"/>
    <x v="5"/>
    <m/>
    <s v="Bosque secundario"/>
    <s v="Danny Mora"/>
    <s v="Rasante &lt;0.3 m"/>
    <s v="Pristimantis labiosus"/>
    <n v="2"/>
    <m/>
    <m/>
    <m/>
    <m/>
    <m/>
    <s v="Auditivo"/>
  </r>
  <r>
    <d v="2023-11-24T00:00:00"/>
    <m/>
    <m/>
    <d v="1899-12-30T00:00:00"/>
    <n v="-76.889799999999994"/>
    <n v="3.5508898100000001"/>
    <n v="649"/>
    <s v=""/>
    <x v="8"/>
    <n v="26"/>
    <n v="10"/>
    <m/>
    <x v="0"/>
    <m/>
    <x v="1"/>
    <x v="4"/>
    <m/>
    <s v="Bosque primario"/>
    <s v="Sebastian ovalle"/>
    <s v="Rasante &lt;0.3 m"/>
    <s v="Craugastor longirostris"/>
    <n v="2"/>
    <m/>
    <m/>
    <m/>
    <m/>
    <m/>
    <s v="Observacion"/>
  </r>
  <r>
    <d v="2023-11-24T00:00:00"/>
    <m/>
    <m/>
    <d v="1899-12-30T00:00:00"/>
    <n v="-76.889700000000005"/>
    <n v="3.5508898100000001"/>
    <n v="649"/>
    <s v=""/>
    <x v="8"/>
    <n v="26"/>
    <n v="10"/>
    <m/>
    <x v="0"/>
    <m/>
    <x v="1"/>
    <x v="4"/>
    <m/>
    <s v="Bosque primario"/>
    <s v="Leonardo Belalcazar"/>
    <s v="Rasante &lt;0.3 m"/>
    <s v="Rhaebo haematiticus"/>
    <n v="6"/>
    <m/>
    <m/>
    <m/>
    <m/>
    <m/>
    <s v="Observacion"/>
  </r>
  <r>
    <d v="2023-11-24T00:00:00"/>
    <m/>
    <m/>
    <d v="1899-12-30T00:00:00"/>
    <n v="-76.889899999999997"/>
    <n v="3.5508898100000001"/>
    <n v="649"/>
    <s v=""/>
    <x v="8"/>
    <n v="26"/>
    <n v="10"/>
    <m/>
    <x v="0"/>
    <m/>
    <x v="1"/>
    <x v="4"/>
    <m/>
    <s v="Bosque primario"/>
    <s v="Sebastian ovalle"/>
    <s v="Rasante &lt;0.3 m"/>
    <s v="Rhaebo haematiticus"/>
    <n v="1"/>
    <m/>
    <m/>
    <m/>
    <m/>
    <m/>
    <s v="Observacion"/>
  </r>
  <r>
    <d v="2023-11-24T00:00:00"/>
    <m/>
    <m/>
    <d v="1899-12-30T00:00:00"/>
    <n v="-76.889399999999995"/>
    <n v="3.5508898100000001"/>
    <n v="649"/>
    <s v=""/>
    <x v="8"/>
    <n v="26"/>
    <n v="10"/>
    <m/>
    <x v="0"/>
    <m/>
    <x v="1"/>
    <x v="4"/>
    <m/>
    <s v="Bosque primario"/>
    <s v="Leonardo Belalcazar"/>
    <s v="Rasante &lt;0.3 m"/>
    <s v="Rhaebo haematiticus"/>
    <n v="1"/>
    <m/>
    <m/>
    <m/>
    <m/>
    <m/>
    <s v="Observacion"/>
  </r>
  <r>
    <d v="2023-11-24T00:00:00"/>
    <m/>
    <m/>
    <d v="1899-12-30T00:00:00"/>
    <n v="-76.889600000000002"/>
    <n v="3.5508898100000001"/>
    <n v="649"/>
    <s v=""/>
    <x v="8"/>
    <n v="26"/>
    <n v="10"/>
    <m/>
    <x v="0"/>
    <m/>
    <x v="1"/>
    <x v="4"/>
    <m/>
    <s v="Bosque primario"/>
    <s v="Sebastian Ovalle"/>
    <s v="Rasante &lt;0.3 m"/>
    <s v="Rhaebo haematiticus"/>
    <n v="3"/>
    <m/>
    <m/>
    <m/>
    <m/>
    <m/>
    <s v="Observacion"/>
  </r>
  <r>
    <d v="2023-11-24T00:00:00"/>
    <m/>
    <m/>
    <d v="1899-12-30T00:00:00"/>
    <n v="-76.889700000000005"/>
    <n v="3.5508898100000001"/>
    <n v="649"/>
    <s v=""/>
    <x v="8"/>
    <n v="26"/>
    <n v="10"/>
    <m/>
    <x v="0"/>
    <m/>
    <x v="1"/>
    <x v="4"/>
    <m/>
    <s v="Bosque primario"/>
    <s v="Leonardo Belalcazar"/>
    <s v="Rasante &lt;0.3 m"/>
    <s v="Rhaebo haematiticus"/>
    <n v="4"/>
    <m/>
    <m/>
    <m/>
    <m/>
    <m/>
    <s v="Observacion"/>
  </r>
  <r>
    <d v="2023-11-15T00:00:00"/>
    <m/>
    <m/>
    <d v="1899-12-30T00:00:00"/>
    <n v="-76.642499999999998"/>
    <n v="3.3492000000000002"/>
    <m/>
    <s v=""/>
    <x v="8"/>
    <n v="19"/>
    <n v="23.5"/>
    <m/>
    <x v="2"/>
    <m/>
    <x v="2"/>
    <x v="10"/>
    <m/>
    <s v="Bosque secundario"/>
    <s v="Alvaro Fierro"/>
    <m/>
    <s v="Pristimantis palmeri"/>
    <n v="4"/>
    <m/>
    <m/>
    <m/>
    <s v="Deforestación"/>
    <m/>
    <s v="Auditivo"/>
  </r>
  <r>
    <d v="2023-11-15T00:00:00"/>
    <m/>
    <m/>
    <d v="1899-12-30T00:00:00"/>
    <n v="-76.642595760000006"/>
    <n v="3.3490348440000002"/>
    <m/>
    <s v=""/>
    <x v="8"/>
    <n v="19"/>
    <n v="23.5"/>
    <m/>
    <x v="2"/>
    <m/>
    <x v="2"/>
    <x v="10"/>
    <m/>
    <s v="Bosque secundario"/>
    <s v="Alvaro Fierro"/>
    <s v="Herbaceo 0.3-1.5 m"/>
    <s v="Pristimantis palmeri"/>
    <n v="1"/>
    <m/>
    <m/>
    <m/>
    <m/>
    <m/>
    <s v="Observacion"/>
  </r>
  <r>
    <d v="2023-11-22T00:00:00"/>
    <m/>
    <m/>
    <d v="1899-12-30T00:00:00"/>
    <n v="-76.880200000000002"/>
    <n v="3.5768"/>
    <n v="712"/>
    <s v=""/>
    <x v="8"/>
    <n v="25"/>
    <n v="3.5"/>
    <m/>
    <x v="0"/>
    <m/>
    <x v="0"/>
    <x v="2"/>
    <m/>
    <s v="Bosque primario"/>
    <s v="Danny Mora"/>
    <s v="Rasante &lt;0.3 m"/>
    <s v="Rhaebo haematiticus"/>
    <n v="1"/>
    <m/>
    <m/>
    <m/>
    <m/>
    <m/>
    <s v="Observacion"/>
  </r>
  <r>
    <d v="2023-11-22T00:00:00"/>
    <m/>
    <m/>
    <d v="1899-12-30T00:00:00"/>
    <n v="-76.880417850000001"/>
    <n v="3.576938942"/>
    <n v="702"/>
    <s v=""/>
    <x v="8"/>
    <n v="21"/>
    <n v="5"/>
    <m/>
    <x v="0"/>
    <m/>
    <x v="0"/>
    <x v="2"/>
    <m/>
    <s v="Bosque primario"/>
    <s v="Danny Mora"/>
    <s v="Herbaceo 0.3-1.5 m"/>
    <s v="Smilisca phaeota"/>
    <n v="1"/>
    <m/>
    <m/>
    <m/>
    <m/>
    <m/>
    <s v="Auditivo"/>
  </r>
  <r>
    <d v="2023-11-22T00:00:00"/>
    <m/>
    <m/>
    <d v="1899-12-30T00:00:00"/>
    <n v="-76.880713290000003"/>
    <n v="3.5779644660000001"/>
    <m/>
    <n v="4"/>
    <x v="8"/>
    <n v="17.5"/>
    <n v="5"/>
    <m/>
    <x v="0"/>
    <m/>
    <x v="1"/>
    <x v="2"/>
    <m/>
    <m/>
    <m/>
    <m/>
    <s v="Ninguna"/>
    <n v="0"/>
    <m/>
    <m/>
    <m/>
    <m/>
    <m/>
    <m/>
  </r>
  <r>
    <d v="2023-11-22T00:00:00"/>
    <m/>
    <m/>
    <d v="1899-12-30T10:34:28"/>
    <n v="-76.880606670000006"/>
    <n v="3.5793733329999999"/>
    <n v="758"/>
    <s v=""/>
    <x v="8"/>
    <n v="23"/>
    <n v="27.5"/>
    <m/>
    <x v="0"/>
    <m/>
    <x v="3"/>
    <x v="2"/>
    <m/>
    <s v="Bosque primario"/>
    <s v="Danny Mora"/>
    <s v="Rasante &lt;0.3 m"/>
    <s v="Oophaga lehmanni"/>
    <n v="1"/>
    <m/>
    <m/>
    <m/>
    <m/>
    <m/>
    <s v="Auditivo"/>
  </r>
  <r>
    <d v="2023-11-22T00:00:00"/>
    <m/>
    <m/>
    <d v="1899-12-30T10:37:39"/>
    <n v="-76.88063167"/>
    <n v="3.579615"/>
    <n v="758"/>
    <s v=""/>
    <x v="8"/>
    <n v="23"/>
    <n v="27.5"/>
    <m/>
    <x v="0"/>
    <m/>
    <x v="3"/>
    <x v="2"/>
    <m/>
    <s v="Bosque primario"/>
    <s v="Danny Mora"/>
    <s v="Rasante &lt;0.3 m"/>
    <s v="Oophaga lehmanni"/>
    <n v="1"/>
    <m/>
    <m/>
    <m/>
    <m/>
    <m/>
    <s v="Observacion"/>
  </r>
  <r>
    <d v="2023-11-22T00:00:00"/>
    <m/>
    <m/>
    <d v="1899-12-30T10:36:01"/>
    <n v="-76.880624999999995"/>
    <n v="3.5794433329999999"/>
    <n v="758"/>
    <s v=""/>
    <x v="8"/>
    <n v="23"/>
    <n v="27.5"/>
    <m/>
    <x v="0"/>
    <m/>
    <x v="3"/>
    <x v="2"/>
    <m/>
    <s v="Bosque primario"/>
    <s v="Otro"/>
    <s v="Rasante &lt;0.3 m"/>
    <s v="Oophaga lehmanni"/>
    <n v="1"/>
    <m/>
    <m/>
    <m/>
    <m/>
    <m/>
    <s v="Observacion"/>
  </r>
  <r>
    <d v="2023-11-22T00:00:00"/>
    <m/>
    <m/>
    <d v="1899-12-30T10:30:56"/>
    <n v="-76.880481669999995"/>
    <n v="3.5791116669999998"/>
    <n v="761"/>
    <s v=""/>
    <x v="8"/>
    <n v="23"/>
    <n v="27.5"/>
    <m/>
    <x v="0"/>
    <m/>
    <x v="3"/>
    <x v="2"/>
    <m/>
    <s v="Bosque primario"/>
    <s v="Otro"/>
    <s v="Rasante &lt;0.3 m"/>
    <s v="Oophaga lehmanni"/>
    <n v="1"/>
    <m/>
    <m/>
    <m/>
    <m/>
    <m/>
    <s v="Auditivo"/>
  </r>
  <r>
    <d v="2023-11-21T00:00:00"/>
    <m/>
    <m/>
    <d v="1899-12-30T00:00:00"/>
    <n v="-76.878399999999999"/>
    <n v="3.5434000000000001"/>
    <n v="434"/>
    <n v="3"/>
    <x v="8"/>
    <n v="16"/>
    <n v="6"/>
    <m/>
    <x v="0"/>
    <m/>
    <x v="0"/>
    <x v="3"/>
    <m/>
    <s v="Bosque ribereño"/>
    <s v="Otro"/>
    <s v="Rasante &lt;0.3 m"/>
    <s v="Craugastor raniformis"/>
    <n v="1"/>
    <m/>
    <m/>
    <m/>
    <m/>
    <m/>
    <s v="Auditivo"/>
  </r>
  <r>
    <d v="2023-11-21T00:00:00"/>
    <m/>
    <m/>
    <d v="1899-12-30T00:00:00"/>
    <n v="-76.878399999999999"/>
    <n v="3.5436000000000001"/>
    <n v="434"/>
    <n v="3"/>
    <x v="8"/>
    <n v="16"/>
    <n v="6"/>
    <m/>
    <x v="0"/>
    <m/>
    <x v="0"/>
    <x v="3"/>
    <m/>
    <s v="Bosque ribereño"/>
    <s v="Otro"/>
    <s v="Herbaceo 0.3-1.5 m"/>
    <s v="Hyalinobatrachium aureoguttatum"/>
    <n v="1"/>
    <m/>
    <m/>
    <m/>
    <m/>
    <m/>
    <s v="Observacion"/>
  </r>
  <r>
    <d v="2023-11-21T00:00:00"/>
    <m/>
    <m/>
    <d v="1899-12-30T00:00:00"/>
    <n v="-76.878399999999999"/>
    <n v="3.5434999999999999"/>
    <n v="434"/>
    <n v="3"/>
    <x v="8"/>
    <n v="16"/>
    <n v="6"/>
    <m/>
    <x v="0"/>
    <m/>
    <x v="0"/>
    <x v="3"/>
    <m/>
    <s v="Bosque ribereño"/>
    <s v="Otro"/>
    <s v="Rasante &lt;0.3 m"/>
    <s v="Rhaebo haematiticus"/>
    <n v="1"/>
    <m/>
    <m/>
    <m/>
    <m/>
    <m/>
    <s v="Observacion"/>
  </r>
  <r>
    <d v="2023-11-21T00:00:00"/>
    <m/>
    <m/>
    <d v="1899-12-30T00:00:00"/>
    <n v="-76.878500000000003"/>
    <n v="3.5432000000000001"/>
    <n v="434"/>
    <n v="3"/>
    <x v="8"/>
    <n v="16"/>
    <n v="6"/>
    <m/>
    <x v="0"/>
    <m/>
    <x v="0"/>
    <x v="3"/>
    <m/>
    <s v="Bosque ribereño"/>
    <s v="Otro"/>
    <s v="Arbustivo 1.5-5 m"/>
    <s v="Hyalinobatrachium aureoguttatum"/>
    <n v="1"/>
    <m/>
    <m/>
    <m/>
    <m/>
    <m/>
    <s v="Observacion"/>
  </r>
  <r>
    <d v="2023-11-21T00:00:00"/>
    <m/>
    <m/>
    <d v="1899-12-30T00:00:00"/>
    <n v="-76.878299999999996"/>
    <n v="3.5438000000000001"/>
    <n v="434"/>
    <n v="4.5"/>
    <x v="8"/>
    <n v="27.5"/>
    <n v="12.5"/>
    <m/>
    <x v="0"/>
    <m/>
    <x v="0"/>
    <x v="3"/>
    <m/>
    <s v="Bosque ribereño"/>
    <s v="Otro"/>
    <s v="Arbustivo 1.5-5 m"/>
    <s v="Hyalinobatrachium aureoguttatum"/>
    <n v="1"/>
    <m/>
    <m/>
    <m/>
    <m/>
    <m/>
    <s v="Observacion"/>
  </r>
  <r>
    <d v="2023-11-21T00:00:00"/>
    <m/>
    <m/>
    <d v="1899-12-30T00:00:00"/>
    <n v="-76.87818"/>
    <n v="3.544"/>
    <n v="434"/>
    <n v="4.5"/>
    <x v="8"/>
    <n v="27.5"/>
    <n v="12.5"/>
    <m/>
    <x v="0"/>
    <m/>
    <x v="0"/>
    <x v="3"/>
    <m/>
    <s v="Bosque ribereño"/>
    <s v="Otro"/>
    <s v="Rasante &lt;0.3 m"/>
    <s v="Rhaebo haematiticus"/>
    <n v="2"/>
    <m/>
    <m/>
    <m/>
    <m/>
    <m/>
    <s v="Observacion"/>
  </r>
  <r>
    <d v="2023-11-21T00:00:00"/>
    <m/>
    <m/>
    <d v="1899-12-30T00:00:00"/>
    <n v="-76.878299999999996"/>
    <n v="3.5438999999999998"/>
    <n v="434"/>
    <n v="4.5"/>
    <x v="8"/>
    <n v="27.5"/>
    <n v="12.5"/>
    <m/>
    <x v="0"/>
    <m/>
    <x v="0"/>
    <x v="3"/>
    <m/>
    <s v="Bosque ribereño"/>
    <s v="Otro"/>
    <s v="Arbustivo 1.5-5 m"/>
    <s v="Hyalinobatrachium aureoguttatum"/>
    <n v="2"/>
    <m/>
    <m/>
    <m/>
    <m/>
    <m/>
    <s v="Observacion"/>
  </r>
  <r>
    <d v="2023-11-21T00:00:00"/>
    <m/>
    <m/>
    <d v="1899-12-30T00:00:00"/>
    <n v="-76.878299999999996"/>
    <n v="3.5436999999999999"/>
    <n v="434"/>
    <n v="4.5"/>
    <x v="8"/>
    <n v="27.5"/>
    <n v="12.5"/>
    <m/>
    <x v="0"/>
    <m/>
    <x v="0"/>
    <x v="3"/>
    <m/>
    <s v="Bosque ribereño"/>
    <s v="Otro"/>
    <s v="Rasante &lt;0.3 m"/>
    <s v="Rhaebo haematiticus"/>
    <n v="1"/>
    <m/>
    <m/>
    <m/>
    <m/>
    <m/>
    <s v="Observacion"/>
  </r>
  <r>
    <d v="2023-11-21T00:00:00"/>
    <m/>
    <m/>
    <d v="1899-12-30T00:00:00"/>
    <n v="-76.878342500000002"/>
    <n v="3.5436563950000002"/>
    <n v="434"/>
    <n v="4.5"/>
    <x v="8"/>
    <n v="27.5"/>
    <n v="12.5"/>
    <m/>
    <x v="0"/>
    <m/>
    <x v="0"/>
    <x v="3"/>
    <m/>
    <s v="Bosque ribereño"/>
    <s v="Otro"/>
    <s v="Herbaceo 0.3-1.5 m"/>
    <s v="Rhaebo haematiticus"/>
    <n v="1"/>
    <m/>
    <m/>
    <m/>
    <m/>
    <m/>
    <s v="Observacion"/>
  </r>
  <r>
    <d v="2023-11-21T00:00:00"/>
    <m/>
    <m/>
    <d v="1899-12-30T00:00:00"/>
    <n v="-76.882499999999993"/>
    <n v="3.5528"/>
    <m/>
    <n v="2.25"/>
    <x v="8"/>
    <n v="25"/>
    <n v="0"/>
    <m/>
    <x v="0"/>
    <m/>
    <x v="3"/>
    <x v="5"/>
    <m/>
    <s v="Bosque ribereño"/>
    <s v="Otro"/>
    <s v="Rasante &lt;0.3 m"/>
    <s v="Rhinella horribilis"/>
    <n v="1"/>
    <m/>
    <m/>
    <m/>
    <m/>
    <m/>
    <s v="Auditivo"/>
  </r>
  <r>
    <d v="2023-11-21T00:00:00"/>
    <m/>
    <m/>
    <d v="1899-12-30T00:00:00"/>
    <n v="-76.882544330000002"/>
    <n v="3.5526869849999998"/>
    <m/>
    <n v="2.25"/>
    <x v="8"/>
    <n v="25"/>
    <n v="0"/>
    <m/>
    <x v="0"/>
    <m/>
    <x v="3"/>
    <x v="5"/>
    <m/>
    <s v="Bosque ribereño"/>
    <s v="Otro"/>
    <s v="Arbustivo 1.5-5 m"/>
    <s v="Hyalinobatrachium aureoguttatum"/>
    <n v="1"/>
    <m/>
    <m/>
    <m/>
    <m/>
    <m/>
    <s v="Observacion"/>
  </r>
  <r>
    <d v="2023-11-24T00:00:00"/>
    <m/>
    <m/>
    <d v="1899-12-30T00:00:00"/>
    <n v="-76.882599999999996"/>
    <n v="3.5527000000000002"/>
    <n v="598"/>
    <n v="1.5"/>
    <x v="8"/>
    <n v="17.5"/>
    <n v="3.5"/>
    <m/>
    <x v="0"/>
    <m/>
    <x v="3"/>
    <x v="5"/>
    <m/>
    <s v="Bosque ribereño"/>
    <m/>
    <s v="Rasante &lt;0.3 m"/>
    <s v="Rhaebo haematiticus"/>
    <n v="1"/>
    <m/>
    <m/>
    <m/>
    <m/>
    <m/>
    <s v="Observacion"/>
  </r>
  <r>
    <d v="2023-11-24T00:00:00"/>
    <m/>
    <m/>
    <d v="1899-12-30T00:00:00"/>
    <n v="-76.882599999999996"/>
    <n v="3.5527000000000002"/>
    <n v="598"/>
    <n v="1.5"/>
    <x v="8"/>
    <n v="17.5"/>
    <n v="3.5"/>
    <m/>
    <x v="0"/>
    <m/>
    <x v="3"/>
    <x v="5"/>
    <m/>
    <s v="Bosque ribereño"/>
    <m/>
    <s v="Rasante &lt;0.3 m"/>
    <s v="Rhaebo haematiticus"/>
    <n v="1"/>
    <m/>
    <m/>
    <m/>
    <m/>
    <m/>
    <s v="Observacion"/>
  </r>
  <r>
    <d v="2023-11-24T00:00:00"/>
    <m/>
    <m/>
    <d v="1899-12-30T00:00:00"/>
    <n v="-76.878500000000003"/>
    <n v="3.5438000000000001"/>
    <n v="590"/>
    <n v="4.5"/>
    <x v="8"/>
    <n v="27.5"/>
    <n v="12.5"/>
    <m/>
    <x v="0"/>
    <m/>
    <x v="0"/>
    <x v="3"/>
    <m/>
    <s v="Bosque ribereño"/>
    <m/>
    <s v="Rasante &lt;0.3 m"/>
    <s v="Rhaebo haematiticus"/>
    <n v="4"/>
    <m/>
    <m/>
    <m/>
    <m/>
    <m/>
    <s v="Observacion"/>
  </r>
  <r>
    <d v="2023-11-24T00:00:00"/>
    <m/>
    <m/>
    <d v="1899-12-30T00:00:00"/>
    <n v="-76.878299999999996"/>
    <n v="3.5436999999999999"/>
    <n v="590"/>
    <n v="4.5"/>
    <x v="8"/>
    <n v="27.5"/>
    <n v="12.5"/>
    <m/>
    <x v="0"/>
    <m/>
    <x v="0"/>
    <x v="3"/>
    <m/>
    <s v="Bosque ribereño"/>
    <m/>
    <s v="Rasante &lt;0.3 m"/>
    <s v="Rhaebo haematiticus"/>
    <n v="1"/>
    <m/>
    <m/>
    <m/>
    <m/>
    <m/>
    <s v="Observacion"/>
  </r>
  <r>
    <d v="2023-11-24T00:00:00"/>
    <m/>
    <m/>
    <d v="1899-12-30T00:00:00"/>
    <n v="-76.878299999999996"/>
    <n v="3.5436000000000001"/>
    <n v="590"/>
    <n v="4.5"/>
    <x v="8"/>
    <n v="27.5"/>
    <n v="12.5"/>
    <m/>
    <x v="0"/>
    <m/>
    <x v="0"/>
    <x v="3"/>
    <m/>
    <s v="Bosque ribereño"/>
    <m/>
    <s v="Rasante &lt;0.3 m"/>
    <s v="Rhaebo haematiticus"/>
    <n v="8"/>
    <m/>
    <m/>
    <m/>
    <m/>
    <m/>
    <s v="Observacion"/>
  </r>
  <r>
    <d v="2023-11-23T00:00:00"/>
    <m/>
    <m/>
    <d v="1899-12-30T00:00:00"/>
    <n v="-76.880799999999994"/>
    <n v="3.5960000000000001"/>
    <n v="512"/>
    <s v=""/>
    <x v="8"/>
    <n v="30"/>
    <n v="12.5"/>
    <m/>
    <x v="0"/>
    <m/>
    <x v="4"/>
    <x v="1"/>
    <m/>
    <s v="Bosque primario"/>
    <m/>
    <s v="Rasante &lt;0.3 m"/>
    <s v="Craugastor longirostris"/>
    <n v="1"/>
    <m/>
    <m/>
    <m/>
    <s v="Vías"/>
    <m/>
    <s v="Observacion"/>
  </r>
  <r>
    <d v="2023-11-23T00:00:00"/>
    <m/>
    <m/>
    <d v="1899-12-30T00:00:00"/>
    <n v="-76.892063329999999"/>
    <n v="3.595215"/>
    <m/>
    <s v=""/>
    <x v="8"/>
    <n v="22.5"/>
    <n v="17.5"/>
    <m/>
    <x v="0"/>
    <m/>
    <x v="1"/>
    <x v="0"/>
    <m/>
    <m/>
    <m/>
    <m/>
    <s v="Ninguna"/>
    <n v="0"/>
    <m/>
    <m/>
    <m/>
    <m/>
    <m/>
    <m/>
  </r>
  <r>
    <d v="2023-11-14T00:00:00"/>
    <m/>
    <m/>
    <d v="1899-12-30T00:00:00"/>
    <n v="-76.647300000000001"/>
    <n v="3.3481999999999998"/>
    <m/>
    <n v="1"/>
    <x v="8"/>
    <n v="14"/>
    <n v="6"/>
    <m/>
    <x v="2"/>
    <m/>
    <x v="0"/>
    <x v="11"/>
    <m/>
    <m/>
    <m/>
    <m/>
    <s v="Ninguna"/>
    <n v="0"/>
    <m/>
    <m/>
    <m/>
    <m/>
    <m/>
    <m/>
  </r>
  <r>
    <d v="2023-11-21T00:00:00"/>
    <m/>
    <m/>
    <d v="1899-12-30T00:00:00"/>
    <n v="-76.890325000000004"/>
    <n v="3.5508683329999999"/>
    <m/>
    <s v=""/>
    <x v="8"/>
    <n v="15"/>
    <n v="7.5"/>
    <m/>
    <x v="0"/>
    <m/>
    <x v="0"/>
    <x v="4"/>
    <m/>
    <s v="Bosque ribereño"/>
    <s v="Otro"/>
    <s v="Herbaceo 0.3-1.5 m"/>
    <s v="Hyalinobatrachium aureoguttatum"/>
    <n v="3"/>
    <m/>
    <m/>
    <m/>
    <m/>
    <m/>
    <s v="Auditivo"/>
  </r>
  <r>
    <d v="2023-11-21T00:00:00"/>
    <m/>
    <m/>
    <d v="1899-12-30T00:00:00"/>
    <n v="-76.890325000000004"/>
    <n v="3.5508683329999999"/>
    <m/>
    <s v=""/>
    <x v="8"/>
    <n v="15"/>
    <n v="7.5"/>
    <m/>
    <x v="0"/>
    <m/>
    <x v="0"/>
    <x v="4"/>
    <m/>
    <s v="Bosque ribereño"/>
    <s v="Otro"/>
    <s v="Herbaceo 0.3-1.5 m"/>
    <s v="Hyloscirtus palmeri"/>
    <n v="1"/>
    <m/>
    <m/>
    <m/>
    <m/>
    <m/>
    <s v="Observacion"/>
  </r>
  <r>
    <d v="2023-11-24T00:00:00"/>
    <m/>
    <m/>
    <d v="1899-12-30T00:00:00"/>
    <n v="-76.87715"/>
    <n v="3.5433366670000002"/>
    <m/>
    <s v=""/>
    <x v="8"/>
    <n v="32.5"/>
    <n v="22.5"/>
    <m/>
    <x v="0"/>
    <m/>
    <x v="1"/>
    <x v="3"/>
    <m/>
    <m/>
    <m/>
    <m/>
    <s v="Ninguna"/>
    <n v="0"/>
    <m/>
    <m/>
    <m/>
    <s v="Vías"/>
    <m/>
    <m/>
  </r>
  <r>
    <d v="2023-11-23T00:00:00"/>
    <m/>
    <m/>
    <d v="1899-12-30T00:00:00"/>
    <n v="-76.8827"/>
    <n v="3.5903"/>
    <n v="683"/>
    <s v=""/>
    <x v="8"/>
    <e v="#DIV/0!"/>
    <s v=""/>
    <m/>
    <x v="0"/>
    <m/>
    <x v="1"/>
    <x v="1"/>
    <m/>
    <s v="Bosque ribereño"/>
    <m/>
    <s v="Herbaceo 0.3-1.5 m"/>
    <s v="Hyloscirtus palmeri"/>
    <n v="1"/>
    <m/>
    <m/>
    <m/>
    <m/>
    <m/>
    <s v="Auditivo"/>
  </r>
  <r>
    <d v="2023-11-23T00:00:00"/>
    <m/>
    <m/>
    <d v="1899-12-30T00:00:00"/>
    <n v="-76.8827"/>
    <n v="3.5903"/>
    <n v="683"/>
    <n v="1.25"/>
    <x v="8"/>
    <n v="27.5"/>
    <n v="45"/>
    <m/>
    <x v="0"/>
    <m/>
    <x v="1"/>
    <x v="1"/>
    <m/>
    <s v="Bosque ribereño"/>
    <m/>
    <s v="Herbaceo 0.3-1.5 m"/>
    <s v="Espadarana prosoblepon"/>
    <n v="1"/>
    <m/>
    <m/>
    <m/>
    <m/>
    <m/>
    <s v="Auditivo"/>
  </r>
  <r>
    <d v="2023-11-15T00:00:00"/>
    <m/>
    <m/>
    <d v="1899-12-30T00:00:00"/>
    <n v="-76.640676099999993"/>
    <n v="3.3500424560000002"/>
    <m/>
    <s v=""/>
    <x v="8"/>
    <n v="15"/>
    <n v="3.5"/>
    <m/>
    <x v="2"/>
    <m/>
    <x v="1"/>
    <x v="15"/>
    <m/>
    <s v="Bosque primario"/>
    <s v="Otro"/>
    <s v="Herbaceo 0.3-1.5 m"/>
    <s v="Pristimantis palmeri"/>
    <n v="1"/>
    <m/>
    <m/>
    <m/>
    <m/>
    <m/>
    <s v="Observacion"/>
  </r>
  <r>
    <d v="2023-11-15T00:00:00"/>
    <m/>
    <m/>
    <d v="1899-12-30T00:00:00"/>
    <n v="-76.640900000000002"/>
    <n v="3.35"/>
    <m/>
    <s v=""/>
    <x v="8"/>
    <n v="15"/>
    <n v="3.5"/>
    <m/>
    <x v="2"/>
    <m/>
    <x v="1"/>
    <x v="15"/>
    <m/>
    <s v="Bosque primario"/>
    <s v="Alvaro Fierro"/>
    <s v="Herbaceo 0.3-1.5 m"/>
    <s v="Pristimantis palmeri"/>
    <n v="1"/>
    <m/>
    <m/>
    <m/>
    <m/>
    <m/>
    <s v="Observacion"/>
  </r>
  <r>
    <d v="2023-11-15T00:00:00"/>
    <m/>
    <m/>
    <d v="1899-12-30T00:00:00"/>
    <n v="-76.640600000000006"/>
    <n v="3.3502000000000001"/>
    <m/>
    <s v=""/>
    <x v="8"/>
    <n v="15"/>
    <n v="3.5"/>
    <m/>
    <x v="2"/>
    <m/>
    <x v="1"/>
    <x v="15"/>
    <m/>
    <s v="Bosque primario"/>
    <s v="Alvaro Fierro"/>
    <m/>
    <s v="Pristimantis palmeri"/>
    <n v="2"/>
    <m/>
    <m/>
    <m/>
    <m/>
    <m/>
    <s v="Auditivo"/>
  </r>
  <r>
    <d v="2023-11-15T00:00:00"/>
    <m/>
    <m/>
    <d v="1899-12-30T00:00:00"/>
    <n v="-76.640799999999999"/>
    <n v="3.35"/>
    <m/>
    <s v=""/>
    <x v="8"/>
    <n v="15"/>
    <n v="3.5"/>
    <m/>
    <x v="2"/>
    <m/>
    <x v="1"/>
    <x v="15"/>
    <m/>
    <s v="Bosque primario"/>
    <s v="Alvaro Fierro"/>
    <s v="Herbaceo 0.3-1.5 m"/>
    <s v="Pristimantis palmeri"/>
    <n v="1"/>
    <m/>
    <m/>
    <m/>
    <m/>
    <m/>
    <s v="Observacion"/>
  </r>
  <r>
    <d v="2023-11-24T00:00:00"/>
    <m/>
    <m/>
    <d v="1899-12-30T00:00:00"/>
    <n v="-76.881100000000004"/>
    <n v="3.5527000000000002"/>
    <n v="598"/>
    <s v=""/>
    <x v="8"/>
    <n v="20"/>
    <n v="15"/>
    <m/>
    <x v="0"/>
    <m/>
    <x v="0"/>
    <x v="5"/>
    <m/>
    <s v="Bosque primario"/>
    <s v="Danny Mora"/>
    <s v="Rasante &lt;0.3 m"/>
    <s v="Pristimantis labiosus"/>
    <n v="1"/>
    <m/>
    <m/>
    <m/>
    <m/>
    <m/>
    <s v="Auditivo"/>
  </r>
  <r>
    <d v="2023-11-24T00:00:00"/>
    <m/>
    <m/>
    <d v="1899-12-30T00:00:00"/>
    <n v="-76.881399999999999"/>
    <n v="3.5527000000000002"/>
    <n v="598"/>
    <s v=""/>
    <x v="8"/>
    <n v="20"/>
    <n v="15"/>
    <m/>
    <x v="0"/>
    <m/>
    <x v="0"/>
    <x v="5"/>
    <m/>
    <s v="Bosque primario"/>
    <s v="Danny Mora"/>
    <s v="Rasante &lt;0.3 m"/>
    <s v="Rhaebo haematiticus"/>
    <n v="1"/>
    <m/>
    <m/>
    <m/>
    <s v="Vías"/>
    <m/>
    <s v="Auditivo"/>
  </r>
  <r>
    <d v="2023-11-23T00:00:00"/>
    <m/>
    <m/>
    <d v="1899-12-30T21:12:02"/>
    <n v="-76.880700000000004"/>
    <n v="3.5962999999999998"/>
    <n v="559"/>
    <n v="1"/>
    <x v="8"/>
    <n v="21"/>
    <n v="30"/>
    <m/>
    <x v="0"/>
    <m/>
    <x v="3"/>
    <x v="1"/>
    <m/>
    <s v="Bosque ribereño"/>
    <m/>
    <s v="Herbaceo 0.3-1.5 m"/>
    <s v="Espadarana prosoblepon"/>
    <n v="1"/>
    <m/>
    <m/>
    <m/>
    <m/>
    <m/>
    <s v="Observacion"/>
  </r>
  <r>
    <d v="2023-11-23T00:00:00"/>
    <m/>
    <m/>
    <d v="1899-12-30T21:12:02"/>
    <n v="-76.880899999999997"/>
    <n v="3.5962999999999998"/>
    <n v="559"/>
    <n v="1"/>
    <x v="8"/>
    <n v="21"/>
    <n v="30"/>
    <m/>
    <x v="0"/>
    <m/>
    <x v="3"/>
    <x v="1"/>
    <m/>
    <s v="Bosque ribereño"/>
    <m/>
    <s v="Herbaceo 0.3-1.5 m"/>
    <s v="Espadarana prosoblepon"/>
    <n v="1"/>
    <m/>
    <m/>
    <m/>
    <m/>
    <m/>
    <s v="Auditivo"/>
  </r>
  <r>
    <d v="2023-11-23T00:00:00"/>
    <m/>
    <m/>
    <d v="1899-12-30T00:00:00"/>
    <n v="-76.883099999999999"/>
    <n v="3.5897999999999999"/>
    <n v="492"/>
    <n v="1.75"/>
    <x v="8"/>
    <n v="25"/>
    <n v="37.5"/>
    <m/>
    <x v="0"/>
    <m/>
    <x v="1"/>
    <x v="1"/>
    <m/>
    <s v="Bosque ribereño"/>
    <m/>
    <s v="Rasante &lt;0.3 m"/>
    <s v="Oophaga lehmanni"/>
    <n v="1"/>
    <m/>
    <m/>
    <m/>
    <m/>
    <m/>
    <s v="Observacion"/>
  </r>
  <r>
    <d v="2023-11-22T00:00:00"/>
    <m/>
    <m/>
    <d v="1899-12-30T00:00:00"/>
    <n v="-76.880499999999998"/>
    <n v="3.5794000000000001"/>
    <n v="741"/>
    <s v=""/>
    <x v="8"/>
    <n v="25"/>
    <n v="35"/>
    <m/>
    <x v="0"/>
    <m/>
    <x v="3"/>
    <x v="2"/>
    <m/>
    <s v="Bosque primario"/>
    <m/>
    <s v="Rasante &lt;0.3 m"/>
    <s v="Oophaga lehmanni"/>
    <n v="1"/>
    <m/>
    <m/>
    <m/>
    <m/>
    <m/>
    <s v="Auditivo"/>
  </r>
  <r>
    <d v="2023-11-22T00:00:00"/>
    <m/>
    <m/>
    <d v="1899-12-30T00:00:00"/>
    <n v="-76.880350469999996"/>
    <n v="3.5792999999999999"/>
    <n v="741"/>
    <s v=""/>
    <x v="8"/>
    <n v="25"/>
    <n v="35"/>
    <m/>
    <x v="0"/>
    <m/>
    <x v="3"/>
    <x v="2"/>
    <m/>
    <s v="Bosque primario"/>
    <m/>
    <s v="Rasante &lt;0.3 m"/>
    <s v="Oophaga lehmanni"/>
    <n v="1"/>
    <m/>
    <m/>
    <m/>
    <m/>
    <m/>
    <s v="Auditivo"/>
  </r>
  <r>
    <d v="2023-11-22T00:00:00"/>
    <m/>
    <m/>
    <d v="1899-12-30T00:00:00"/>
    <n v="-76.880600000000001"/>
    <n v="3.5796000000000001"/>
    <n v="741"/>
    <s v=""/>
    <x v="8"/>
    <n v="25"/>
    <n v="35"/>
    <m/>
    <x v="0"/>
    <m/>
    <x v="3"/>
    <x v="2"/>
    <m/>
    <s v="Bosque primario"/>
    <m/>
    <s v="Rasante &lt;0.3 m"/>
    <s v="Oophaga lehmanni"/>
    <n v="1"/>
    <m/>
    <m/>
    <m/>
    <m/>
    <m/>
    <s v="Auditivo"/>
  </r>
  <r>
    <d v="2023-11-22T00:00:00"/>
    <m/>
    <m/>
    <d v="1899-12-30T00:00:00"/>
    <n v="-76.880499999999998"/>
    <n v="3.5790999999999999"/>
    <n v="741"/>
    <s v=""/>
    <x v="8"/>
    <n v="25"/>
    <n v="35"/>
    <m/>
    <x v="0"/>
    <m/>
    <x v="3"/>
    <x v="2"/>
    <m/>
    <s v="Bosque primario"/>
    <m/>
    <s v="Rasante &lt;0.3 m"/>
    <s v="Oophaga lehmanni"/>
    <n v="1"/>
    <m/>
    <m/>
    <m/>
    <m/>
    <m/>
    <s v="Observacion"/>
  </r>
  <r>
    <d v="2023-11-22T00:00:00"/>
    <m/>
    <m/>
    <d v="1899-12-30T00:00:00"/>
    <n v="-76.880350469999996"/>
    <n v="3.5793394840000001"/>
    <n v="741"/>
    <s v=""/>
    <x v="8"/>
    <n v="25"/>
    <n v="35"/>
    <m/>
    <x v="0"/>
    <m/>
    <x v="3"/>
    <x v="2"/>
    <m/>
    <s v="Bosque primario"/>
    <m/>
    <s v="Rasante &lt;0.3 m"/>
    <s v="Oophaga lehmanni"/>
    <n v="1"/>
    <m/>
    <m/>
    <m/>
    <m/>
    <m/>
    <s v="Auditivo"/>
  </r>
  <r>
    <d v="2023-11-16T00:00:00"/>
    <m/>
    <m/>
    <d v="1899-12-30T00:00:00"/>
    <n v="-76.656000000000006"/>
    <n v="3.3546999999999998"/>
    <n v="2570"/>
    <s v=""/>
    <x v="8"/>
    <e v="#DIV/0!"/>
    <s v=""/>
    <m/>
    <x v="2"/>
    <m/>
    <x v="1"/>
    <x v="14"/>
    <m/>
    <s v="Bosque secundario"/>
    <s v="Otro"/>
    <s v="Aéreo"/>
    <s v="Pristimantis brevifrons"/>
    <n v="1"/>
    <m/>
    <m/>
    <m/>
    <m/>
    <m/>
    <s v="Observacion"/>
  </r>
  <r>
    <d v="2023-11-16T00:00:00"/>
    <m/>
    <m/>
    <d v="1899-12-30T00:00:00"/>
    <n v="-76.656218330000002"/>
    <n v="3.3547473220000001"/>
    <n v="2570"/>
    <s v=""/>
    <x v="8"/>
    <n v="15"/>
    <n v="25"/>
    <m/>
    <x v="2"/>
    <m/>
    <x v="1"/>
    <x v="14"/>
    <m/>
    <s v="Bosque secundario"/>
    <s v="Alvaro Fierro"/>
    <m/>
    <s v="Pristimantis brevifrons"/>
    <n v="2"/>
    <m/>
    <m/>
    <m/>
    <m/>
    <m/>
    <s v="Auditivo"/>
  </r>
  <r>
    <d v="2023-11-23T00:00:00"/>
    <m/>
    <m/>
    <d v="1899-12-30T00:00:00"/>
    <n v="-76.877799999999993"/>
    <n v="3.585"/>
    <n v="559"/>
    <n v="1.25"/>
    <x v="8"/>
    <n v="30"/>
    <n v="10"/>
    <m/>
    <x v="0"/>
    <m/>
    <x v="2"/>
    <x v="22"/>
    <m/>
    <s v="Bosque ribereño"/>
    <m/>
    <s v="Rasante &lt;0.3 m"/>
    <s v="Hyloscirtus palmeri"/>
    <n v="2"/>
    <m/>
    <m/>
    <m/>
    <m/>
    <m/>
    <s v="Auditivo"/>
  </r>
  <r>
    <d v="2023-11-23T00:00:00"/>
    <m/>
    <m/>
    <d v="1899-12-30T00:00:00"/>
    <n v="-76.877799999999993"/>
    <n v="3.5851999999999999"/>
    <n v="559"/>
    <n v="1.25"/>
    <x v="8"/>
    <n v="30"/>
    <n v="10"/>
    <m/>
    <x v="0"/>
    <m/>
    <x v="2"/>
    <x v="22"/>
    <m/>
    <s v="Bosque ribereño"/>
    <m/>
    <s v="Herbaceo 0.3-1.5 m"/>
    <s v="Hyloscirtus palmeri"/>
    <n v="1"/>
    <m/>
    <m/>
    <m/>
    <m/>
    <m/>
    <s v="Auditivo"/>
  </r>
  <r>
    <d v="2023-11-23T00:00:00"/>
    <m/>
    <m/>
    <d v="1899-12-30T00:00:00"/>
    <n v="-76.878"/>
    <n v="3.5853000000000002"/>
    <n v="559"/>
    <n v="1.25"/>
    <x v="8"/>
    <n v="30"/>
    <n v="10"/>
    <m/>
    <x v="0"/>
    <m/>
    <x v="2"/>
    <x v="22"/>
    <m/>
    <s v="Bosque ribereño"/>
    <m/>
    <s v="Herbaceo 0.3-1.5 m"/>
    <s v="Hyloscirtus palmeri"/>
    <n v="1"/>
    <m/>
    <m/>
    <m/>
    <m/>
    <m/>
    <s v="Auditivo"/>
  </r>
  <r>
    <d v="2023-11-23T00:00:00"/>
    <m/>
    <m/>
    <d v="1899-12-30T00:00:00"/>
    <n v="-76.877799999999993"/>
    <n v="3.5851000000000002"/>
    <n v="559"/>
    <n v="1.25"/>
    <x v="8"/>
    <n v="30"/>
    <n v="10"/>
    <m/>
    <x v="0"/>
    <m/>
    <x v="2"/>
    <x v="22"/>
    <m/>
    <s v="Bosque ribereño"/>
    <m/>
    <s v="Herbaceo 0.3-1.5 m"/>
    <s v="Espadarana prosoblepon"/>
    <n v="1"/>
    <m/>
    <m/>
    <m/>
    <m/>
    <m/>
    <s v="Auditivo"/>
  </r>
  <r>
    <d v="2023-11-21T00:00:00"/>
    <m/>
    <m/>
    <d v="1899-12-30T00:00:00"/>
    <n v="-76.882999999999996"/>
    <n v="3.5525000000000002"/>
    <n v="575"/>
    <s v=""/>
    <x v="8"/>
    <n v="25"/>
    <n v="5"/>
    <m/>
    <x v="0"/>
    <m/>
    <x v="2"/>
    <x v="5"/>
    <m/>
    <s v="Bosque secundario"/>
    <s v="Danny Mora"/>
    <s v="Rasante &lt;0.3 m"/>
    <s v="Rhaebo haematiticus"/>
    <n v="1"/>
    <m/>
    <m/>
    <m/>
    <s v="Vías"/>
    <m/>
    <s v="Observacion"/>
  </r>
  <r>
    <d v="2023-11-21T00:00:00"/>
    <m/>
    <m/>
    <d v="1899-12-30T00:00:00"/>
    <n v="-76.883099999999999"/>
    <n v="3.5525000000000002"/>
    <n v="575"/>
    <s v=""/>
    <x v="8"/>
    <n v="25"/>
    <n v="5"/>
    <m/>
    <x v="0"/>
    <m/>
    <x v="2"/>
    <x v="5"/>
    <m/>
    <s v="Bosque secundario"/>
    <s v="Danny Mora"/>
    <s v="Rasante &lt;0.3 m"/>
    <s v="Craugastor raniformis"/>
    <n v="2"/>
    <m/>
    <m/>
    <m/>
    <s v="Vías"/>
    <m/>
    <s v="Observacion"/>
  </r>
  <r>
    <d v="2023-11-22T00:00:00"/>
    <m/>
    <m/>
    <d v="1899-12-30T00:00:00"/>
    <n v="-76.880417850000001"/>
    <n v="3.576938942"/>
    <m/>
    <s v=""/>
    <x v="8"/>
    <n v="21"/>
    <n v="5"/>
    <m/>
    <x v="0"/>
    <m/>
    <x v="0"/>
    <x v="2"/>
    <m/>
    <m/>
    <m/>
    <m/>
    <s v="Ninguna"/>
    <n v="0"/>
    <m/>
    <m/>
    <m/>
    <m/>
    <m/>
    <m/>
  </r>
  <r>
    <d v="2023-11-21T00:00:00"/>
    <m/>
    <m/>
    <d v="1899-12-30T00:00:00"/>
    <n v="-76.878"/>
    <n v="3.5436999999999999"/>
    <n v="583"/>
    <s v=""/>
    <x v="8"/>
    <n v="20"/>
    <n v="19"/>
    <m/>
    <x v="0"/>
    <m/>
    <x v="1"/>
    <x v="3"/>
    <m/>
    <s v="Bosque primario"/>
    <s v="Otro"/>
    <s v="Arbustivo 1.5-5 m"/>
    <s v="Hyalinobatrachium aureoguttatum"/>
    <n v="1"/>
    <m/>
    <m/>
    <m/>
    <s v="Vías"/>
    <m/>
    <s v="Observacion"/>
  </r>
  <r>
    <d v="2023-11-21T00:00:00"/>
    <m/>
    <m/>
    <d v="1899-12-30T00:00:00"/>
    <n v="-76.87778788"/>
    <n v="3.5435525459999999"/>
    <n v="583"/>
    <s v=""/>
    <x v="8"/>
    <n v="20"/>
    <n v="19"/>
    <m/>
    <x v="0"/>
    <m/>
    <x v="1"/>
    <x v="3"/>
    <m/>
    <s v="Bosque ribereño"/>
    <s v="Otro"/>
    <s v="Rasante &lt;0.3 m"/>
    <s v="Craugastor raniformis"/>
    <n v="1"/>
    <m/>
    <m/>
    <m/>
    <s v="Vías"/>
    <m/>
    <s v="Auditivo"/>
  </r>
  <r>
    <d v="2023-11-21T00:00:00"/>
    <m/>
    <m/>
    <d v="1899-12-30T00:00:00"/>
    <n v="-76.877700000000004"/>
    <n v="3.5434000000000001"/>
    <n v="583"/>
    <s v=""/>
    <x v="8"/>
    <n v="20"/>
    <n v="19"/>
    <m/>
    <x v="0"/>
    <m/>
    <x v="1"/>
    <x v="3"/>
    <m/>
    <s v="Bosque ribereño"/>
    <s v="Otro"/>
    <s v="Herbaceo 0.3-1.5 m"/>
    <s v="Hyalinobatrachium aureoguttatum"/>
    <n v="2"/>
    <m/>
    <m/>
    <m/>
    <m/>
    <m/>
    <s v="Auditivo"/>
  </r>
  <r>
    <d v="2023-11-24T00:00:00"/>
    <m/>
    <m/>
    <d v="1899-12-30T00:00:00"/>
    <n v="-76.890600000000006"/>
    <n v="3.5508999999999999"/>
    <n v="648"/>
    <n v="7"/>
    <x v="8"/>
    <n v="15"/>
    <n v="7.5"/>
    <m/>
    <x v="0"/>
    <m/>
    <x v="0"/>
    <x v="4"/>
    <m/>
    <s v="Bosque ribereño"/>
    <m/>
    <s v="Rasante &lt;0.3 m"/>
    <s v="Rhaebo haematiticus"/>
    <n v="5"/>
    <m/>
    <m/>
    <m/>
    <m/>
    <m/>
    <s v="Observacion"/>
  </r>
  <r>
    <d v="2023-11-24T00:00:00"/>
    <m/>
    <m/>
    <d v="1899-12-30T00:00:00"/>
    <n v="-76.882616670000004"/>
    <n v="3.5526783329999998"/>
    <m/>
    <s v=""/>
    <x v="8"/>
    <n v="30"/>
    <n v="5"/>
    <m/>
    <x v="0"/>
    <m/>
    <x v="1"/>
    <x v="5"/>
    <m/>
    <m/>
    <m/>
    <m/>
    <s v="Ninguna"/>
    <n v="0"/>
    <m/>
    <m/>
    <m/>
    <s v="Vías"/>
    <m/>
    <m/>
  </r>
  <r>
    <d v="2023-11-15T00:00:00"/>
    <m/>
    <m/>
    <d v="1899-12-30T00:00:00"/>
    <n v="-76.644931700000001"/>
    <n v="3.3497404639999999"/>
    <n v="2478"/>
    <s v=""/>
    <x v="8"/>
    <n v="10"/>
    <n v="25"/>
    <m/>
    <x v="2"/>
    <m/>
    <x v="3"/>
    <x v="11"/>
    <m/>
    <s v="Bosque secundario"/>
    <s v="Otro"/>
    <s v="Rasante &lt;0.3 m"/>
    <s v="Pristimantis erythropleura"/>
    <n v="1"/>
    <m/>
    <m/>
    <m/>
    <s v="Deforestación"/>
    <m/>
    <s v="Observacion"/>
  </r>
  <r>
    <d v="2023-11-21T00:00:00"/>
    <m/>
    <m/>
    <d v="1899-12-30T00:00:00"/>
    <n v="-76.889899999999997"/>
    <n v="3.5508898100000001"/>
    <m/>
    <s v=""/>
    <x v="8"/>
    <n v="27.5"/>
    <n v="12.5"/>
    <m/>
    <x v="0"/>
    <m/>
    <x v="1"/>
    <x v="4"/>
    <m/>
    <s v="Bosque primario"/>
    <s v="Otro"/>
    <s v="Rasante &lt;0.3 m"/>
    <s v="Pristimantis labiosus"/>
    <n v="1"/>
    <m/>
    <m/>
    <m/>
    <m/>
    <m/>
    <s v="Auditivo"/>
  </r>
  <r>
    <d v="2023-11-21T00:00:00"/>
    <m/>
    <m/>
    <d v="1899-12-30T00:00:00"/>
    <n v="-76.88966053"/>
    <n v="3.5508898100000001"/>
    <m/>
    <s v=""/>
    <x v="8"/>
    <n v="27.5"/>
    <n v="12.5"/>
    <m/>
    <x v="0"/>
    <m/>
    <x v="1"/>
    <x v="4"/>
    <m/>
    <s v="Bosque primario"/>
    <s v="Otro"/>
    <s v="Rasante &lt;0.3 m"/>
    <s v="Boana rosengbergi"/>
    <n v="1"/>
    <m/>
    <m/>
    <m/>
    <m/>
    <m/>
    <s v="Auditivo"/>
  </r>
  <r>
    <d v="2023-11-15T00:00:00"/>
    <m/>
    <m/>
    <d v="1899-12-30T21:50:06"/>
    <n v="-76.643799999999999"/>
    <n v="3.3499500000000002"/>
    <n v="2346"/>
    <s v=""/>
    <x v="8"/>
    <n v="19"/>
    <n v="11"/>
    <m/>
    <x v="2"/>
    <m/>
    <x v="0"/>
    <x v="10"/>
    <m/>
    <s v="Bosque secundario"/>
    <s v="Alvaro Fierro"/>
    <s v="Herbaceo 0.3-1.5 m"/>
    <s v="Pristimantis palmeri"/>
    <n v="1"/>
    <m/>
    <m/>
    <m/>
    <m/>
    <m/>
    <s v="Observacion"/>
  </r>
  <r>
    <d v="2023-11-15T00:00:00"/>
    <m/>
    <m/>
    <d v="1899-12-30T21:50:06"/>
    <n v="-76.644400000000005"/>
    <n v="3.3498000000000001"/>
    <n v="2346"/>
    <s v=""/>
    <x v="8"/>
    <n v="19"/>
    <n v="11"/>
    <m/>
    <x v="2"/>
    <m/>
    <x v="0"/>
    <x v="10"/>
    <m/>
    <s v="Bosque secundario"/>
    <s v="Otro"/>
    <s v="Arbustivo 1.5-5 m"/>
    <s v="Pristimantis palmeri"/>
    <n v="1"/>
    <m/>
    <m/>
    <m/>
    <m/>
    <m/>
    <s v="Observacion"/>
  </r>
  <r>
    <d v="2023-11-15T00:00:00"/>
    <m/>
    <m/>
    <d v="1899-12-30T21:50:06"/>
    <n v="-76.643949599999999"/>
    <n v="3.349535135"/>
    <n v="2346"/>
    <s v=""/>
    <x v="8"/>
    <n v="19"/>
    <n v="11"/>
    <m/>
    <x v="2"/>
    <m/>
    <x v="0"/>
    <x v="10"/>
    <m/>
    <s v="Bosque secundario"/>
    <s v="Otro"/>
    <s v="Herbaceo 0.3-1.5 m"/>
    <s v="Pristimantis aff quimbaya"/>
    <n v="1"/>
    <m/>
    <m/>
    <m/>
    <m/>
    <m/>
    <s v="Observacion"/>
  </r>
  <r>
    <d v="2023-11-15T00:00:00"/>
    <m/>
    <m/>
    <d v="1899-12-30T21:50:06"/>
    <n v="-76.644099999999995"/>
    <n v="3.3496999999999999"/>
    <n v="2346"/>
    <s v=""/>
    <x v="8"/>
    <n v="19"/>
    <n v="11"/>
    <m/>
    <x v="2"/>
    <m/>
    <x v="0"/>
    <x v="10"/>
    <m/>
    <s v="Bosque secundario"/>
    <s v="Alvaro Fierro"/>
    <s v="Herbaceo 0.3-1.5 m"/>
    <s v="Pristimantis palmeri"/>
    <n v="2"/>
    <m/>
    <m/>
    <m/>
    <s v="Deforestación"/>
    <m/>
    <s v="Observacion"/>
  </r>
  <r>
    <d v="2023-11-15T00:00:00"/>
    <m/>
    <m/>
    <d v="1899-12-30T21:50:06"/>
    <n v="-76.643799999999999"/>
    <n v="3.3498999999999999"/>
    <n v="2346"/>
    <s v=""/>
    <x v="8"/>
    <n v="19"/>
    <n v="11"/>
    <m/>
    <x v="2"/>
    <m/>
    <x v="0"/>
    <x v="10"/>
    <m/>
    <s v="Bosque secundario"/>
    <s v="Alvaro Fierro"/>
    <s v="Herbaceo 0.3-1.5 m"/>
    <s v="Pristimantis palmeri"/>
    <n v="1"/>
    <m/>
    <m/>
    <m/>
    <m/>
    <m/>
    <s v="Observacion"/>
  </r>
  <r>
    <d v="2023-11-15T00:00:00"/>
    <m/>
    <m/>
    <d v="1899-12-30T21:50:06"/>
    <n v="-76.643500000000003"/>
    <n v="3.3498000000000001"/>
    <n v="2346"/>
    <s v=""/>
    <x v="8"/>
    <n v="19"/>
    <n v="11"/>
    <m/>
    <x v="2"/>
    <m/>
    <x v="0"/>
    <x v="10"/>
    <m/>
    <s v="Bosque secundario"/>
    <s v="Otro"/>
    <s v="Herbaceo 0.3-1.5 m"/>
    <s v="Pristimantis palmeri"/>
    <n v="1"/>
    <m/>
    <m/>
    <m/>
    <s v="Deforestación"/>
    <m/>
    <s v="Observacion"/>
  </r>
  <r>
    <d v="2023-11-15T00:00:00"/>
    <m/>
    <m/>
    <d v="1899-12-30T21:50:06"/>
    <n v="-76.644300000000001"/>
    <n v="3.3496999999999999"/>
    <n v="2346"/>
    <s v=""/>
    <x v="8"/>
    <n v="19"/>
    <n v="11"/>
    <m/>
    <x v="2"/>
    <m/>
    <x v="0"/>
    <x v="10"/>
    <m/>
    <s v="Bosque secundario"/>
    <s v="Otro"/>
    <s v="Herbaceo 0.3-1.5 m"/>
    <s v="Pristimantis aff quimbaya"/>
    <n v="1"/>
    <m/>
    <m/>
    <m/>
    <m/>
    <m/>
    <s v="Observacion"/>
  </r>
  <r>
    <d v="2023-11-23T00:00:00"/>
    <m/>
    <m/>
    <d v="1899-12-30T09:20:02"/>
    <n v="-76.891800000000003"/>
    <n v="3.5952000000000002"/>
    <m/>
    <s v=""/>
    <x v="8"/>
    <n v="28"/>
    <n v="17.5"/>
    <m/>
    <x v="0"/>
    <m/>
    <x v="1"/>
    <x v="0"/>
    <m/>
    <m/>
    <m/>
    <m/>
    <s v="Ninguna"/>
    <n v="0"/>
    <m/>
    <m/>
    <m/>
    <m/>
    <m/>
    <m/>
  </r>
  <r>
    <d v="2023-11-23T00:00:00"/>
    <m/>
    <m/>
    <d v="1899-12-30T00:00:00"/>
    <n v="-76.883001669999999"/>
    <n v="3.5908666669999998"/>
    <m/>
    <n v="0.75"/>
    <x v="8"/>
    <n v="22.5"/>
    <n v="45"/>
    <m/>
    <x v="0"/>
    <m/>
    <x v="0"/>
    <x v="1"/>
    <m/>
    <m/>
    <m/>
    <m/>
    <s v="Ninguna"/>
    <n v="0"/>
    <m/>
    <m/>
    <m/>
    <m/>
    <m/>
    <m/>
  </r>
  <r>
    <d v="2023-11-22T00:00:00"/>
    <m/>
    <m/>
    <d v="1899-12-30T00:00:00"/>
    <n v="-76.880713290000003"/>
    <n v="3.5779644660000001"/>
    <n v="733"/>
    <s v=""/>
    <x v="8"/>
    <n v="27.5"/>
    <n v="47.5"/>
    <m/>
    <x v="0"/>
    <m/>
    <x v="2"/>
    <x v="2"/>
    <m/>
    <s v="Bosque primario"/>
    <m/>
    <s v="Rasante &lt;0.3 m"/>
    <s v="Pristimantis labiosus"/>
    <n v="1"/>
    <m/>
    <m/>
    <m/>
    <m/>
    <m/>
    <s v="Auditivo"/>
  </r>
  <r>
    <d v="2023-11-22T00:00:00"/>
    <m/>
    <m/>
    <d v="1899-12-30T00:00:00"/>
    <n v="-76.880713290000003"/>
    <n v="3.5779644660000001"/>
    <n v="730"/>
    <s v=""/>
    <x v="8"/>
    <n v="27.5"/>
    <n v="47.5"/>
    <m/>
    <x v="0"/>
    <m/>
    <x v="2"/>
    <x v="2"/>
    <m/>
    <s v="Bosque primario"/>
    <m/>
    <s v="Herbaceo 0.3-1.5 m"/>
    <s v="Sachatamia ilex"/>
    <n v="1"/>
    <m/>
    <m/>
    <m/>
    <m/>
    <m/>
    <s v="Observacion"/>
  </r>
  <r>
    <d v="2023-11-22T00:00:00"/>
    <m/>
    <m/>
    <d v="1899-12-30T00:00:00"/>
    <n v="-76.880713290000003"/>
    <n v="3.5779644660000001"/>
    <n v="733"/>
    <s v=""/>
    <x v="8"/>
    <n v="27.5"/>
    <n v="47.5"/>
    <m/>
    <x v="0"/>
    <m/>
    <x v="2"/>
    <x v="2"/>
    <m/>
    <s v="Bosque primario"/>
    <m/>
    <s v="Rasante &lt;0.3 m"/>
    <s v="Craugastor longirostris"/>
    <n v="2"/>
    <m/>
    <m/>
    <m/>
    <m/>
    <m/>
    <s v="Auditivo"/>
  </r>
  <r>
    <d v="2023-11-16T00:00:00"/>
    <m/>
    <m/>
    <d v="1899-12-30T19:33:34"/>
    <n v="-76.653145050000006"/>
    <n v="3.3532003420000001"/>
    <n v="2606"/>
    <s v=""/>
    <x v="8"/>
    <n v="22.5"/>
    <n v="27.5"/>
    <m/>
    <x v="2"/>
    <m/>
    <x v="4"/>
    <x v="13"/>
    <m/>
    <s v="Bosque secundario"/>
    <s v="Otro"/>
    <s v="Herbaceo 0.3-1.5 m"/>
    <s v="Pristimantis brevifrons"/>
    <n v="1"/>
    <m/>
    <m/>
    <m/>
    <m/>
    <m/>
    <s v="Observacion"/>
  </r>
  <r>
    <d v="2023-11-16T00:00:00"/>
    <m/>
    <m/>
    <d v="1899-12-30T19:33:34"/>
    <n v="-76.653400000000005"/>
    <n v="3.3534000000000002"/>
    <n v="2606"/>
    <s v=""/>
    <x v="8"/>
    <n v="22.5"/>
    <n v="27.5"/>
    <m/>
    <x v="2"/>
    <m/>
    <x v="4"/>
    <x v="13"/>
    <m/>
    <s v="Bosque secundario"/>
    <s v="Alvaro Fierro"/>
    <s v="Herbaceo 0.3-1.5 m"/>
    <s v="Pristimantis brevifrons"/>
    <n v="3"/>
    <m/>
    <m/>
    <m/>
    <m/>
    <m/>
    <s v="Observacion"/>
  </r>
  <r>
    <d v="2023-11-22T00:00:00"/>
    <m/>
    <m/>
    <d v="1899-12-30T00:00:00"/>
    <n v="-76.880713290000003"/>
    <n v="3.5779644660000001"/>
    <n v="727"/>
    <s v=""/>
    <x v="8"/>
    <n v="23.5"/>
    <n v="5"/>
    <m/>
    <x v="0"/>
    <m/>
    <x v="1"/>
    <x v="2"/>
    <m/>
    <s v="Bosque primario"/>
    <m/>
    <s v="Herbaceo 0.3-1.5 m"/>
    <s v="Espadarana prosoblepon"/>
    <n v="1"/>
    <m/>
    <m/>
    <m/>
    <m/>
    <m/>
    <s v="Observacion"/>
  </r>
  <r>
    <d v="2023-11-15T00:00:00"/>
    <m/>
    <m/>
    <d v="1899-12-30T20:49:58"/>
    <n v="-76.641800000000003"/>
    <n v="3.3496999999999999"/>
    <n v="2346"/>
    <s v=""/>
    <x v="8"/>
    <n v="17.5"/>
    <n v="23.5"/>
    <m/>
    <x v="2"/>
    <m/>
    <x v="0"/>
    <x v="15"/>
    <m/>
    <s v="Bosque secundario"/>
    <s v="Alvaro Fierro"/>
    <s v="Herbaceo 0.3-1.5 m"/>
    <s v="Pristimantis brevifrons"/>
    <n v="1"/>
    <m/>
    <m/>
    <m/>
    <m/>
    <m/>
    <s v="Observacion"/>
  </r>
  <r>
    <d v="2023-11-15T00:00:00"/>
    <m/>
    <m/>
    <d v="1899-12-30T20:49:58"/>
    <n v="-76.641499999999994"/>
    <n v="3.3498000000000001"/>
    <n v="2346"/>
    <s v=""/>
    <x v="8"/>
    <n v="17.5"/>
    <n v="23.5"/>
    <m/>
    <x v="2"/>
    <m/>
    <x v="0"/>
    <x v="15"/>
    <m/>
    <s v="Bosque secundario"/>
    <s v="Alvaro Fierro"/>
    <s v="Herbaceo 0.3-1.5 m"/>
    <s v="Pristimantis palmeri"/>
    <n v="1"/>
    <m/>
    <m/>
    <m/>
    <s v="Deforestación"/>
    <m/>
    <s v="Observacion"/>
  </r>
  <r>
    <d v="2023-11-15T00:00:00"/>
    <m/>
    <m/>
    <d v="1899-12-30T20:49:58"/>
    <n v="-76.641599999999997"/>
    <n v="3.3498000000000001"/>
    <n v="2346"/>
    <s v=""/>
    <x v="8"/>
    <n v="17.5"/>
    <n v="23.5"/>
    <m/>
    <x v="2"/>
    <m/>
    <x v="0"/>
    <x v="15"/>
    <m/>
    <s v="Bosque secundario"/>
    <s v="Otro"/>
    <s v="Herbaceo 0.3-1.5 m"/>
    <s v="Pristimantis brevifrons"/>
    <n v="1"/>
    <m/>
    <m/>
    <m/>
    <m/>
    <m/>
    <s v="Observacion"/>
  </r>
  <r>
    <d v="2023-11-15T00:00:00"/>
    <m/>
    <m/>
    <d v="1899-12-30T20:49:58"/>
    <n v="-76.641594449999999"/>
    <n v="3.3496971289999999"/>
    <n v="2346"/>
    <s v=""/>
    <x v="8"/>
    <n v="17.5"/>
    <n v="23.5"/>
    <m/>
    <x v="2"/>
    <m/>
    <x v="0"/>
    <x v="15"/>
    <m/>
    <s v="Bosque secundario"/>
    <s v="Otro"/>
    <m/>
    <s v="Pristimantis brevifrons"/>
    <n v="2"/>
    <m/>
    <m/>
    <m/>
    <s v="Deforestación"/>
    <m/>
    <s v="Auditivo"/>
  </r>
  <r>
    <d v="2023-11-15T00:00:00"/>
    <m/>
    <m/>
    <d v="1899-12-30T20:49:58"/>
    <n v="-76.6417"/>
    <n v="3.3498000000000001"/>
    <n v="2346"/>
    <s v=""/>
    <x v="8"/>
    <n v="17.5"/>
    <n v="23.5"/>
    <m/>
    <x v="2"/>
    <m/>
    <x v="0"/>
    <x v="15"/>
    <m/>
    <s v="Bosque secundario"/>
    <s v="Otro"/>
    <s v="Herbaceo 0.3-1.5 m"/>
    <s v="Pristimantis palmeri"/>
    <n v="1"/>
    <m/>
    <m/>
    <m/>
    <m/>
    <m/>
    <s v="Observacion"/>
  </r>
  <r>
    <d v="2023-11-15T00:00:00"/>
    <m/>
    <m/>
    <d v="1899-12-30T20:49:58"/>
    <n v="-76.641999999999996"/>
    <n v="3.3496000000000001"/>
    <n v="2346"/>
    <s v=""/>
    <x v="8"/>
    <n v="17.5"/>
    <n v="23.5"/>
    <m/>
    <x v="2"/>
    <m/>
    <x v="0"/>
    <x v="15"/>
    <m/>
    <s v="Bosque secundario"/>
    <s v="Otro"/>
    <s v="Herbaceo 0.3-1.5 m"/>
    <s v="Pristimantis brevifrons"/>
    <n v="2"/>
    <m/>
    <m/>
    <m/>
    <m/>
    <m/>
    <s v="Auditivo"/>
  </r>
  <r>
    <d v="2023-11-15T00:00:00"/>
    <m/>
    <m/>
    <d v="1899-12-30T20:49:58"/>
    <n v="-76.641400000000004"/>
    <n v="3.3498999999999999"/>
    <n v="2346"/>
    <s v=""/>
    <x v="8"/>
    <n v="17.5"/>
    <n v="23.5"/>
    <m/>
    <x v="2"/>
    <m/>
    <x v="0"/>
    <x v="15"/>
    <m/>
    <s v="Bosque secundario"/>
    <s v="Alvaro Fierro"/>
    <s v="Herbaceo 0.3-1.5 m"/>
    <s v="Pristimantis palmeri"/>
    <n v="1"/>
    <m/>
    <m/>
    <m/>
    <m/>
    <m/>
    <s v="Observacion"/>
  </r>
  <r>
    <d v="2023-10-12T00:00:00"/>
    <m/>
    <m/>
    <d v="1899-12-30T19:33:10"/>
    <n v="-76.713885000000005"/>
    <n v="3.4876116669999999"/>
    <m/>
    <s v=""/>
    <x v="8"/>
    <n v="13.5"/>
    <n v="12"/>
    <m/>
    <x v="1"/>
    <m/>
    <x v="1"/>
    <x v="12"/>
    <m/>
    <s v="Bosque ribereño"/>
    <s v="Otro"/>
    <s v="Subarboreo 5-12 m"/>
    <s v="Centrolene savagei"/>
    <n v="5"/>
    <m/>
    <m/>
    <m/>
    <m/>
    <m/>
    <s v="Auditivo"/>
  </r>
  <r>
    <d v="2023-10-12T00:00:00"/>
    <m/>
    <m/>
    <d v="1899-12-30T19:33:10"/>
    <n v="-76.713885000000005"/>
    <n v="3.4876116669999999"/>
    <n v="1816"/>
    <s v=""/>
    <x v="8"/>
    <n v="13.5"/>
    <n v="12"/>
    <m/>
    <x v="1"/>
    <m/>
    <x v="1"/>
    <x v="12"/>
    <m/>
    <s v="Bosque ribereño"/>
    <s v="Otro"/>
    <s v="Herbaceo 0.3-1.5 m"/>
    <s v="Pristimantis molybrignus"/>
    <n v="1"/>
    <m/>
    <m/>
    <m/>
    <m/>
    <m/>
    <s v="Auditivo"/>
  </r>
  <r>
    <d v="2023-10-12T00:00:00"/>
    <m/>
    <m/>
    <d v="1899-12-30T19:33:10"/>
    <n v="-76.713885000000005"/>
    <n v="3.4876116669999999"/>
    <n v="1816"/>
    <s v=""/>
    <x v="8"/>
    <n v="13.5"/>
    <n v="12"/>
    <m/>
    <x v="1"/>
    <m/>
    <x v="1"/>
    <x v="12"/>
    <m/>
    <s v="Bosque ribereño"/>
    <s v="Otro"/>
    <s v="Herbaceo 0.3-1.5 m"/>
    <s v="Pristimantis alius"/>
    <n v="1"/>
    <m/>
    <m/>
    <m/>
    <m/>
    <m/>
    <s v="Auditivo"/>
  </r>
  <r>
    <d v="2023-10-12T00:00:00"/>
    <m/>
    <m/>
    <d v="1899-12-30T19:50:28"/>
    <n v="-76.713988330000006"/>
    <n v="3.4875949999999998"/>
    <n v="1816"/>
    <s v=""/>
    <x v="8"/>
    <n v="13.5"/>
    <n v="12"/>
    <m/>
    <x v="1"/>
    <m/>
    <x v="1"/>
    <x v="12"/>
    <m/>
    <s v="Bosque ribereño"/>
    <s v="Otro"/>
    <s v="Rasante &lt;0.3 m"/>
    <s v="Hypodactylus mantipus"/>
    <n v="1"/>
    <m/>
    <m/>
    <m/>
    <m/>
    <m/>
    <s v="Observacion"/>
  </r>
  <r>
    <d v="2023-10-12T00:00:00"/>
    <m/>
    <m/>
    <d v="1899-12-30T19:47:04"/>
    <n v="-76.713926670000006"/>
    <n v="3.4875733329999998"/>
    <m/>
    <s v=""/>
    <x v="8"/>
    <n v="13.5"/>
    <n v="12"/>
    <m/>
    <x v="1"/>
    <m/>
    <x v="1"/>
    <x v="12"/>
    <m/>
    <s v="Bosque ribereño"/>
    <s v="Alvaro Fierro"/>
    <s v="Herbaceo 0.3-1.5 m"/>
    <s v="Pristimantis molybrignus"/>
    <n v="1"/>
    <m/>
    <m/>
    <m/>
    <m/>
    <m/>
    <s v="Observacion"/>
  </r>
  <r>
    <d v="2023-10-12T00:00:00"/>
    <m/>
    <m/>
    <d v="1899-12-30T19:47:04"/>
    <n v="-76.713926670000006"/>
    <n v="3.4875733329999998"/>
    <n v="1"/>
    <s v=""/>
    <x v="8"/>
    <n v="13.5"/>
    <n v="12"/>
    <m/>
    <x v="1"/>
    <m/>
    <x v="1"/>
    <x v="12"/>
    <m/>
    <s v="Bosque ribereño"/>
    <s v="Otro"/>
    <s v="Herbaceo 0.3-1.5 m"/>
    <s v="Pristimantis alius"/>
    <n v="1"/>
    <m/>
    <m/>
    <m/>
    <m/>
    <m/>
    <s v="Observacion"/>
  </r>
  <r>
    <d v="2023-10-12T00:00:00"/>
    <m/>
    <m/>
    <d v="1899-12-30T20:07:53"/>
    <n v="-76.714015000000003"/>
    <n v="3.4874116669999999"/>
    <n v="1816"/>
    <s v=""/>
    <x v="8"/>
    <n v="13.5"/>
    <n v="12"/>
    <m/>
    <x v="1"/>
    <m/>
    <x v="1"/>
    <x v="12"/>
    <m/>
    <s v="Bosque ribereño"/>
    <s v="Otro"/>
    <s v="Rasante &lt;0.3 m"/>
    <s v="Hypodactylus mantipus"/>
    <n v="1"/>
    <m/>
    <m/>
    <m/>
    <m/>
    <m/>
    <s v="Observacion"/>
  </r>
  <r>
    <d v="2023-10-12T00:00:00"/>
    <m/>
    <m/>
    <d v="1899-12-30T20:09:26"/>
    <n v="-76.713893330000005"/>
    <n v="3.4873433330000001"/>
    <n v="1816"/>
    <s v=""/>
    <x v="8"/>
    <n v="13.5"/>
    <n v="12"/>
    <m/>
    <x v="1"/>
    <m/>
    <x v="1"/>
    <x v="12"/>
    <m/>
    <s v="Bosque ribereño"/>
    <s v="Otro"/>
    <s v="Rasante &lt;0.3 m"/>
    <s v="Pristimantis alius"/>
    <n v="1"/>
    <m/>
    <m/>
    <m/>
    <m/>
    <m/>
    <s v="Observacion"/>
  </r>
  <r>
    <d v="2023-10-12T00:00:00"/>
    <m/>
    <m/>
    <d v="1899-12-30T19:35:56"/>
    <n v="-76.713836670000006"/>
    <n v="3.4875799999999999"/>
    <m/>
    <n v="2"/>
    <x v="8"/>
    <n v="10"/>
    <n v="11"/>
    <m/>
    <x v="1"/>
    <m/>
    <x v="0"/>
    <x v="12"/>
    <m/>
    <m/>
    <m/>
    <m/>
    <s v="Ninguna"/>
    <n v="0"/>
    <m/>
    <m/>
    <m/>
    <s v="Captaciones de agua no reguladas"/>
    <m/>
    <m/>
  </r>
  <r>
    <d v="2023-11-16T00:00:00"/>
    <m/>
    <m/>
    <d v="1899-12-30T00:00:00"/>
    <n v="-76.656261670000006"/>
    <n v="3.3556400000000002"/>
    <m/>
    <n v="0.75"/>
    <x v="8"/>
    <n v="28"/>
    <n v="16"/>
    <m/>
    <x v="2"/>
    <m/>
    <x v="2"/>
    <x v="14"/>
    <m/>
    <m/>
    <m/>
    <m/>
    <s v="Ninguna"/>
    <n v="0"/>
    <m/>
    <m/>
    <m/>
    <s v="Procesos de remoción en masa"/>
    <m/>
    <m/>
  </r>
  <r>
    <d v="2023-11-16T00:00:00"/>
    <m/>
    <m/>
    <d v="1899-12-30T00:00:00"/>
    <n v="-76.648700000000005"/>
    <n v="3.3508"/>
    <n v="2336"/>
    <s v=""/>
    <x v="8"/>
    <n v="20"/>
    <n v="8.5"/>
    <m/>
    <x v="2"/>
    <m/>
    <x v="1"/>
    <x v="13"/>
    <m/>
    <s v="Bosque secundario"/>
    <s v="Otro"/>
    <s v="Herbaceo 0.3-1.5 m"/>
    <s v="Pristimantis palmeri"/>
    <n v="1"/>
    <m/>
    <m/>
    <m/>
    <m/>
    <m/>
    <s v="Observacion"/>
  </r>
  <r>
    <d v="2023-11-16T00:00:00"/>
    <m/>
    <m/>
    <d v="1899-12-30T00:00:00"/>
    <n v="-76.649000000000001"/>
    <n v="3.3517000000000001"/>
    <n v="2335"/>
    <s v=""/>
    <x v="8"/>
    <n v="20"/>
    <n v="8.5"/>
    <m/>
    <x v="2"/>
    <m/>
    <x v="1"/>
    <x v="13"/>
    <m/>
    <s v="Bosque secundario"/>
    <s v="Otro"/>
    <s v="Herbaceo 0.3-1.5 m"/>
    <s v="Pristimantis acatallelus"/>
    <n v="1"/>
    <m/>
    <m/>
    <m/>
    <m/>
    <m/>
    <s v="Observacion"/>
  </r>
  <r>
    <d v="2023-11-16T00:00:00"/>
    <m/>
    <m/>
    <d v="1899-12-30T00:00:00"/>
    <n v="-76.648799999999994"/>
    <n v="3.3504999999999998"/>
    <n v="2336"/>
    <s v=""/>
    <x v="8"/>
    <n v="20"/>
    <n v="8.5"/>
    <m/>
    <x v="2"/>
    <m/>
    <x v="1"/>
    <x v="13"/>
    <m/>
    <s v="Bosque secundario"/>
    <s v="Otro"/>
    <s v="Herbaceo 0.3-1.5 m"/>
    <s v="Pristimantis palmeri"/>
    <n v="1"/>
    <m/>
    <m/>
    <m/>
    <m/>
    <m/>
    <s v="Observacion"/>
  </r>
  <r>
    <d v="2023-11-15T00:00:00"/>
    <m/>
    <m/>
    <d v="1899-12-30T00:00:00"/>
    <n v="-76.639968800000005"/>
    <n v="3.3506699499999999"/>
    <m/>
    <s v=""/>
    <x v="8"/>
    <n v="15"/>
    <n v="7.5"/>
    <m/>
    <x v="2"/>
    <m/>
    <x v="2"/>
    <x v="15"/>
    <m/>
    <s v="Bosque primario"/>
    <s v="Alvaro Fierro"/>
    <s v="Herbaceo 0.3-1.5 m"/>
    <s v="Pristimantis palmeri"/>
    <n v="1"/>
    <m/>
    <m/>
    <m/>
    <m/>
    <m/>
    <s v="Observacion"/>
  </r>
  <r>
    <d v="2023-11-15T00:00:00"/>
    <m/>
    <m/>
    <d v="1899-12-30T00:00:00"/>
    <n v="-76.639700000000005"/>
    <n v="3.3506999999999998"/>
    <m/>
    <s v=""/>
    <x v="8"/>
    <n v="15"/>
    <n v="7.5"/>
    <m/>
    <x v="2"/>
    <m/>
    <x v="2"/>
    <x v="15"/>
    <m/>
    <s v="Bosque primario"/>
    <s v="Alvaro Fierro"/>
    <s v="Herbaceo 0.3-1.5 m"/>
    <s v="Pristimantis palmeri"/>
    <n v="1"/>
    <m/>
    <m/>
    <m/>
    <m/>
    <m/>
    <s v="Observacion"/>
  </r>
  <r>
    <d v="2023-11-21T00:00:00"/>
    <m/>
    <m/>
    <d v="1899-12-30T00:00:00"/>
    <n v="-76.881045209999996"/>
    <n v="3.552585788"/>
    <n v="567"/>
    <s v=""/>
    <x v="8"/>
    <n v="3"/>
    <n v="8"/>
    <m/>
    <x v="0"/>
    <m/>
    <x v="0"/>
    <x v="5"/>
    <m/>
    <s v="Bosque secundario"/>
    <s v="Danny Mora"/>
    <s v="Rasante &lt;0.3 m"/>
    <s v="Smilisca phaeota"/>
    <n v="4"/>
    <m/>
    <m/>
    <m/>
    <s v="Vías"/>
    <m/>
    <s v="Auditivo"/>
  </r>
  <r>
    <d v="2023-11-23T00:00:00"/>
    <m/>
    <m/>
    <d v="1899-12-30T00:00:00"/>
    <n v="-76.892827659999995"/>
    <n v="3.5965284899999999"/>
    <n v="649"/>
    <s v=""/>
    <x v="8"/>
    <n v="20"/>
    <n v="37.5"/>
    <m/>
    <x v="0"/>
    <m/>
    <x v="2"/>
    <x v="0"/>
    <m/>
    <m/>
    <m/>
    <m/>
    <s v="Ninguna"/>
    <n v="0"/>
    <m/>
    <m/>
    <m/>
    <m/>
    <m/>
    <m/>
  </r>
  <r>
    <d v="2023-11-23T00:00:00"/>
    <m/>
    <m/>
    <d v="1899-12-30T00:00:00"/>
    <n v="-76.88291667"/>
    <n v="3.5921599999999998"/>
    <m/>
    <n v="0.75"/>
    <x v="8"/>
    <n v="22.5"/>
    <n v="45"/>
    <m/>
    <x v="0"/>
    <m/>
    <x v="0"/>
    <x v="1"/>
    <m/>
    <m/>
    <m/>
    <m/>
    <s v="Ninguna"/>
    <n v="0"/>
    <m/>
    <m/>
    <m/>
    <m/>
    <m/>
    <m/>
  </r>
  <r>
    <d v="2023-11-21T00:00:00"/>
    <m/>
    <m/>
    <d v="1899-12-30T00:00:00"/>
    <n v="-76.88833769"/>
    <n v="3.5506537730000001"/>
    <m/>
    <s v=""/>
    <x v="8"/>
    <n v="30"/>
    <n v="22.5"/>
    <m/>
    <x v="0"/>
    <m/>
    <x v="2"/>
    <x v="4"/>
    <m/>
    <s v="Bosque primario"/>
    <s v="Otro"/>
    <s v="Rasante &lt;0.3 m"/>
    <s v="Pristimantis labiosus"/>
    <n v="1"/>
    <m/>
    <m/>
    <m/>
    <m/>
    <m/>
    <s v="Auditivo"/>
  </r>
  <r>
    <d v="2023-11-24T00:00:00"/>
    <m/>
    <m/>
    <d v="1899-12-30T00:00:00"/>
    <n v="-76.883404999999996"/>
    <n v="3.5524766670000001"/>
    <m/>
    <s v=""/>
    <x v="8"/>
    <n v="20"/>
    <n v="10"/>
    <m/>
    <x v="0"/>
    <m/>
    <x v="2"/>
    <x v="5"/>
    <m/>
    <m/>
    <m/>
    <m/>
    <s v="Ninguna"/>
    <n v="0"/>
    <m/>
    <m/>
    <m/>
    <m/>
    <m/>
    <m/>
  </r>
  <r>
    <d v="2023-11-23T00:00:00"/>
    <m/>
    <m/>
    <d v="1899-12-30T00:00:00"/>
    <n v="-76.891548330000006"/>
    <n v="3.5949516670000001"/>
    <m/>
    <s v=""/>
    <x v="8"/>
    <n v="27"/>
    <n v="22.5"/>
    <m/>
    <x v="0"/>
    <m/>
    <x v="0"/>
    <x v="0"/>
    <m/>
    <m/>
    <m/>
    <m/>
    <s v="Ninguna"/>
    <n v="0"/>
    <m/>
    <m/>
    <m/>
    <m/>
    <m/>
    <m/>
  </r>
  <r>
    <d v="2023-11-23T00:00:00"/>
    <m/>
    <m/>
    <d v="1899-12-30T00:00:00"/>
    <n v="-76.891798550000004"/>
    <n v="3.5945087849999999"/>
    <m/>
    <s v=""/>
    <x v="8"/>
    <n v="17.5"/>
    <n v="2.5"/>
    <m/>
    <x v="0"/>
    <m/>
    <x v="0"/>
    <x v="0"/>
    <m/>
    <m/>
    <m/>
    <m/>
    <s v="Ninguna"/>
    <n v="0"/>
    <m/>
    <m/>
    <m/>
    <m/>
    <m/>
    <m/>
  </r>
  <r>
    <d v="2022-12-14T00:00:00"/>
    <d v="2022-12-14T00:00:00"/>
    <m/>
    <m/>
    <m/>
    <m/>
    <m/>
    <m/>
    <x v="7"/>
    <m/>
    <m/>
    <m/>
    <x v="0"/>
    <s v="No se pudo realizar"/>
    <x v="1"/>
    <x v="21"/>
    <m/>
    <m/>
    <m/>
    <m/>
    <s v="Ninguna"/>
    <m/>
    <m/>
    <m/>
    <m/>
    <m/>
    <m/>
    <m/>
  </r>
  <r>
    <d v="2022-12-14T00:00:00"/>
    <d v="2022-12-14T00:00:00"/>
    <m/>
    <m/>
    <m/>
    <m/>
    <m/>
    <m/>
    <x v="7"/>
    <m/>
    <m/>
    <m/>
    <x v="0"/>
    <s v="No se pudo realizar"/>
    <x v="2"/>
    <x v="21"/>
    <m/>
    <m/>
    <m/>
    <m/>
    <s v="Ninguna"/>
    <m/>
    <m/>
    <m/>
    <m/>
    <m/>
    <m/>
    <m/>
  </r>
  <r>
    <d v="2021-10-20T00:00:00"/>
    <d v="2021-10-20T00:00:00"/>
    <m/>
    <m/>
    <m/>
    <m/>
    <m/>
    <m/>
    <x v="6"/>
    <m/>
    <m/>
    <m/>
    <x v="2"/>
    <s v="No se pudo realizar"/>
    <x v="3"/>
    <x v="14"/>
    <m/>
    <m/>
    <m/>
    <m/>
    <s v="Ninguna"/>
    <m/>
    <m/>
    <m/>
    <m/>
    <m/>
    <m/>
    <m/>
  </r>
  <r>
    <d v="2021-11-17T00:00:00"/>
    <d v="2021-11-17T00:00:00"/>
    <m/>
    <m/>
    <m/>
    <m/>
    <m/>
    <m/>
    <x v="6"/>
    <m/>
    <m/>
    <m/>
    <x v="1"/>
    <s v="No se pudo realizar"/>
    <x v="0"/>
    <x v="9"/>
    <m/>
    <m/>
    <m/>
    <m/>
    <s v="Ninguna"/>
    <m/>
    <m/>
    <m/>
    <m/>
    <m/>
    <m/>
    <m/>
  </r>
  <r>
    <d v="2022-12-03T00:00:00"/>
    <d v="2022-12-03T00:00:00"/>
    <m/>
    <m/>
    <m/>
    <m/>
    <m/>
    <m/>
    <x v="7"/>
    <m/>
    <m/>
    <m/>
    <x v="1"/>
    <s v="No se pudo realizar"/>
    <x v="0"/>
    <x v="8"/>
    <m/>
    <m/>
    <m/>
    <m/>
    <s v="Ninguna"/>
    <m/>
    <m/>
    <m/>
    <m/>
    <m/>
    <m/>
    <m/>
  </r>
  <r>
    <d v="2022-11-16T00:00:00"/>
    <d v="2022-11-16T00:00:00"/>
    <m/>
    <m/>
    <m/>
    <m/>
    <m/>
    <m/>
    <x v="7"/>
    <m/>
    <m/>
    <m/>
    <x v="2"/>
    <s v="No se pudo realizar"/>
    <x v="3"/>
    <x v="14"/>
    <m/>
    <m/>
    <m/>
    <m/>
    <s v="Ninguna"/>
    <m/>
    <m/>
    <m/>
    <m/>
    <m/>
    <m/>
    <m/>
  </r>
  <r>
    <d v="2022-12-03T00:00:00"/>
    <d v="2022-12-03T00:00:00"/>
    <m/>
    <m/>
    <m/>
    <m/>
    <m/>
    <m/>
    <x v="7"/>
    <m/>
    <m/>
    <m/>
    <x v="1"/>
    <s v="No se pudo realizar"/>
    <x v="3"/>
    <x v="6"/>
    <m/>
    <m/>
    <m/>
    <m/>
    <s v="Ninguna"/>
    <m/>
    <m/>
    <m/>
    <m/>
    <m/>
    <m/>
    <m/>
  </r>
  <r>
    <d v="2023-10-13T00:00:00"/>
    <d v="2023-10-13T00:00:00"/>
    <m/>
    <m/>
    <m/>
    <m/>
    <m/>
    <m/>
    <x v="8"/>
    <m/>
    <m/>
    <m/>
    <x v="1"/>
    <s v="No se pudo realizar"/>
    <x v="0"/>
    <x v="8"/>
    <m/>
    <m/>
    <m/>
    <m/>
    <s v="Ninguna"/>
    <m/>
    <m/>
    <m/>
    <m/>
    <m/>
    <m/>
    <m/>
  </r>
  <r>
    <d v="2023-11-16T00:00:00"/>
    <d v="2023-11-16T00:00:00"/>
    <m/>
    <m/>
    <m/>
    <m/>
    <m/>
    <m/>
    <x v="8"/>
    <m/>
    <m/>
    <m/>
    <x v="2"/>
    <s v="No se pudo realizar"/>
    <x v="3"/>
    <x v="14"/>
    <m/>
    <m/>
    <m/>
    <m/>
    <s v="Ninguna"/>
    <m/>
    <m/>
    <m/>
    <m/>
    <m/>
    <m/>
    <m/>
  </r>
  <r>
    <d v="2023-10-13T00:00:00"/>
    <d v="2023-10-13T00:00:00"/>
    <m/>
    <m/>
    <m/>
    <m/>
    <m/>
    <m/>
    <x v="8"/>
    <m/>
    <m/>
    <m/>
    <x v="1"/>
    <s v="No se pudo realizar"/>
    <x v="3"/>
    <x v="6"/>
    <m/>
    <m/>
    <m/>
    <m/>
    <s v="Ninguna"/>
    <m/>
    <m/>
    <m/>
    <m/>
    <m/>
    <m/>
    <m/>
  </r>
  <r>
    <d v="2023-11-16T00:00:00"/>
    <d v="2023-11-16T00:00:00"/>
    <m/>
    <m/>
    <m/>
    <m/>
    <m/>
    <m/>
    <x v="8"/>
    <m/>
    <m/>
    <m/>
    <x v="2"/>
    <s v="No se pudo realizar"/>
    <x v="2"/>
    <x v="13"/>
    <m/>
    <m/>
    <m/>
    <m/>
    <s v="Ninguna"/>
    <m/>
    <m/>
    <m/>
    <m/>
    <m/>
    <m/>
    <m/>
  </r>
  <r>
    <d v="2023-11-15T00:00:00"/>
    <d v="2023-11-15T00:00:00"/>
    <m/>
    <m/>
    <m/>
    <m/>
    <m/>
    <m/>
    <x v="8"/>
    <m/>
    <m/>
    <m/>
    <x v="2"/>
    <s v="No se pudo realizar"/>
    <x v="1"/>
    <x v="10"/>
    <m/>
    <m/>
    <m/>
    <m/>
    <s v="Ninguna"/>
    <m/>
    <m/>
    <m/>
    <m/>
    <m/>
    <m/>
    <m/>
  </r>
  <r>
    <d v="2023-11-23T00:00:00"/>
    <d v="2023-11-23T00:00:00"/>
    <m/>
    <m/>
    <m/>
    <m/>
    <m/>
    <m/>
    <x v="8"/>
    <m/>
    <m/>
    <m/>
    <x v="0"/>
    <s v="No se pudo realizar"/>
    <x v="2"/>
    <x v="1"/>
    <m/>
    <m/>
    <m/>
    <m/>
    <s v="Ninguna"/>
    <m/>
    <m/>
    <m/>
    <m/>
    <m/>
    <m/>
    <m/>
  </r>
  <r>
    <d v="2023-11-23T00:00:00"/>
    <d v="2023-11-23T00:00:00"/>
    <m/>
    <m/>
    <m/>
    <m/>
    <m/>
    <m/>
    <x v="8"/>
    <m/>
    <m/>
    <m/>
    <x v="0"/>
    <s v="No se pudo realizar"/>
    <x v="0"/>
    <x v="22"/>
    <m/>
    <m/>
    <m/>
    <m/>
    <s v="Ninguna"/>
    <m/>
    <m/>
    <m/>
    <m/>
    <m/>
    <m/>
    <m/>
  </r>
  <r>
    <d v="2023-11-23T00:00:00"/>
    <d v="2023-11-23T00:00:00"/>
    <m/>
    <m/>
    <m/>
    <m/>
    <m/>
    <m/>
    <x v="8"/>
    <m/>
    <m/>
    <m/>
    <x v="0"/>
    <s v="No se pudo realizar"/>
    <x v="1"/>
    <x v="22"/>
    <m/>
    <m/>
    <m/>
    <m/>
    <s v="Ninguna"/>
    <m/>
    <m/>
    <m/>
    <m/>
    <m/>
    <m/>
    <m/>
  </r>
  <r>
    <d v="2023-10-11T00:00:00"/>
    <d v="2023-10-11T00:00:00"/>
    <m/>
    <m/>
    <m/>
    <m/>
    <m/>
    <m/>
    <x v="8"/>
    <m/>
    <m/>
    <m/>
    <x v="1"/>
    <s v="No se pudo realizar"/>
    <x v="2"/>
    <x v="9"/>
    <m/>
    <m/>
    <m/>
    <m/>
    <s v="Ninguna"/>
    <m/>
    <m/>
    <m/>
    <m/>
    <m/>
    <m/>
    <m/>
  </r>
  <r>
    <d v="2023-10-14T00:00:00"/>
    <d v="2023-10-14T00:00:00"/>
    <m/>
    <m/>
    <m/>
    <m/>
    <m/>
    <m/>
    <x v="8"/>
    <m/>
    <m/>
    <m/>
    <x v="1"/>
    <s v="No se pudo realizar"/>
    <x v="0"/>
    <x v="7"/>
    <m/>
    <m/>
    <m/>
    <m/>
    <s v="Ninguna"/>
    <m/>
    <m/>
    <m/>
    <m/>
    <m/>
    <m/>
    <m/>
  </r>
  <r>
    <d v="2023-10-14T00:00:00"/>
    <d v="2023-10-14T00:00:00"/>
    <m/>
    <m/>
    <m/>
    <m/>
    <m/>
    <m/>
    <x v="8"/>
    <m/>
    <m/>
    <m/>
    <x v="1"/>
    <s v="No se pudo realizar"/>
    <x v="1"/>
    <x v="7"/>
    <m/>
    <m/>
    <m/>
    <m/>
    <s v="Ninguna"/>
    <m/>
    <m/>
    <m/>
    <m/>
    <m/>
    <m/>
    <m/>
  </r>
  <r>
    <d v="2023-10-14T00:00:00"/>
    <d v="2023-10-14T00:00:00"/>
    <m/>
    <m/>
    <m/>
    <m/>
    <m/>
    <m/>
    <x v="8"/>
    <m/>
    <m/>
    <m/>
    <x v="1"/>
    <s v="No se pudo realizar"/>
    <x v="2"/>
    <x v="7"/>
    <m/>
    <m/>
    <m/>
    <m/>
    <s v="Ninguna"/>
    <m/>
    <m/>
    <m/>
    <m/>
    <m/>
    <m/>
    <m/>
  </r>
  <r>
    <d v="2023-10-12T00:00:00"/>
    <d v="2023-10-12T00:00:00"/>
    <m/>
    <m/>
    <m/>
    <m/>
    <m/>
    <m/>
    <x v="8"/>
    <m/>
    <m/>
    <m/>
    <x v="1"/>
    <s v="No se pudo realizar"/>
    <x v="2"/>
    <x v="12"/>
    <m/>
    <m/>
    <m/>
    <m/>
    <s v="Ninguna"/>
    <m/>
    <m/>
    <m/>
    <m/>
    <m/>
    <m/>
    <m/>
  </r>
  <r>
    <d v="2024-11-21T00:00:00"/>
    <d v="2024-11-21T00:00:00"/>
    <m/>
    <m/>
    <m/>
    <m/>
    <m/>
    <m/>
    <x v="1"/>
    <m/>
    <m/>
    <m/>
    <x v="0"/>
    <s v="No se pudo realizar"/>
    <x v="2"/>
    <x v="1"/>
    <m/>
    <m/>
    <m/>
    <m/>
    <s v="Ninguna"/>
    <m/>
    <m/>
    <m/>
    <m/>
    <m/>
    <m/>
    <m/>
  </r>
  <r>
    <d v="2024-10-17T00:00:00"/>
    <d v="2024-10-17T00:00:00"/>
    <s v="Leonardo Belalcazar Salcedo"/>
    <m/>
    <m/>
    <m/>
    <m/>
    <m/>
    <x v="1"/>
    <m/>
    <m/>
    <m/>
    <x v="1"/>
    <s v="No se pudo realizar"/>
    <x v="1"/>
    <x v="12"/>
    <m/>
    <m/>
    <m/>
    <m/>
    <s v="Ninguna"/>
    <m/>
    <m/>
    <m/>
    <m/>
    <m/>
    <m/>
    <m/>
  </r>
  <r>
    <d v="2024-10-17T00:00:00"/>
    <d v="2024-10-17T00:00:00"/>
    <s v="Leonardo Belalcazar Salcedo"/>
    <m/>
    <m/>
    <m/>
    <m/>
    <m/>
    <x v="1"/>
    <m/>
    <m/>
    <m/>
    <x v="1"/>
    <s v="No se pudo realizar"/>
    <x v="2"/>
    <x v="12"/>
    <m/>
    <m/>
    <m/>
    <m/>
    <s v="Ninguna"/>
    <m/>
    <m/>
    <m/>
    <m/>
    <m/>
    <m/>
    <m/>
  </r>
  <r>
    <d v="2024-09-20T00:00:00"/>
    <d v="2024-09-20T00:00:00"/>
    <s v="Leonardo Belalcazar Salcedo"/>
    <m/>
    <m/>
    <m/>
    <m/>
    <m/>
    <x v="1"/>
    <m/>
    <m/>
    <m/>
    <x v="3"/>
    <s v="No se pudo realizar"/>
    <x v="2"/>
    <x v="16"/>
    <m/>
    <m/>
    <m/>
    <m/>
    <s v="Ninguna"/>
    <m/>
    <m/>
    <m/>
    <m/>
    <m/>
    <m/>
    <m/>
  </r>
  <r>
    <d v="2025-09-10T00:00:00"/>
    <d v="2025-09-10T00:00:00"/>
    <s v="Gustavo Adolfo Rodríguez"/>
    <m/>
    <m/>
    <m/>
    <m/>
    <m/>
    <x v="0"/>
    <m/>
    <m/>
    <m/>
    <x v="1"/>
    <s v="No se pudo realizar"/>
    <x v="0"/>
    <x v="7"/>
    <m/>
    <m/>
    <m/>
    <m/>
    <s v="Ninguna"/>
    <m/>
    <m/>
    <m/>
    <m/>
    <m/>
    <m/>
    <m/>
  </r>
  <r>
    <d v="2017-09-20T00:00:00"/>
    <d v="2017-09-20T00:00:00"/>
    <m/>
    <m/>
    <m/>
    <m/>
    <m/>
    <m/>
    <x v="2"/>
    <m/>
    <m/>
    <m/>
    <x v="3"/>
    <s v="No se pudo realizar"/>
    <x v="1"/>
    <x v="18"/>
    <m/>
    <m/>
    <m/>
    <m/>
    <s v="Ninguna"/>
    <m/>
    <m/>
    <m/>
    <m/>
    <m/>
    <m/>
    <m/>
  </r>
  <r>
    <d v="2017-09-21T00:00:00"/>
    <d v="2017-09-21T00:00:00"/>
    <m/>
    <m/>
    <m/>
    <m/>
    <m/>
    <m/>
    <x v="2"/>
    <m/>
    <m/>
    <m/>
    <x v="3"/>
    <s v="No se pudo realizar"/>
    <x v="0"/>
    <x v="16"/>
    <m/>
    <m/>
    <m/>
    <m/>
    <s v="Ninguna"/>
    <m/>
    <m/>
    <m/>
    <m/>
    <m/>
    <m/>
    <m/>
  </r>
  <r>
    <d v="2017-09-21T00:00:00"/>
    <d v="2017-09-21T00:00:00"/>
    <m/>
    <m/>
    <m/>
    <m/>
    <m/>
    <m/>
    <x v="2"/>
    <m/>
    <m/>
    <m/>
    <x v="3"/>
    <s v="No se pudo realizar"/>
    <x v="1"/>
    <x v="19"/>
    <m/>
    <m/>
    <m/>
    <m/>
    <s v="Ninguna"/>
    <m/>
    <m/>
    <m/>
    <m/>
    <m/>
    <m/>
    <m/>
  </r>
  <r>
    <d v="2017-09-21T00:00:00"/>
    <d v="2017-09-21T00:00:00"/>
    <m/>
    <m/>
    <m/>
    <m/>
    <m/>
    <m/>
    <x v="2"/>
    <m/>
    <m/>
    <m/>
    <x v="3"/>
    <s v="No se pudo realizar"/>
    <x v="2"/>
    <x v="19"/>
    <m/>
    <m/>
    <m/>
    <m/>
    <s v="Ninguna"/>
    <m/>
    <m/>
    <m/>
    <m/>
    <m/>
    <m/>
    <m/>
  </r>
  <r>
    <d v="2017-09-22T00:00:00"/>
    <d v="2017-09-22T00:00:00"/>
    <m/>
    <m/>
    <m/>
    <m/>
    <m/>
    <m/>
    <x v="2"/>
    <m/>
    <m/>
    <m/>
    <x v="3"/>
    <s v="No se pudo realizar"/>
    <x v="2"/>
    <x v="20"/>
    <m/>
    <m/>
    <m/>
    <m/>
    <s v="Ninguna"/>
    <m/>
    <m/>
    <m/>
    <m/>
    <m/>
    <m/>
    <m/>
  </r>
  <r>
    <d v="2017-09-22T00:00:00"/>
    <d v="2017-09-22T00:00:00"/>
    <m/>
    <m/>
    <m/>
    <m/>
    <m/>
    <m/>
    <x v="2"/>
    <m/>
    <m/>
    <m/>
    <x v="3"/>
    <s v="No se pudo realizar"/>
    <x v="3"/>
    <x v="20"/>
    <m/>
    <m/>
    <m/>
    <m/>
    <s v="Ninguna"/>
    <m/>
    <m/>
    <m/>
    <m/>
    <m/>
    <m/>
    <m/>
  </r>
  <r>
    <d v="2017-09-22T00:00:00"/>
    <d v="2017-09-22T00:00:00"/>
    <m/>
    <m/>
    <m/>
    <m/>
    <m/>
    <m/>
    <x v="2"/>
    <m/>
    <m/>
    <m/>
    <x v="3"/>
    <s v="No se pudo realizar"/>
    <x v="7"/>
    <x v="20"/>
    <m/>
    <m/>
    <m/>
    <m/>
    <s v="Ninguna"/>
    <m/>
    <m/>
    <m/>
    <m/>
    <m/>
    <m/>
    <m/>
  </r>
  <r>
    <d v="2017-09-22T00:00:00"/>
    <d v="2017-09-22T00:00:00"/>
    <m/>
    <m/>
    <m/>
    <m/>
    <m/>
    <m/>
    <x v="2"/>
    <m/>
    <m/>
    <m/>
    <x v="3"/>
    <s v="No se pudo realizar"/>
    <x v="6"/>
    <x v="20"/>
    <m/>
    <m/>
    <m/>
    <m/>
    <s v="Ninguna"/>
    <m/>
    <m/>
    <m/>
    <m/>
    <m/>
    <m/>
    <m/>
  </r>
  <r>
    <d v="2017-09-22T00:00:00"/>
    <d v="2017-09-22T00:00:00"/>
    <m/>
    <m/>
    <m/>
    <m/>
    <m/>
    <m/>
    <x v="2"/>
    <m/>
    <m/>
    <m/>
    <x v="3"/>
    <s v="No se pudo realizar"/>
    <x v="5"/>
    <x v="20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0"/>
    <x v="8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1"/>
    <x v="8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2"/>
    <x v="8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3"/>
    <x v="8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2"/>
    <x v="6"/>
    <m/>
    <m/>
    <m/>
    <m/>
    <s v="Ninguna"/>
    <m/>
    <m/>
    <m/>
    <m/>
    <m/>
    <m/>
    <m/>
  </r>
  <r>
    <d v="2017-11-21T00:00:00"/>
    <d v="2017-11-21T00:00:00"/>
    <m/>
    <m/>
    <m/>
    <m/>
    <m/>
    <m/>
    <x v="2"/>
    <m/>
    <m/>
    <m/>
    <x v="1"/>
    <s v="No se pudo realizar"/>
    <x v="3"/>
    <x v="6"/>
    <m/>
    <m/>
    <m/>
    <m/>
    <s v="Ninguna"/>
    <m/>
    <m/>
    <m/>
    <m/>
    <m/>
    <m/>
    <m/>
  </r>
  <r>
    <d v="2017-10-05T00:00:00"/>
    <d v="2017-10-05T00:00:00"/>
    <m/>
    <m/>
    <m/>
    <m/>
    <m/>
    <m/>
    <x v="2"/>
    <m/>
    <m/>
    <m/>
    <x v="2"/>
    <s v="No se pudo realizar"/>
    <x v="2"/>
    <x v="10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0"/>
    <x v="11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2"/>
    <x v="11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3"/>
    <x v="11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0"/>
    <x v="14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3"/>
    <x v="14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0"/>
    <x v="13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1"/>
    <x v="13"/>
    <m/>
    <m/>
    <m/>
    <m/>
    <s v="Ninguna"/>
    <m/>
    <m/>
    <m/>
    <m/>
    <m/>
    <m/>
    <m/>
  </r>
  <r>
    <d v="2017-10-06T00:00:00"/>
    <d v="2017-10-06T00:00:00"/>
    <m/>
    <m/>
    <m/>
    <m/>
    <m/>
    <m/>
    <x v="2"/>
    <m/>
    <m/>
    <m/>
    <x v="2"/>
    <s v="No se pudo realizar"/>
    <x v="2"/>
    <x v="13"/>
    <m/>
    <m/>
    <m/>
    <m/>
    <s v="Ninguna"/>
    <m/>
    <m/>
    <m/>
    <m/>
    <m/>
    <m/>
    <m/>
  </r>
  <r>
    <d v="2018-04-24T00:00:00"/>
    <d v="2018-04-24T00:00:00"/>
    <m/>
    <m/>
    <m/>
    <m/>
    <m/>
    <m/>
    <x v="3"/>
    <m/>
    <m/>
    <m/>
    <x v="1"/>
    <s v="No se pudo realizar"/>
    <x v="0"/>
    <x v="8"/>
    <m/>
    <m/>
    <m/>
    <m/>
    <s v="Ninguna"/>
    <m/>
    <m/>
    <m/>
    <m/>
    <m/>
    <m/>
    <m/>
  </r>
  <r>
    <d v="2018-12-04T00:00:00"/>
    <d v="2018-12-04T00:00:00"/>
    <m/>
    <m/>
    <m/>
    <m/>
    <m/>
    <m/>
    <x v="3"/>
    <m/>
    <m/>
    <m/>
    <x v="4"/>
    <s v="No se pudo realizar"/>
    <x v="1"/>
    <x v="3"/>
    <m/>
    <m/>
    <m/>
    <m/>
    <s v="Ninguna"/>
    <m/>
    <m/>
    <m/>
    <m/>
    <m/>
    <m/>
    <m/>
  </r>
  <r>
    <d v="2018-11-07T00:00:00"/>
    <d v="2018-11-07T00:00:00"/>
    <m/>
    <m/>
    <m/>
    <m/>
    <m/>
    <m/>
    <x v="3"/>
    <m/>
    <m/>
    <m/>
    <x v="2"/>
    <s v="No se pudo realizar"/>
    <x v="2"/>
    <x v="10"/>
    <m/>
    <m/>
    <m/>
    <m/>
    <s v="Ninguna"/>
    <m/>
    <m/>
    <m/>
    <m/>
    <m/>
    <m/>
    <m/>
  </r>
  <r>
    <d v="2018-11-08T00:00:00"/>
    <d v="2018-11-08T00:00:00"/>
    <m/>
    <m/>
    <m/>
    <m/>
    <m/>
    <m/>
    <x v="3"/>
    <m/>
    <m/>
    <m/>
    <x v="2"/>
    <s v="No se pudo realizar"/>
    <x v="0"/>
    <x v="13"/>
    <m/>
    <m/>
    <m/>
    <m/>
    <s v="Ninguna"/>
    <m/>
    <m/>
    <m/>
    <m/>
    <m/>
    <m/>
    <m/>
  </r>
  <r>
    <d v="2018-11-08T00:00:00"/>
    <d v="2018-11-08T00:00:00"/>
    <m/>
    <m/>
    <m/>
    <m/>
    <m/>
    <m/>
    <x v="3"/>
    <m/>
    <m/>
    <m/>
    <x v="2"/>
    <s v="No se pudo realizar"/>
    <x v="1"/>
    <x v="13"/>
    <m/>
    <m/>
    <m/>
    <m/>
    <s v="Ninguna"/>
    <m/>
    <m/>
    <m/>
    <m/>
    <m/>
    <m/>
    <m/>
  </r>
  <r>
    <d v="2018-11-08T00:00:00"/>
    <d v="2018-11-08T00:00:00"/>
    <m/>
    <m/>
    <m/>
    <m/>
    <m/>
    <m/>
    <x v="3"/>
    <m/>
    <m/>
    <m/>
    <x v="2"/>
    <s v="No se pudo realizar"/>
    <x v="2"/>
    <x v="13"/>
    <m/>
    <m/>
    <m/>
    <m/>
    <s v="Ninguna"/>
    <m/>
    <m/>
    <m/>
    <m/>
    <m/>
    <m/>
    <m/>
  </r>
  <r>
    <d v="2018-04-11T00:00:00"/>
    <d v="2018-04-11T00:00:00"/>
    <m/>
    <m/>
    <m/>
    <m/>
    <m/>
    <m/>
    <x v="3"/>
    <m/>
    <m/>
    <m/>
    <x v="2"/>
    <s v="No se pudo realizar"/>
    <x v="2"/>
    <x v="11"/>
    <m/>
    <m/>
    <m/>
    <m/>
    <s v="Ninguna"/>
    <m/>
    <m/>
    <m/>
    <m/>
    <m/>
    <m/>
    <m/>
  </r>
  <r>
    <d v="2018-04-11T00:00:00"/>
    <d v="2018-04-11T00:00:00"/>
    <m/>
    <m/>
    <m/>
    <m/>
    <m/>
    <m/>
    <x v="3"/>
    <m/>
    <m/>
    <m/>
    <x v="2"/>
    <s v="No se pudo realizar"/>
    <x v="2"/>
    <x v="10"/>
    <m/>
    <m/>
    <m/>
    <m/>
    <s v="Ninguna"/>
    <m/>
    <m/>
    <m/>
    <m/>
    <m/>
    <m/>
    <m/>
  </r>
  <r>
    <d v="2018-11-23T00:00:00"/>
    <d v="2018-11-23T00:00:00"/>
    <m/>
    <m/>
    <m/>
    <m/>
    <m/>
    <m/>
    <x v="3"/>
    <m/>
    <m/>
    <m/>
    <x v="3"/>
    <s v="No se pudo realizar"/>
    <x v="0"/>
    <x v="20"/>
    <m/>
    <m/>
    <m/>
    <m/>
    <s v="Ninguna"/>
    <m/>
    <m/>
    <m/>
    <m/>
    <m/>
    <m/>
    <m/>
  </r>
  <r>
    <d v="2018-11-23T00:00:00"/>
    <d v="2018-11-23T00:00:00"/>
    <m/>
    <m/>
    <m/>
    <m/>
    <m/>
    <m/>
    <x v="3"/>
    <m/>
    <m/>
    <m/>
    <x v="3"/>
    <s v="No se pudo realizar"/>
    <x v="1"/>
    <x v="20"/>
    <m/>
    <m/>
    <m/>
    <m/>
    <s v="Ninguna"/>
    <m/>
    <m/>
    <m/>
    <m/>
    <m/>
    <m/>
    <m/>
  </r>
  <r>
    <d v="2018-11-23T00:00:00"/>
    <d v="2018-11-23T00:00:00"/>
    <m/>
    <m/>
    <m/>
    <m/>
    <m/>
    <m/>
    <x v="3"/>
    <m/>
    <m/>
    <m/>
    <x v="3"/>
    <s v="No se pudo realizar"/>
    <x v="3"/>
    <x v="20"/>
    <m/>
    <m/>
    <m/>
    <m/>
    <s v="Ninguna"/>
    <m/>
    <m/>
    <m/>
    <m/>
    <m/>
    <m/>
    <m/>
  </r>
  <r>
    <d v="2018-11-23T00:00:00"/>
    <d v="2018-11-23T00:00:00"/>
    <m/>
    <m/>
    <m/>
    <m/>
    <m/>
    <m/>
    <x v="3"/>
    <m/>
    <m/>
    <m/>
    <x v="3"/>
    <s v="No se pudo realizar"/>
    <x v="4"/>
    <x v="20"/>
    <m/>
    <m/>
    <m/>
    <m/>
    <s v="Ninguna"/>
    <m/>
    <m/>
    <m/>
    <m/>
    <m/>
    <m/>
    <m/>
  </r>
  <r>
    <d v="2018-11-23T00:00:00"/>
    <d v="2018-11-23T00:00:00"/>
    <m/>
    <m/>
    <m/>
    <m/>
    <m/>
    <m/>
    <x v="3"/>
    <m/>
    <m/>
    <m/>
    <x v="3"/>
    <s v="No se pudo realizar"/>
    <x v="7"/>
    <x v="20"/>
    <m/>
    <m/>
    <m/>
    <m/>
    <s v="Ninguna"/>
    <m/>
    <m/>
    <m/>
    <m/>
    <m/>
    <m/>
    <m/>
  </r>
  <r>
    <d v="2018-11-24T00:00:00"/>
    <d v="2018-11-24T00:00:00"/>
    <m/>
    <m/>
    <m/>
    <m/>
    <m/>
    <m/>
    <x v="3"/>
    <m/>
    <m/>
    <m/>
    <x v="3"/>
    <s v="No se pudo realizar"/>
    <x v="1"/>
    <x v="19"/>
    <m/>
    <m/>
    <m/>
    <m/>
    <s v="Ninguna"/>
    <m/>
    <m/>
    <m/>
    <m/>
    <m/>
    <m/>
    <m/>
  </r>
  <r>
    <d v="2018-11-24T00:00:00"/>
    <d v="2018-11-24T00:00:00"/>
    <m/>
    <m/>
    <m/>
    <m/>
    <m/>
    <m/>
    <x v="3"/>
    <m/>
    <m/>
    <m/>
    <x v="3"/>
    <s v="No se pudo realizar"/>
    <x v="2"/>
    <x v="19"/>
    <m/>
    <m/>
    <m/>
    <m/>
    <s v="Ninguna"/>
    <m/>
    <m/>
    <m/>
    <m/>
    <m/>
    <m/>
    <m/>
  </r>
  <r>
    <d v="2018-12-04T00:00:00"/>
    <d v="2018-12-04T00:00:00"/>
    <m/>
    <m/>
    <m/>
    <m/>
    <m/>
    <m/>
    <x v="3"/>
    <m/>
    <m/>
    <m/>
    <x v="4"/>
    <s v="No se pudo realizar"/>
    <x v="2"/>
    <x v="5"/>
    <m/>
    <m/>
    <m/>
    <m/>
    <s v="Ninguna"/>
    <m/>
    <m/>
    <m/>
    <m/>
    <m/>
    <m/>
    <m/>
  </r>
  <r>
    <d v="2018-04-26T00:00:00"/>
    <d v="2018-04-26T00:00:00"/>
    <m/>
    <m/>
    <m/>
    <m/>
    <m/>
    <m/>
    <x v="3"/>
    <m/>
    <m/>
    <m/>
    <x v="4"/>
    <s v="No se pudo realizar"/>
    <x v="1"/>
    <x v="5"/>
    <m/>
    <m/>
    <m/>
    <m/>
    <s v="Ninguna"/>
    <m/>
    <m/>
    <m/>
    <m/>
    <m/>
    <m/>
    <m/>
  </r>
  <r>
    <d v="2019-04-26T00:00:00"/>
    <d v="2019-04-26T00:00:00"/>
    <m/>
    <m/>
    <m/>
    <m/>
    <m/>
    <m/>
    <x v="3"/>
    <m/>
    <m/>
    <m/>
    <x v="4"/>
    <s v="No se pudo realizar"/>
    <x v="2"/>
    <x v="5"/>
    <m/>
    <m/>
    <m/>
    <m/>
    <s v="Ninguna"/>
    <m/>
    <m/>
    <m/>
    <m/>
    <m/>
    <m/>
    <m/>
  </r>
  <r>
    <d v="2020-04-26T00:00:00"/>
    <d v="2020-04-26T00:00:00"/>
    <m/>
    <m/>
    <m/>
    <m/>
    <m/>
    <m/>
    <x v="3"/>
    <m/>
    <m/>
    <m/>
    <x v="4"/>
    <s v="No se pudo realizar"/>
    <x v="3"/>
    <x v="5"/>
    <m/>
    <m/>
    <m/>
    <m/>
    <s v="Ninguna"/>
    <m/>
    <m/>
    <m/>
    <m/>
    <m/>
    <m/>
    <m/>
  </r>
  <r>
    <d v="2018-04-26T00:00:00"/>
    <d v="2018-04-26T00:00:00"/>
    <m/>
    <m/>
    <m/>
    <m/>
    <m/>
    <m/>
    <x v="3"/>
    <m/>
    <m/>
    <m/>
    <x v="4"/>
    <s v="No se pudo realizar"/>
    <x v="1"/>
    <x v="4"/>
    <m/>
    <m/>
    <m/>
    <m/>
    <s v="Ninguna"/>
    <m/>
    <m/>
    <m/>
    <m/>
    <m/>
    <m/>
    <m/>
  </r>
  <r>
    <d v="2018-04-26T00:00:00"/>
    <d v="2018-04-26T00:00:00"/>
    <m/>
    <m/>
    <m/>
    <m/>
    <m/>
    <m/>
    <x v="3"/>
    <m/>
    <m/>
    <m/>
    <x v="4"/>
    <s v="No se pudo realizar"/>
    <x v="2"/>
    <x v="4"/>
    <m/>
    <m/>
    <m/>
    <m/>
    <s v="Ninguna"/>
    <m/>
    <m/>
    <m/>
    <m/>
    <m/>
    <m/>
    <m/>
  </r>
  <r>
    <d v="2018-04-28T00:00:00"/>
    <d v="2018-04-28T00:00:00"/>
    <m/>
    <m/>
    <m/>
    <m/>
    <m/>
    <m/>
    <x v="3"/>
    <m/>
    <m/>
    <m/>
    <x v="4"/>
    <s v="No se pudo realizar"/>
    <x v="2"/>
    <x v="0"/>
    <m/>
    <m/>
    <m/>
    <m/>
    <s v="Ninguna"/>
    <m/>
    <m/>
    <m/>
    <m/>
    <m/>
    <m/>
    <m/>
  </r>
  <r>
    <d v="2018-04-28T00:00:00"/>
    <d v="2018-04-28T00:00:00"/>
    <m/>
    <m/>
    <m/>
    <m/>
    <m/>
    <m/>
    <x v="3"/>
    <m/>
    <m/>
    <m/>
    <x v="4"/>
    <s v="No se pudo realizar"/>
    <x v="3"/>
    <x v="0"/>
    <m/>
    <m/>
    <m/>
    <m/>
    <s v="Ninguna"/>
    <m/>
    <m/>
    <m/>
    <m/>
    <m/>
    <m/>
    <m/>
  </r>
  <r>
    <d v="2018-04-12T00:00:00"/>
    <d v="2018-04-12T00:00:00"/>
    <m/>
    <m/>
    <m/>
    <m/>
    <m/>
    <m/>
    <x v="3"/>
    <m/>
    <m/>
    <m/>
    <x v="2"/>
    <s v="No se pudo realizar"/>
    <x v="0"/>
    <x v="13"/>
    <m/>
    <m/>
    <m/>
    <m/>
    <s v="Ninguna"/>
    <m/>
    <m/>
    <m/>
    <m/>
    <m/>
    <m/>
    <m/>
  </r>
  <r>
    <d v="2018-04-12T00:00:00"/>
    <d v="2018-04-12T00:00:00"/>
    <m/>
    <m/>
    <m/>
    <m/>
    <m/>
    <m/>
    <x v="3"/>
    <m/>
    <m/>
    <m/>
    <x v="2"/>
    <s v="No se pudo realizar"/>
    <x v="1"/>
    <x v="13"/>
    <m/>
    <m/>
    <m/>
    <m/>
    <s v="Ninguna"/>
    <m/>
    <m/>
    <m/>
    <m/>
    <m/>
    <m/>
    <m/>
  </r>
  <r>
    <d v="2018-04-12T00:00:00"/>
    <d v="2018-04-12T00:00:00"/>
    <m/>
    <m/>
    <m/>
    <m/>
    <m/>
    <m/>
    <x v="3"/>
    <m/>
    <m/>
    <m/>
    <x v="2"/>
    <s v="No se pudo realizar"/>
    <x v="2"/>
    <x v="13"/>
    <m/>
    <m/>
    <m/>
    <m/>
    <s v="Ninguna"/>
    <m/>
    <m/>
    <m/>
    <m/>
    <m/>
    <m/>
    <m/>
  </r>
  <r>
    <d v="2018-12-06T00:00:00"/>
    <d v="2018-12-06T00:00:00"/>
    <m/>
    <m/>
    <m/>
    <m/>
    <m/>
    <m/>
    <x v="3"/>
    <m/>
    <m/>
    <m/>
    <x v="4"/>
    <s v="No se pudo realizar"/>
    <x v="0"/>
    <x v="0"/>
    <m/>
    <m/>
    <m/>
    <m/>
    <s v="Ninguna"/>
    <m/>
    <m/>
    <m/>
    <m/>
    <m/>
    <m/>
    <m/>
  </r>
  <r>
    <d v="2018-12-06T00:00:00"/>
    <d v="2018-12-06T00:00:00"/>
    <m/>
    <m/>
    <m/>
    <m/>
    <m/>
    <m/>
    <x v="3"/>
    <m/>
    <m/>
    <m/>
    <x v="4"/>
    <s v="No se pudo realizar"/>
    <x v="3"/>
    <x v="0"/>
    <m/>
    <m/>
    <m/>
    <m/>
    <s v="Ninguna"/>
    <m/>
    <m/>
    <m/>
    <m/>
    <m/>
    <m/>
    <m/>
  </r>
  <r>
    <d v="2019-10-17T00:00:00"/>
    <d v="2019-10-17T00:00:00"/>
    <m/>
    <m/>
    <m/>
    <m/>
    <m/>
    <m/>
    <x v="4"/>
    <m/>
    <m/>
    <m/>
    <x v="1"/>
    <s v="No se pudo realizar"/>
    <x v="0"/>
    <x v="7"/>
    <m/>
    <m/>
    <m/>
    <m/>
    <s v="Ninguna"/>
    <m/>
    <m/>
    <m/>
    <m/>
    <m/>
    <m/>
    <m/>
  </r>
  <r>
    <d v="2019-11-10T00:00:00"/>
    <d v="2019-11-10T00:00:00"/>
    <m/>
    <m/>
    <m/>
    <m/>
    <m/>
    <m/>
    <x v="4"/>
    <m/>
    <m/>
    <m/>
    <x v="2"/>
    <s v="No se pudo realizar"/>
    <x v="2"/>
    <x v="10"/>
    <m/>
    <m/>
    <m/>
    <m/>
    <s v="Ninguna"/>
    <m/>
    <m/>
    <m/>
    <m/>
    <m/>
    <m/>
    <m/>
  </r>
  <r>
    <d v="2019-11-11T00:00:00"/>
    <d v="2019-11-11T00:00:00"/>
    <m/>
    <m/>
    <m/>
    <m/>
    <m/>
    <m/>
    <x v="4"/>
    <m/>
    <m/>
    <m/>
    <x v="2"/>
    <s v="No se pudo realizar"/>
    <x v="0"/>
    <x v="13"/>
    <m/>
    <m/>
    <m/>
    <m/>
    <s v="Ninguna"/>
    <m/>
    <m/>
    <m/>
    <m/>
    <m/>
    <m/>
    <m/>
  </r>
  <r>
    <d v="2019-11-11T00:00:00"/>
    <d v="2019-11-11T00:00:00"/>
    <m/>
    <m/>
    <m/>
    <m/>
    <m/>
    <m/>
    <x v="4"/>
    <m/>
    <m/>
    <m/>
    <x v="2"/>
    <s v="No se pudo realizar"/>
    <x v="1"/>
    <x v="13"/>
    <m/>
    <m/>
    <m/>
    <m/>
    <s v="Ninguna"/>
    <m/>
    <m/>
    <m/>
    <m/>
    <m/>
    <m/>
    <m/>
  </r>
  <r>
    <d v="2019-11-11T00:00:00"/>
    <d v="2019-11-11T00:00:00"/>
    <m/>
    <m/>
    <m/>
    <m/>
    <m/>
    <m/>
    <x v="4"/>
    <m/>
    <m/>
    <m/>
    <x v="2"/>
    <s v="No se pudo realizar"/>
    <x v="2"/>
    <x v="14"/>
    <m/>
    <m/>
    <m/>
    <m/>
    <s v="Ninguna"/>
    <m/>
    <m/>
    <m/>
    <m/>
    <m/>
    <m/>
    <m/>
  </r>
  <r>
    <d v="2019-11-11T00:00:00"/>
    <d v="2019-11-11T00:00:00"/>
    <m/>
    <m/>
    <m/>
    <m/>
    <m/>
    <m/>
    <x v="4"/>
    <m/>
    <m/>
    <m/>
    <x v="2"/>
    <s v="No se pudo realizar"/>
    <x v="3"/>
    <x v="14"/>
    <m/>
    <m/>
    <m/>
    <m/>
    <s v="Ninguna"/>
    <m/>
    <m/>
    <m/>
    <m/>
    <m/>
    <m/>
    <m/>
  </r>
  <r>
    <d v="2019-11-18T00:00:00"/>
    <d v="2019-11-18T00:00:00"/>
    <m/>
    <m/>
    <m/>
    <m/>
    <m/>
    <m/>
    <x v="4"/>
    <m/>
    <m/>
    <m/>
    <x v="4"/>
    <s v="No se pudo realizar"/>
    <x v="0"/>
    <x v="4"/>
    <m/>
    <m/>
    <m/>
    <m/>
    <s v="Ninguna"/>
    <m/>
    <m/>
    <m/>
    <m/>
    <m/>
    <m/>
    <m/>
  </r>
  <r>
    <d v="2020-10-28T00:00:00"/>
    <d v="2020-10-28T00:00:00"/>
    <m/>
    <m/>
    <m/>
    <m/>
    <m/>
    <m/>
    <x v="5"/>
    <m/>
    <m/>
    <m/>
    <x v="2"/>
    <s v="No se pudo realizar"/>
    <x v="3"/>
    <x v="14"/>
    <m/>
    <m/>
    <m/>
    <m/>
    <s v="Ninguna"/>
    <m/>
    <m/>
    <m/>
    <m/>
    <m/>
    <m/>
    <m/>
  </r>
  <r>
    <d v="2020-10-16T00:00:00"/>
    <d v="2020-10-16T00:00:00"/>
    <m/>
    <m/>
    <m/>
    <m/>
    <m/>
    <m/>
    <x v="5"/>
    <m/>
    <m/>
    <m/>
    <x v="3"/>
    <s v="No se pudo realizar"/>
    <x v="1"/>
    <x v="19"/>
    <m/>
    <m/>
    <m/>
    <m/>
    <s v="Ninguna"/>
    <m/>
    <m/>
    <m/>
    <m/>
    <m/>
    <m/>
    <m/>
  </r>
  <r>
    <d v="2020-10-16T00:00:00"/>
    <d v="2020-10-16T00:00:00"/>
    <m/>
    <m/>
    <m/>
    <m/>
    <m/>
    <m/>
    <x v="5"/>
    <m/>
    <m/>
    <m/>
    <x v="3"/>
    <s v="No se pudo realizar"/>
    <x v="2"/>
    <x v="19"/>
    <m/>
    <m/>
    <m/>
    <m/>
    <s v="Ninguna"/>
    <m/>
    <m/>
    <m/>
    <m/>
    <m/>
    <m/>
    <m/>
  </r>
  <r>
    <m/>
    <m/>
    <m/>
    <m/>
    <m/>
    <m/>
    <m/>
    <m/>
    <x v="9"/>
    <m/>
    <m/>
    <m/>
    <x v="5"/>
    <m/>
    <x v="8"/>
    <x v="23"/>
    <m/>
    <m/>
    <m/>
    <m/>
    <m/>
    <m/>
    <m/>
    <m/>
    <m/>
    <m/>
    <m/>
    <m/>
  </r>
  <r>
    <m/>
    <m/>
    <m/>
    <m/>
    <m/>
    <m/>
    <m/>
    <m/>
    <x v="9"/>
    <m/>
    <m/>
    <m/>
    <x v="5"/>
    <m/>
    <x v="8"/>
    <x v="2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39DE1-0256-C84A-96A2-580C707E47D8}" name="TablaDinámica2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K17" firstHeaderRow="1" firstDataRow="2" firstDataCol="2" rowPageCount="1" colPageCount="1"/>
  <pivotFields count="2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11">
        <item x="2"/>
        <item h="1" x="3"/>
        <item h="1" x="4"/>
        <item h="1" x="5"/>
        <item h="1" x="6"/>
        <item h="1" x="7"/>
        <item h="1" x="8"/>
        <item h="1" x="1"/>
        <item h="1" x="0"/>
        <item h="1"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2"/>
        <item x="3"/>
        <item m="1" x="6"/>
        <item x="1"/>
        <item h="1" x="5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7">
        <item m="1" x="11"/>
        <item m="1" x="12"/>
        <item m="1" x="13"/>
        <item m="1" x="14"/>
        <item m="1" x="15"/>
        <item m="1" x="10"/>
        <item m="1" x="9"/>
        <item x="0"/>
        <item x="1"/>
        <item x="2"/>
        <item x="3"/>
        <item x="4"/>
        <item x="8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2">
        <item x="8"/>
        <item x="14"/>
        <item m="1" x="31"/>
        <item x="6"/>
        <item x="13"/>
        <item x="10"/>
        <item x="15"/>
        <item m="1" x="35"/>
        <item m="1" x="32"/>
        <item m="1" x="33"/>
        <item m="1" x="34"/>
        <item x="1"/>
        <item m="1" x="24"/>
        <item m="1" x="25"/>
        <item m="1" x="40"/>
        <item x="11"/>
        <item m="1" x="26"/>
        <item x="9"/>
        <item x="2"/>
        <item m="1" x="27"/>
        <item x="20"/>
        <item m="1" x="29"/>
        <item x="5"/>
        <item x="4"/>
        <item m="1" x="28"/>
        <item x="7"/>
        <item x="12"/>
        <item m="1" x="37"/>
        <item m="1" x="36"/>
        <item x="3"/>
        <item m="1" x="30"/>
        <item x="0"/>
        <item x="16"/>
        <item m="1" x="38"/>
        <item m="1" x="39"/>
        <item x="23"/>
        <item x="19"/>
        <item x="17"/>
        <item x="18"/>
        <item x="2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2"/>
    <field x="15"/>
  </rowFields>
  <rowItems count="13">
    <i>
      <x v="1"/>
      <x v="1"/>
    </i>
    <i r="1">
      <x v="4"/>
    </i>
    <i r="1">
      <x v="5"/>
    </i>
    <i r="1">
      <x v="15"/>
    </i>
    <i>
      <x v="2"/>
      <x v="20"/>
    </i>
    <i r="1">
      <x v="32"/>
    </i>
    <i r="1">
      <x v="36"/>
    </i>
    <i r="1">
      <x v="37"/>
    </i>
    <i r="1">
      <x v="38"/>
    </i>
    <i>
      <x v="4"/>
      <x/>
    </i>
    <i r="1">
      <x v="3"/>
    </i>
    <i r="1">
      <x v="26"/>
    </i>
    <i t="grand">
      <x/>
    </i>
  </rowItems>
  <colFields count="1">
    <field x="14"/>
  </colFields>
  <colItems count="9"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 t="grand">
      <x/>
    </i>
  </colItems>
  <pageFields count="1">
    <pageField fld="8" hier="-1"/>
  </pageFields>
  <dataFields count="1">
    <dataField name="Cuenta de Nombre cientifico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C60D-7C8B-C546-9875-72D472D152A5}">
  <sheetPr filterMode="1"/>
  <dimension ref="A1:AS1676"/>
  <sheetViews>
    <sheetView topLeftCell="Q1" workbookViewId="0">
      <pane ySplit="1" topLeftCell="A1602" activePane="bottomLeft" state="frozen"/>
      <selection pane="bottomLeft" activeCell="U1610" sqref="U1610"/>
    </sheetView>
  </sheetViews>
  <sheetFormatPr baseColWidth="10" defaultRowHeight="16" x14ac:dyDescent="0.2"/>
  <cols>
    <col min="4" max="4" width="22.33203125" bestFit="1" customWidth="1"/>
    <col min="5" max="5" width="20.1640625" customWidth="1"/>
    <col min="6" max="6" width="30.1640625" customWidth="1"/>
    <col min="7" max="7" width="27.83203125" bestFit="1" customWidth="1"/>
    <col min="8" max="8" width="31.33203125" bestFit="1" customWidth="1"/>
    <col min="9" max="9" width="16.5" bestFit="1" customWidth="1"/>
    <col min="10" max="10" width="29.83203125" bestFit="1" customWidth="1"/>
    <col min="11" max="11" width="27.83203125" bestFit="1" customWidth="1"/>
    <col min="12" max="12" width="34.33203125" bestFit="1" customWidth="1"/>
    <col min="13" max="13" width="19.6640625" bestFit="1" customWidth="1"/>
    <col min="14" max="14" width="21.33203125" customWidth="1"/>
    <col min="16" max="16" width="26.33203125" bestFit="1" customWidth="1"/>
    <col min="17" max="17" width="31.6640625" customWidth="1"/>
    <col min="18" max="18" width="18.1640625" bestFit="1" customWidth="1"/>
    <col min="19" max="19" width="27.5" customWidth="1"/>
    <col min="20" max="20" width="20.33203125" customWidth="1"/>
    <col min="21" max="21" width="25.83203125" customWidth="1"/>
    <col min="22" max="22" width="21.1640625" bestFit="1" customWidth="1"/>
    <col min="23" max="23" width="43.6640625" customWidth="1"/>
    <col min="24" max="24" width="14.33203125" customWidth="1"/>
    <col min="25" max="25" width="21" bestFit="1" customWidth="1"/>
    <col min="28" max="28" width="15.8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">
      <c r="A2" s="1">
        <v>45954</v>
      </c>
      <c r="B2" s="1">
        <v>45954</v>
      </c>
      <c r="C2" t="s">
        <v>28</v>
      </c>
      <c r="D2" t="s">
        <v>29</v>
      </c>
      <c r="E2">
        <v>-76.892338333333299</v>
      </c>
      <c r="F2" s="2">
        <v>3.59496833333333</v>
      </c>
      <c r="G2">
        <v>576</v>
      </c>
      <c r="I2">
        <v>2025</v>
      </c>
      <c r="J2">
        <v>15</v>
      </c>
      <c r="K2">
        <v>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U2" t="s">
        <v>36</v>
      </c>
      <c r="Z2" t="s">
        <v>36</v>
      </c>
    </row>
    <row r="3" spans="1:28" hidden="1" x14ac:dyDescent="0.2">
      <c r="A3" s="1">
        <v>45954</v>
      </c>
      <c r="B3" s="1">
        <v>45954</v>
      </c>
      <c r="C3" t="s">
        <v>28</v>
      </c>
      <c r="D3" t="s">
        <v>37</v>
      </c>
      <c r="E3">
        <v>-76.892586666666602</v>
      </c>
      <c r="F3" s="2">
        <v>3.59575333333333</v>
      </c>
      <c r="G3">
        <v>570</v>
      </c>
      <c r="I3">
        <v>2025</v>
      </c>
      <c r="J3">
        <v>25</v>
      </c>
      <c r="K3">
        <v>5</v>
      </c>
      <c r="M3" t="s">
        <v>30</v>
      </c>
      <c r="N3" t="s">
        <v>31</v>
      </c>
      <c r="O3" t="s">
        <v>38</v>
      </c>
      <c r="P3" t="s">
        <v>33</v>
      </c>
      <c r="Q3" t="s">
        <v>34</v>
      </c>
      <c r="R3" t="s">
        <v>35</v>
      </c>
      <c r="U3" t="s">
        <v>36</v>
      </c>
      <c r="Z3" t="s">
        <v>36</v>
      </c>
    </row>
    <row r="4" spans="1:28" hidden="1" x14ac:dyDescent="0.2">
      <c r="A4" s="1">
        <v>45954</v>
      </c>
      <c r="B4" s="1">
        <v>45954</v>
      </c>
      <c r="C4" t="s">
        <v>28</v>
      </c>
      <c r="D4" t="s">
        <v>39</v>
      </c>
      <c r="E4">
        <v>-76.892835000000005</v>
      </c>
      <c r="F4" s="2">
        <v>3.5974216666666599</v>
      </c>
      <c r="G4">
        <v>621</v>
      </c>
      <c r="I4">
        <v>2025</v>
      </c>
      <c r="J4">
        <v>25</v>
      </c>
      <c r="K4">
        <v>6</v>
      </c>
      <c r="M4" t="s">
        <v>30</v>
      </c>
      <c r="N4" t="s">
        <v>31</v>
      </c>
      <c r="O4" t="s">
        <v>40</v>
      </c>
      <c r="P4" t="s">
        <v>33</v>
      </c>
      <c r="Q4" t="s">
        <v>34</v>
      </c>
      <c r="R4" t="s">
        <v>35</v>
      </c>
      <c r="S4" t="s">
        <v>41</v>
      </c>
      <c r="T4" t="s">
        <v>42</v>
      </c>
      <c r="U4" t="s">
        <v>43</v>
      </c>
      <c r="V4">
        <v>1</v>
      </c>
      <c r="Z4" t="s">
        <v>36</v>
      </c>
      <c r="AA4" t="s">
        <v>44</v>
      </c>
      <c r="AB4" t="s">
        <v>45</v>
      </c>
    </row>
    <row r="5" spans="1:28" hidden="1" x14ac:dyDescent="0.2">
      <c r="A5" s="1">
        <v>45954</v>
      </c>
      <c r="B5" s="1">
        <v>45954</v>
      </c>
      <c r="C5" t="s">
        <v>28</v>
      </c>
      <c r="D5" t="s">
        <v>46</v>
      </c>
      <c r="E5">
        <v>-76.888818333333305</v>
      </c>
      <c r="F5" s="2">
        <v>3.5969116666666601</v>
      </c>
      <c r="G5">
        <v>550</v>
      </c>
      <c r="I5">
        <v>2025</v>
      </c>
      <c r="J5">
        <v>35</v>
      </c>
      <c r="K5">
        <v>1</v>
      </c>
      <c r="M5" t="s">
        <v>30</v>
      </c>
      <c r="N5" t="s">
        <v>31</v>
      </c>
      <c r="O5" t="s">
        <v>47</v>
      </c>
      <c r="P5" t="s">
        <v>33</v>
      </c>
      <c r="Q5" t="s">
        <v>34</v>
      </c>
      <c r="R5" t="s">
        <v>35</v>
      </c>
      <c r="S5" t="s">
        <v>48</v>
      </c>
      <c r="T5" t="s">
        <v>42</v>
      </c>
      <c r="U5" t="s">
        <v>935</v>
      </c>
      <c r="V5">
        <v>1</v>
      </c>
      <c r="W5" t="s">
        <v>49</v>
      </c>
      <c r="Z5" t="s">
        <v>50</v>
      </c>
      <c r="AA5" t="s">
        <v>44</v>
      </c>
      <c r="AB5" t="s">
        <v>45</v>
      </c>
    </row>
    <row r="6" spans="1:28" hidden="1" x14ac:dyDescent="0.2">
      <c r="A6" s="1">
        <v>45953</v>
      </c>
      <c r="B6" s="1">
        <v>45953</v>
      </c>
      <c r="C6" t="s">
        <v>28</v>
      </c>
      <c r="D6" t="s">
        <v>51</v>
      </c>
      <c r="E6">
        <v>-76.880971666666596</v>
      </c>
      <c r="F6" s="2">
        <v>3.5962166666666602</v>
      </c>
      <c r="G6">
        <v>574</v>
      </c>
      <c r="H6">
        <v>2</v>
      </c>
      <c r="I6">
        <v>2025</v>
      </c>
      <c r="J6">
        <v>15</v>
      </c>
      <c r="K6">
        <v>10</v>
      </c>
      <c r="M6" t="s">
        <v>30</v>
      </c>
      <c r="N6" t="s">
        <v>31</v>
      </c>
      <c r="O6" t="s">
        <v>47</v>
      </c>
      <c r="P6" t="s">
        <v>52</v>
      </c>
      <c r="Q6" t="s">
        <v>34</v>
      </c>
      <c r="R6" t="s">
        <v>53</v>
      </c>
      <c r="T6" t="s">
        <v>54</v>
      </c>
      <c r="U6" t="s">
        <v>55</v>
      </c>
      <c r="V6">
        <v>2</v>
      </c>
      <c r="W6" t="s">
        <v>56</v>
      </c>
      <c r="Z6" t="s">
        <v>36</v>
      </c>
      <c r="AA6" t="s">
        <v>44</v>
      </c>
      <c r="AB6" t="s">
        <v>45</v>
      </c>
    </row>
    <row r="7" spans="1:28" hidden="1" x14ac:dyDescent="0.2">
      <c r="A7" s="1">
        <v>45953</v>
      </c>
      <c r="B7" s="1">
        <v>45953</v>
      </c>
      <c r="C7" t="s">
        <v>28</v>
      </c>
      <c r="D7" t="s">
        <v>57</v>
      </c>
      <c r="E7">
        <v>-76.881124999999997</v>
      </c>
      <c r="F7" s="2">
        <v>3.5953916666666599</v>
      </c>
      <c r="G7">
        <v>558</v>
      </c>
      <c r="I7">
        <v>2025</v>
      </c>
      <c r="J7">
        <v>25</v>
      </c>
      <c r="K7">
        <v>15</v>
      </c>
      <c r="M7" t="s">
        <v>30</v>
      </c>
      <c r="N7" t="s">
        <v>31</v>
      </c>
      <c r="O7" t="s">
        <v>58</v>
      </c>
      <c r="P7" t="s">
        <v>52</v>
      </c>
      <c r="Q7" t="s">
        <v>34</v>
      </c>
      <c r="R7" t="s">
        <v>35</v>
      </c>
      <c r="U7" t="s">
        <v>36</v>
      </c>
      <c r="V7">
        <v>0</v>
      </c>
      <c r="Z7" t="s">
        <v>50</v>
      </c>
    </row>
    <row r="8" spans="1:28" hidden="1" x14ac:dyDescent="0.2">
      <c r="A8" s="1">
        <v>45953</v>
      </c>
      <c r="B8" s="1">
        <v>45953</v>
      </c>
      <c r="C8" t="s">
        <v>28</v>
      </c>
      <c r="D8" t="s">
        <v>59</v>
      </c>
      <c r="E8">
        <v>-76.883014999999901</v>
      </c>
      <c r="F8" s="2">
        <v>3.5913633333333301</v>
      </c>
      <c r="G8">
        <v>569</v>
      </c>
      <c r="H8">
        <v>2</v>
      </c>
      <c r="I8">
        <v>2025</v>
      </c>
      <c r="J8">
        <v>20</v>
      </c>
      <c r="K8">
        <v>45</v>
      </c>
      <c r="M8" t="s">
        <v>30</v>
      </c>
      <c r="N8" t="s">
        <v>31</v>
      </c>
      <c r="O8" t="s">
        <v>32</v>
      </c>
      <c r="P8" t="s">
        <v>52</v>
      </c>
      <c r="Q8" t="s">
        <v>34</v>
      </c>
      <c r="R8" t="s">
        <v>53</v>
      </c>
      <c r="U8" t="s">
        <v>36</v>
      </c>
      <c r="V8">
        <v>0</v>
      </c>
      <c r="Z8" t="s">
        <v>36</v>
      </c>
    </row>
    <row r="9" spans="1:28" hidden="1" x14ac:dyDescent="0.2">
      <c r="A9" s="1">
        <v>45953</v>
      </c>
      <c r="B9" s="1">
        <v>45953</v>
      </c>
      <c r="C9" t="s">
        <v>28</v>
      </c>
      <c r="D9" t="s">
        <v>60</v>
      </c>
      <c r="E9">
        <v>-76.883438333333302</v>
      </c>
      <c r="F9">
        <v>3.590605</v>
      </c>
      <c r="G9">
        <v>580</v>
      </c>
      <c r="H9">
        <v>2</v>
      </c>
      <c r="I9">
        <v>2025</v>
      </c>
      <c r="J9">
        <v>15</v>
      </c>
      <c r="K9">
        <v>40</v>
      </c>
      <c r="M9" t="s">
        <v>30</v>
      </c>
      <c r="N9" t="s">
        <v>31</v>
      </c>
      <c r="O9" t="s">
        <v>38</v>
      </c>
      <c r="P9" t="s">
        <v>52</v>
      </c>
      <c r="Q9" t="s">
        <v>34</v>
      </c>
      <c r="R9" t="s">
        <v>53</v>
      </c>
      <c r="U9" t="s">
        <v>36</v>
      </c>
      <c r="V9">
        <v>0</v>
      </c>
      <c r="Z9" t="s">
        <v>36</v>
      </c>
    </row>
    <row r="10" spans="1:28" hidden="1" x14ac:dyDescent="0.2">
      <c r="A10" s="1">
        <v>45953</v>
      </c>
      <c r="B10" s="1">
        <v>45953</v>
      </c>
      <c r="C10" t="s">
        <v>28</v>
      </c>
      <c r="D10" t="s">
        <v>61</v>
      </c>
      <c r="E10">
        <v>-76.884178333333296</v>
      </c>
      <c r="F10" s="2">
        <v>3.59033333333333</v>
      </c>
      <c r="G10">
        <v>580</v>
      </c>
      <c r="H10">
        <v>5</v>
      </c>
      <c r="I10">
        <v>2025</v>
      </c>
      <c r="J10">
        <v>35</v>
      </c>
      <c r="K10">
        <v>25</v>
      </c>
      <c r="M10" t="s">
        <v>30</v>
      </c>
      <c r="N10" t="s">
        <v>31</v>
      </c>
      <c r="O10" t="s">
        <v>40</v>
      </c>
      <c r="P10" t="s">
        <v>52</v>
      </c>
      <c r="Q10" t="s">
        <v>34</v>
      </c>
      <c r="R10" t="s">
        <v>53</v>
      </c>
      <c r="U10" t="s">
        <v>36</v>
      </c>
      <c r="V10">
        <v>0</v>
      </c>
      <c r="W10" t="s">
        <v>62</v>
      </c>
      <c r="Z10" t="s">
        <v>36</v>
      </c>
    </row>
    <row r="11" spans="1:28" hidden="1" x14ac:dyDescent="0.2">
      <c r="A11" s="1">
        <v>45953</v>
      </c>
      <c r="B11" s="1">
        <v>45953</v>
      </c>
      <c r="C11" t="s">
        <v>28</v>
      </c>
      <c r="D11" t="s">
        <v>63</v>
      </c>
      <c r="E11">
        <v>-76.892703333333301</v>
      </c>
      <c r="F11">
        <v>3.59666</v>
      </c>
      <c r="G11">
        <v>600</v>
      </c>
      <c r="I11">
        <v>2025</v>
      </c>
      <c r="J11">
        <v>15</v>
      </c>
      <c r="K11">
        <v>5</v>
      </c>
      <c r="M11" t="s">
        <v>30</v>
      </c>
      <c r="N11" t="s">
        <v>31</v>
      </c>
      <c r="O11" t="s">
        <v>40</v>
      </c>
      <c r="P11" t="s">
        <v>33</v>
      </c>
      <c r="Q11" t="s">
        <v>64</v>
      </c>
      <c r="R11" t="s">
        <v>35</v>
      </c>
      <c r="S11" t="s">
        <v>41</v>
      </c>
      <c r="T11" t="s">
        <v>54</v>
      </c>
      <c r="U11" t="s">
        <v>43</v>
      </c>
      <c r="V11">
        <v>2</v>
      </c>
      <c r="Z11" t="s">
        <v>36</v>
      </c>
      <c r="AA11" t="s">
        <v>65</v>
      </c>
      <c r="AB11" t="s">
        <v>66</v>
      </c>
    </row>
    <row r="12" spans="1:28" hidden="1" x14ac:dyDescent="0.2">
      <c r="A12" s="1">
        <v>45953</v>
      </c>
      <c r="B12" s="1">
        <v>45953</v>
      </c>
      <c r="C12" t="s">
        <v>28</v>
      </c>
      <c r="D12" t="s">
        <v>67</v>
      </c>
      <c r="E12">
        <v>-76.892716666666601</v>
      </c>
      <c r="F12" s="2">
        <v>3.59679833333333</v>
      </c>
      <c r="G12">
        <v>600</v>
      </c>
      <c r="I12">
        <v>2025</v>
      </c>
      <c r="J12">
        <v>15</v>
      </c>
      <c r="K12">
        <v>5</v>
      </c>
      <c r="M12" t="s">
        <v>30</v>
      </c>
      <c r="N12" t="s">
        <v>31</v>
      </c>
      <c r="O12" t="s">
        <v>40</v>
      </c>
      <c r="P12" t="s">
        <v>33</v>
      </c>
      <c r="Q12" t="s">
        <v>64</v>
      </c>
      <c r="R12" t="s">
        <v>35</v>
      </c>
      <c r="S12" t="s">
        <v>41</v>
      </c>
      <c r="T12" t="s">
        <v>42</v>
      </c>
      <c r="U12" t="s">
        <v>68</v>
      </c>
      <c r="V12">
        <v>1</v>
      </c>
      <c r="W12" t="s">
        <v>69</v>
      </c>
      <c r="Z12" t="s">
        <v>36</v>
      </c>
      <c r="AA12" t="s">
        <v>44</v>
      </c>
      <c r="AB12" t="s">
        <v>45</v>
      </c>
    </row>
    <row r="13" spans="1:28" hidden="1" x14ac:dyDescent="0.2">
      <c r="A13" s="1">
        <v>45953</v>
      </c>
      <c r="B13" s="1">
        <v>45953</v>
      </c>
      <c r="C13" t="s">
        <v>28</v>
      </c>
      <c r="D13" t="s">
        <v>70</v>
      </c>
      <c r="E13">
        <v>-76.892661666666598</v>
      </c>
      <c r="F13" s="2">
        <v>3.5966983333333298</v>
      </c>
      <c r="G13">
        <v>600</v>
      </c>
      <c r="I13">
        <v>2025</v>
      </c>
      <c r="J13">
        <v>15</v>
      </c>
      <c r="K13">
        <v>5</v>
      </c>
      <c r="M13" t="s">
        <v>30</v>
      </c>
      <c r="N13" t="s">
        <v>31</v>
      </c>
      <c r="O13" t="s">
        <v>40</v>
      </c>
      <c r="P13" t="s">
        <v>33</v>
      </c>
      <c r="Q13" t="s">
        <v>64</v>
      </c>
      <c r="R13" t="s">
        <v>35</v>
      </c>
      <c r="S13" t="s">
        <v>41</v>
      </c>
      <c r="T13" t="s">
        <v>42</v>
      </c>
      <c r="U13" t="s">
        <v>71</v>
      </c>
      <c r="V13">
        <v>1</v>
      </c>
      <c r="Z13" t="s">
        <v>36</v>
      </c>
      <c r="AA13" t="s">
        <v>44</v>
      </c>
      <c r="AB13" t="s">
        <v>45</v>
      </c>
    </row>
    <row r="14" spans="1:28" hidden="1" x14ac:dyDescent="0.2">
      <c r="A14" s="1">
        <v>45953</v>
      </c>
      <c r="B14" s="1">
        <v>45953</v>
      </c>
      <c r="C14" t="s">
        <v>28</v>
      </c>
      <c r="D14" t="s">
        <v>72</v>
      </c>
      <c r="E14">
        <v>-76.892713333333305</v>
      </c>
      <c r="F14" s="2">
        <v>3.5972016666666602</v>
      </c>
      <c r="G14">
        <v>600</v>
      </c>
      <c r="I14">
        <v>2025</v>
      </c>
      <c r="J14">
        <v>15</v>
      </c>
      <c r="K14">
        <v>5</v>
      </c>
      <c r="M14" t="s">
        <v>30</v>
      </c>
      <c r="N14" t="s">
        <v>31</v>
      </c>
      <c r="O14" t="s">
        <v>40</v>
      </c>
      <c r="P14" t="s">
        <v>33</v>
      </c>
      <c r="Q14" t="s">
        <v>64</v>
      </c>
      <c r="R14" t="s">
        <v>35</v>
      </c>
      <c r="S14" t="s">
        <v>48</v>
      </c>
      <c r="T14" t="s">
        <v>42</v>
      </c>
      <c r="U14" t="s">
        <v>43</v>
      </c>
      <c r="V14">
        <v>1</v>
      </c>
      <c r="Z14" t="s">
        <v>36</v>
      </c>
      <c r="AA14" t="s">
        <v>44</v>
      </c>
      <c r="AB14" t="s">
        <v>45</v>
      </c>
    </row>
    <row r="15" spans="1:28" hidden="1" x14ac:dyDescent="0.2">
      <c r="A15" s="1">
        <v>45953</v>
      </c>
      <c r="B15" s="1">
        <v>45953</v>
      </c>
      <c r="C15" t="s">
        <v>28</v>
      </c>
      <c r="D15" t="s">
        <v>73</v>
      </c>
      <c r="E15">
        <v>-76.892344999999906</v>
      </c>
      <c r="F15" s="2">
        <v>3.5953133333333298</v>
      </c>
      <c r="G15">
        <v>561</v>
      </c>
      <c r="I15">
        <v>2025</v>
      </c>
      <c r="J15">
        <v>15</v>
      </c>
      <c r="K15">
        <v>5</v>
      </c>
      <c r="M15" t="s">
        <v>30</v>
      </c>
      <c r="N15" t="s">
        <v>31</v>
      </c>
      <c r="O15" t="s">
        <v>38</v>
      </c>
      <c r="P15" t="s">
        <v>33</v>
      </c>
      <c r="Q15" t="s">
        <v>74</v>
      </c>
      <c r="R15" t="s">
        <v>35</v>
      </c>
      <c r="S15" t="s">
        <v>41</v>
      </c>
      <c r="T15" t="s">
        <v>54</v>
      </c>
      <c r="U15" t="s">
        <v>75</v>
      </c>
      <c r="V15">
        <v>10</v>
      </c>
      <c r="Z15" t="s">
        <v>36</v>
      </c>
      <c r="AA15" t="s">
        <v>65</v>
      </c>
      <c r="AB15" t="s">
        <v>66</v>
      </c>
    </row>
    <row r="16" spans="1:28" hidden="1" x14ac:dyDescent="0.2">
      <c r="A16" s="1">
        <v>45953</v>
      </c>
      <c r="B16" s="1">
        <v>45953</v>
      </c>
      <c r="C16" t="s">
        <v>28</v>
      </c>
      <c r="D16" t="s">
        <v>76</v>
      </c>
      <c r="E16">
        <v>-76.892253333333301</v>
      </c>
      <c r="F16" s="2">
        <v>3.59523666666666</v>
      </c>
      <c r="G16">
        <v>561</v>
      </c>
      <c r="I16">
        <v>2025</v>
      </c>
      <c r="J16">
        <v>15</v>
      </c>
      <c r="K16">
        <v>5</v>
      </c>
      <c r="M16" t="s">
        <v>30</v>
      </c>
      <c r="N16" t="s">
        <v>31</v>
      </c>
      <c r="O16" t="s">
        <v>38</v>
      </c>
      <c r="P16" t="s">
        <v>33</v>
      </c>
      <c r="Q16" t="s">
        <v>64</v>
      </c>
      <c r="R16" t="s">
        <v>35</v>
      </c>
      <c r="T16" t="s">
        <v>54</v>
      </c>
      <c r="U16" t="s">
        <v>75</v>
      </c>
      <c r="V16">
        <v>4</v>
      </c>
      <c r="W16" t="s">
        <v>56</v>
      </c>
      <c r="Z16" t="s">
        <v>36</v>
      </c>
      <c r="AA16" t="s">
        <v>44</v>
      </c>
      <c r="AB16" t="s">
        <v>45</v>
      </c>
    </row>
    <row r="17" spans="1:28" hidden="1" x14ac:dyDescent="0.2">
      <c r="A17" s="1">
        <v>45953</v>
      </c>
      <c r="B17" s="1">
        <v>45953</v>
      </c>
      <c r="C17" t="s">
        <v>28</v>
      </c>
      <c r="D17" t="s">
        <v>77</v>
      </c>
      <c r="E17">
        <v>-76.892463333333296</v>
      </c>
      <c r="F17" s="2">
        <v>3.59541166666666</v>
      </c>
      <c r="G17">
        <v>561</v>
      </c>
      <c r="I17">
        <v>2025</v>
      </c>
      <c r="J17">
        <v>15</v>
      </c>
      <c r="K17">
        <v>5</v>
      </c>
      <c r="M17" t="s">
        <v>30</v>
      </c>
      <c r="N17" t="s">
        <v>31</v>
      </c>
      <c r="O17" t="s">
        <v>38</v>
      </c>
      <c r="P17" t="s">
        <v>33</v>
      </c>
      <c r="Q17" t="s">
        <v>64</v>
      </c>
      <c r="R17" t="s">
        <v>35</v>
      </c>
      <c r="S17" t="s">
        <v>41</v>
      </c>
      <c r="T17" t="s">
        <v>42</v>
      </c>
      <c r="U17" t="s">
        <v>43</v>
      </c>
      <c r="V17">
        <v>1</v>
      </c>
      <c r="Z17" t="s">
        <v>36</v>
      </c>
      <c r="AA17" t="s">
        <v>65</v>
      </c>
      <c r="AB17" t="s">
        <v>66</v>
      </c>
    </row>
    <row r="18" spans="1:28" hidden="1" x14ac:dyDescent="0.2">
      <c r="A18" s="1">
        <v>45953</v>
      </c>
      <c r="B18" s="1">
        <v>45953</v>
      </c>
      <c r="C18" t="s">
        <v>28</v>
      </c>
      <c r="D18" t="s">
        <v>78</v>
      </c>
      <c r="E18">
        <v>-76.891990000000007</v>
      </c>
      <c r="F18" s="2">
        <v>3.5943249999999898</v>
      </c>
      <c r="G18">
        <v>556</v>
      </c>
      <c r="I18">
        <v>2025</v>
      </c>
      <c r="J18">
        <v>20</v>
      </c>
      <c r="K18">
        <v>5</v>
      </c>
      <c r="M18" t="s">
        <v>30</v>
      </c>
      <c r="N18" t="s">
        <v>31</v>
      </c>
      <c r="O18" t="s">
        <v>32</v>
      </c>
      <c r="P18" t="s">
        <v>33</v>
      </c>
      <c r="Q18" t="s">
        <v>74</v>
      </c>
      <c r="R18" t="s">
        <v>35</v>
      </c>
      <c r="S18" t="s">
        <v>41</v>
      </c>
      <c r="T18" t="s">
        <v>54</v>
      </c>
      <c r="U18" t="s">
        <v>79</v>
      </c>
      <c r="V18">
        <v>1</v>
      </c>
      <c r="Z18" t="s">
        <v>36</v>
      </c>
      <c r="AA18" t="s">
        <v>44</v>
      </c>
      <c r="AB18" t="s">
        <v>45</v>
      </c>
    </row>
    <row r="19" spans="1:28" hidden="1" x14ac:dyDescent="0.2">
      <c r="A19" s="1">
        <v>45953</v>
      </c>
      <c r="B19" s="1">
        <v>45953</v>
      </c>
      <c r="C19" t="s">
        <v>28</v>
      </c>
      <c r="D19" t="s">
        <v>80</v>
      </c>
      <c r="E19">
        <v>-76.888705000000002</v>
      </c>
      <c r="F19" s="2">
        <v>3.5970116666666598</v>
      </c>
      <c r="G19">
        <v>549</v>
      </c>
      <c r="I19">
        <v>2025</v>
      </c>
      <c r="J19">
        <v>10</v>
      </c>
      <c r="K19">
        <v>2</v>
      </c>
      <c r="M19" t="s">
        <v>30</v>
      </c>
      <c r="N19" t="s">
        <v>31</v>
      </c>
      <c r="O19" t="s">
        <v>47</v>
      </c>
      <c r="P19" t="s">
        <v>33</v>
      </c>
      <c r="Q19" t="s">
        <v>74</v>
      </c>
      <c r="R19" t="s">
        <v>35</v>
      </c>
      <c r="T19" t="s">
        <v>42</v>
      </c>
      <c r="U19" t="s">
        <v>71</v>
      </c>
      <c r="V19">
        <v>4</v>
      </c>
      <c r="W19" t="s">
        <v>81</v>
      </c>
      <c r="Z19" t="s">
        <v>50</v>
      </c>
      <c r="AA19" t="s">
        <v>44</v>
      </c>
      <c r="AB19" t="s">
        <v>45</v>
      </c>
    </row>
    <row r="20" spans="1:28" hidden="1" x14ac:dyDescent="0.2">
      <c r="A20" s="1">
        <v>45953</v>
      </c>
      <c r="B20" s="1">
        <v>45953</v>
      </c>
      <c r="C20" t="s">
        <v>28</v>
      </c>
      <c r="D20" t="s">
        <v>82</v>
      </c>
      <c r="E20">
        <v>-76.889084999999994</v>
      </c>
      <c r="F20" s="2">
        <v>3.5968433333333301</v>
      </c>
      <c r="G20">
        <v>549</v>
      </c>
      <c r="I20">
        <v>2025</v>
      </c>
      <c r="J20">
        <v>10</v>
      </c>
      <c r="K20">
        <v>2</v>
      </c>
      <c r="M20" t="s">
        <v>30</v>
      </c>
      <c r="N20" t="s">
        <v>31</v>
      </c>
      <c r="O20" t="s">
        <v>47</v>
      </c>
      <c r="P20" t="s">
        <v>33</v>
      </c>
      <c r="Q20" t="s">
        <v>74</v>
      </c>
      <c r="R20" t="s">
        <v>35</v>
      </c>
      <c r="T20" t="s">
        <v>42</v>
      </c>
      <c r="U20" t="s">
        <v>935</v>
      </c>
      <c r="V20">
        <v>5</v>
      </c>
      <c r="W20" t="s">
        <v>81</v>
      </c>
      <c r="Z20" t="s">
        <v>50</v>
      </c>
      <c r="AA20" t="s">
        <v>44</v>
      </c>
      <c r="AB20" t="s">
        <v>45</v>
      </c>
    </row>
    <row r="21" spans="1:28" hidden="1" x14ac:dyDescent="0.2">
      <c r="A21" s="1">
        <v>45953</v>
      </c>
      <c r="B21" s="1">
        <v>45953</v>
      </c>
      <c r="C21" t="s">
        <v>28</v>
      </c>
      <c r="D21" t="s">
        <v>83</v>
      </c>
      <c r="E21">
        <v>-76.889021666666594</v>
      </c>
      <c r="F21">
        <v>3.5967950000000002</v>
      </c>
      <c r="G21">
        <v>549</v>
      </c>
      <c r="I21">
        <v>2025</v>
      </c>
      <c r="J21">
        <v>10</v>
      </c>
      <c r="K21">
        <v>2</v>
      </c>
      <c r="M21" t="s">
        <v>30</v>
      </c>
      <c r="N21" t="s">
        <v>31</v>
      </c>
      <c r="O21" t="s">
        <v>47</v>
      </c>
      <c r="P21" t="s">
        <v>33</v>
      </c>
      <c r="Q21" t="s">
        <v>74</v>
      </c>
      <c r="R21" t="s">
        <v>35</v>
      </c>
      <c r="T21" t="s">
        <v>42</v>
      </c>
      <c r="U21" t="s">
        <v>84</v>
      </c>
      <c r="V21">
        <v>5</v>
      </c>
      <c r="W21" t="s">
        <v>56</v>
      </c>
      <c r="Z21" t="s">
        <v>50</v>
      </c>
      <c r="AA21" t="s">
        <v>44</v>
      </c>
      <c r="AB21" t="s">
        <v>45</v>
      </c>
    </row>
    <row r="22" spans="1:28" hidden="1" x14ac:dyDescent="0.2">
      <c r="A22" s="1">
        <v>45953</v>
      </c>
      <c r="B22" s="1">
        <v>45953</v>
      </c>
      <c r="C22" t="s">
        <v>28</v>
      </c>
      <c r="D22" t="s">
        <v>85</v>
      </c>
      <c r="E22">
        <v>-76.881088333333295</v>
      </c>
      <c r="F22" s="2">
        <v>3.5956183333333298</v>
      </c>
      <c r="G22">
        <v>541</v>
      </c>
      <c r="I22">
        <v>2025</v>
      </c>
      <c r="J22">
        <v>25</v>
      </c>
      <c r="K22">
        <v>5</v>
      </c>
      <c r="M22" t="s">
        <v>30</v>
      </c>
      <c r="N22" t="s">
        <v>31</v>
      </c>
      <c r="O22" t="s">
        <v>58</v>
      </c>
      <c r="P22" t="s">
        <v>52</v>
      </c>
      <c r="Q22" t="s">
        <v>86</v>
      </c>
      <c r="R22" t="s">
        <v>35</v>
      </c>
      <c r="U22" t="s">
        <v>36</v>
      </c>
      <c r="Z22" t="s">
        <v>50</v>
      </c>
    </row>
    <row r="23" spans="1:28" hidden="1" x14ac:dyDescent="0.2">
      <c r="A23" s="1">
        <v>45953</v>
      </c>
      <c r="B23" s="1">
        <v>45953</v>
      </c>
      <c r="C23" t="s">
        <v>28</v>
      </c>
      <c r="D23" t="s">
        <v>87</v>
      </c>
      <c r="E23">
        <v>-76.882429999999999</v>
      </c>
      <c r="F23" s="2">
        <v>3.5914216666666601</v>
      </c>
      <c r="G23">
        <v>592</v>
      </c>
      <c r="H23">
        <v>2</v>
      </c>
      <c r="I23">
        <v>2025</v>
      </c>
      <c r="J23">
        <v>15</v>
      </c>
      <c r="K23">
        <v>45</v>
      </c>
      <c r="M23" t="s">
        <v>30</v>
      </c>
      <c r="N23" t="s">
        <v>31</v>
      </c>
      <c r="O23" t="s">
        <v>32</v>
      </c>
      <c r="P23" t="s">
        <v>52</v>
      </c>
      <c r="Q23" t="s">
        <v>86</v>
      </c>
      <c r="R23" t="s">
        <v>53</v>
      </c>
      <c r="S23" t="s">
        <v>41</v>
      </c>
      <c r="T23" t="s">
        <v>54</v>
      </c>
      <c r="U23" t="s">
        <v>88</v>
      </c>
      <c r="V23">
        <v>1</v>
      </c>
      <c r="W23" t="s">
        <v>89</v>
      </c>
      <c r="Z23" t="s">
        <v>36</v>
      </c>
      <c r="AA23" t="s">
        <v>44</v>
      </c>
      <c r="AB23" t="s">
        <v>45</v>
      </c>
    </row>
    <row r="24" spans="1:28" hidden="1" x14ac:dyDescent="0.2">
      <c r="A24" s="1">
        <v>45953</v>
      </c>
      <c r="B24" s="1">
        <v>45953</v>
      </c>
      <c r="C24" t="s">
        <v>28</v>
      </c>
      <c r="D24" t="s">
        <v>90</v>
      </c>
      <c r="E24">
        <v>-76.883544999999998</v>
      </c>
      <c r="F24" s="2">
        <v>3.5903849999999902</v>
      </c>
      <c r="G24">
        <v>619</v>
      </c>
      <c r="H24">
        <v>3</v>
      </c>
      <c r="I24">
        <v>2025</v>
      </c>
      <c r="J24">
        <v>15</v>
      </c>
      <c r="K24">
        <v>10</v>
      </c>
      <c r="M24" t="s">
        <v>30</v>
      </c>
      <c r="N24" t="s">
        <v>31</v>
      </c>
      <c r="O24" t="s">
        <v>38</v>
      </c>
      <c r="P24" t="s">
        <v>52</v>
      </c>
      <c r="Q24" t="s">
        <v>86</v>
      </c>
      <c r="R24" t="s">
        <v>53</v>
      </c>
      <c r="T24" t="s">
        <v>91</v>
      </c>
      <c r="U24" t="s">
        <v>92</v>
      </c>
      <c r="V24">
        <v>1</v>
      </c>
      <c r="W24" t="s">
        <v>93</v>
      </c>
      <c r="Z24" t="s">
        <v>36</v>
      </c>
      <c r="AA24" t="s">
        <v>44</v>
      </c>
      <c r="AB24" t="s">
        <v>45</v>
      </c>
    </row>
    <row r="25" spans="1:28" hidden="1" x14ac:dyDescent="0.2">
      <c r="A25" s="1">
        <v>45953</v>
      </c>
      <c r="B25" s="1">
        <v>45953</v>
      </c>
      <c r="C25" t="s">
        <v>28</v>
      </c>
      <c r="D25" t="s">
        <v>94</v>
      </c>
      <c r="E25">
        <v>-76.883319999999998</v>
      </c>
      <c r="F25">
        <v>3.5904400000000001</v>
      </c>
      <c r="G25">
        <v>619</v>
      </c>
      <c r="H25">
        <v>3</v>
      </c>
      <c r="I25">
        <v>2025</v>
      </c>
      <c r="J25">
        <v>15</v>
      </c>
      <c r="K25">
        <v>10</v>
      </c>
      <c r="M25" t="s">
        <v>30</v>
      </c>
      <c r="N25" t="s">
        <v>31</v>
      </c>
      <c r="O25" t="s">
        <v>38</v>
      </c>
      <c r="P25" t="s">
        <v>52</v>
      </c>
      <c r="Q25" t="s">
        <v>86</v>
      </c>
      <c r="R25" t="s">
        <v>53</v>
      </c>
      <c r="T25" t="s">
        <v>91</v>
      </c>
      <c r="U25" t="s">
        <v>75</v>
      </c>
      <c r="V25">
        <v>2</v>
      </c>
      <c r="W25" t="s">
        <v>56</v>
      </c>
      <c r="Z25" t="s">
        <v>36</v>
      </c>
      <c r="AA25" t="s">
        <v>65</v>
      </c>
      <c r="AB25" t="s">
        <v>45</v>
      </c>
    </row>
    <row r="26" spans="1:28" hidden="1" x14ac:dyDescent="0.2">
      <c r="A26" s="1">
        <v>45953</v>
      </c>
      <c r="B26" s="1">
        <v>45953</v>
      </c>
      <c r="C26" t="s">
        <v>28</v>
      </c>
      <c r="D26" t="s">
        <v>95</v>
      </c>
      <c r="E26">
        <v>-76.882819999999995</v>
      </c>
      <c r="F26" s="2">
        <v>3.5905883333333302</v>
      </c>
      <c r="G26">
        <v>619</v>
      </c>
      <c r="H26">
        <v>3</v>
      </c>
      <c r="I26">
        <v>2025</v>
      </c>
      <c r="J26">
        <v>15</v>
      </c>
      <c r="K26">
        <v>10</v>
      </c>
      <c r="M26" t="s">
        <v>30</v>
      </c>
      <c r="N26" t="s">
        <v>31</v>
      </c>
      <c r="O26" t="s">
        <v>38</v>
      </c>
      <c r="P26" t="s">
        <v>52</v>
      </c>
      <c r="Q26" t="s">
        <v>86</v>
      </c>
      <c r="R26" t="s">
        <v>53</v>
      </c>
      <c r="T26" t="s">
        <v>54</v>
      </c>
      <c r="U26" t="s">
        <v>75</v>
      </c>
      <c r="V26">
        <v>1</v>
      </c>
      <c r="W26" t="s">
        <v>56</v>
      </c>
      <c r="Z26" t="s">
        <v>36</v>
      </c>
      <c r="AA26" t="s">
        <v>65</v>
      </c>
      <c r="AB26" t="s">
        <v>66</v>
      </c>
    </row>
    <row r="27" spans="1:28" hidden="1" x14ac:dyDescent="0.2">
      <c r="A27" s="1">
        <v>45953</v>
      </c>
      <c r="B27" s="1">
        <v>45953</v>
      </c>
      <c r="C27" t="s">
        <v>28</v>
      </c>
      <c r="D27" t="s">
        <v>96</v>
      </c>
      <c r="E27">
        <v>-76.884051666666593</v>
      </c>
      <c r="F27" s="2">
        <v>3.5902483333333302</v>
      </c>
      <c r="G27">
        <v>622</v>
      </c>
      <c r="H27">
        <v>4</v>
      </c>
      <c r="I27">
        <v>2025</v>
      </c>
      <c r="J27">
        <v>15</v>
      </c>
      <c r="K27">
        <v>30</v>
      </c>
      <c r="M27" t="s">
        <v>30</v>
      </c>
      <c r="N27" t="s">
        <v>31</v>
      </c>
      <c r="O27" t="s">
        <v>40</v>
      </c>
      <c r="P27" t="s">
        <v>52</v>
      </c>
      <c r="Q27" t="s">
        <v>86</v>
      </c>
      <c r="R27" t="s">
        <v>53</v>
      </c>
      <c r="U27" t="s">
        <v>36</v>
      </c>
      <c r="Z27" t="s">
        <v>36</v>
      </c>
    </row>
    <row r="28" spans="1:28" hidden="1" x14ac:dyDescent="0.2">
      <c r="A28" s="1">
        <v>45952</v>
      </c>
      <c r="B28" s="1">
        <v>45952</v>
      </c>
      <c r="C28" t="s">
        <v>28</v>
      </c>
      <c r="D28" t="s">
        <v>97</v>
      </c>
      <c r="E28">
        <v>-76.880696666666594</v>
      </c>
      <c r="F28" s="2">
        <v>3.57734666666666</v>
      </c>
      <c r="G28">
        <v>646</v>
      </c>
      <c r="I28">
        <v>2025</v>
      </c>
      <c r="J28">
        <v>15</v>
      </c>
      <c r="K28">
        <v>0</v>
      </c>
      <c r="M28" t="s">
        <v>30</v>
      </c>
      <c r="N28" t="s">
        <v>31</v>
      </c>
      <c r="O28" t="s">
        <v>32</v>
      </c>
      <c r="P28" t="s">
        <v>98</v>
      </c>
      <c r="Q28" t="s">
        <v>34</v>
      </c>
      <c r="R28" t="s">
        <v>35</v>
      </c>
      <c r="T28" t="s">
        <v>54</v>
      </c>
      <c r="U28" t="s">
        <v>43</v>
      </c>
      <c r="V28">
        <v>1</v>
      </c>
      <c r="W28" t="s">
        <v>56</v>
      </c>
      <c r="Z28" t="s">
        <v>36</v>
      </c>
      <c r="AA28" t="s">
        <v>44</v>
      </c>
      <c r="AB28" t="s">
        <v>45</v>
      </c>
    </row>
    <row r="29" spans="1:28" hidden="1" x14ac:dyDescent="0.2">
      <c r="A29" s="1">
        <v>45952</v>
      </c>
      <c r="B29" s="1">
        <v>45952</v>
      </c>
      <c r="C29" t="s">
        <v>28</v>
      </c>
      <c r="D29" t="s">
        <v>99</v>
      </c>
      <c r="E29">
        <v>-76.880648333333298</v>
      </c>
      <c r="F29" s="2">
        <v>3.5771983333333299</v>
      </c>
      <c r="G29">
        <v>646</v>
      </c>
      <c r="I29">
        <v>2025</v>
      </c>
      <c r="J29">
        <v>15</v>
      </c>
      <c r="K29">
        <v>0</v>
      </c>
      <c r="M29" t="s">
        <v>30</v>
      </c>
      <c r="N29" t="s">
        <v>31</v>
      </c>
      <c r="O29" t="s">
        <v>32</v>
      </c>
      <c r="P29" t="s">
        <v>98</v>
      </c>
      <c r="Q29" t="s">
        <v>34</v>
      </c>
      <c r="R29" t="s">
        <v>35</v>
      </c>
      <c r="T29" t="s">
        <v>42</v>
      </c>
      <c r="U29" t="s">
        <v>71</v>
      </c>
      <c r="V29">
        <v>1</v>
      </c>
      <c r="W29" t="s">
        <v>81</v>
      </c>
      <c r="Z29" t="s">
        <v>36</v>
      </c>
      <c r="AA29" t="s">
        <v>44</v>
      </c>
      <c r="AB29" t="s">
        <v>45</v>
      </c>
    </row>
    <row r="30" spans="1:28" hidden="1" x14ac:dyDescent="0.2">
      <c r="A30" s="1">
        <v>45952</v>
      </c>
      <c r="B30" s="1">
        <v>45952</v>
      </c>
      <c r="C30" t="s">
        <v>28</v>
      </c>
      <c r="D30" t="s">
        <v>100</v>
      </c>
      <c r="E30">
        <v>-76.880213333333302</v>
      </c>
      <c r="F30" s="2">
        <v>3.5767533333333299</v>
      </c>
      <c r="G30">
        <v>646</v>
      </c>
      <c r="I30">
        <v>2025</v>
      </c>
      <c r="J30">
        <v>15</v>
      </c>
      <c r="K30">
        <v>0</v>
      </c>
      <c r="M30" t="s">
        <v>30</v>
      </c>
      <c r="N30" t="s">
        <v>31</v>
      </c>
      <c r="O30" t="s">
        <v>32</v>
      </c>
      <c r="P30" t="s">
        <v>98</v>
      </c>
      <c r="Q30" t="s">
        <v>34</v>
      </c>
      <c r="R30" t="s">
        <v>35</v>
      </c>
      <c r="S30" t="s">
        <v>41</v>
      </c>
      <c r="T30" t="s">
        <v>54</v>
      </c>
      <c r="U30" t="s">
        <v>43</v>
      </c>
      <c r="V30">
        <v>2</v>
      </c>
      <c r="Z30" t="s">
        <v>36</v>
      </c>
      <c r="AA30" t="s">
        <v>65</v>
      </c>
      <c r="AB30" t="s">
        <v>66</v>
      </c>
    </row>
    <row r="31" spans="1:28" hidden="1" x14ac:dyDescent="0.2">
      <c r="A31" s="1">
        <v>45952</v>
      </c>
      <c r="B31" s="1">
        <v>45952</v>
      </c>
      <c r="C31" t="s">
        <v>28</v>
      </c>
      <c r="D31" t="s">
        <v>101</v>
      </c>
      <c r="E31">
        <v>-76.880126666666598</v>
      </c>
      <c r="F31">
        <v>3.5765099999999999</v>
      </c>
      <c r="G31">
        <v>646</v>
      </c>
      <c r="I31">
        <v>2025</v>
      </c>
      <c r="J31">
        <v>15</v>
      </c>
      <c r="K31">
        <v>0</v>
      </c>
      <c r="M31" t="s">
        <v>30</v>
      </c>
      <c r="N31" t="s">
        <v>31</v>
      </c>
      <c r="O31" t="s">
        <v>32</v>
      </c>
      <c r="P31" t="s">
        <v>98</v>
      </c>
      <c r="Q31" t="s">
        <v>34</v>
      </c>
      <c r="R31" t="s">
        <v>35</v>
      </c>
      <c r="S31" t="s">
        <v>41</v>
      </c>
      <c r="T31" t="s">
        <v>54</v>
      </c>
      <c r="U31" t="s">
        <v>43</v>
      </c>
      <c r="V31">
        <v>1</v>
      </c>
      <c r="Z31" t="s">
        <v>36</v>
      </c>
      <c r="AA31" t="s">
        <v>65</v>
      </c>
      <c r="AB31" t="s">
        <v>66</v>
      </c>
    </row>
    <row r="32" spans="1:28" hidden="1" x14ac:dyDescent="0.2">
      <c r="A32" s="1">
        <v>45952</v>
      </c>
      <c r="B32" s="1">
        <v>45952</v>
      </c>
      <c r="C32" t="s">
        <v>28</v>
      </c>
      <c r="D32" t="s">
        <v>102</v>
      </c>
      <c r="E32">
        <v>-76.880603333333298</v>
      </c>
      <c r="F32" s="2">
        <v>3.5781733333333299</v>
      </c>
      <c r="G32">
        <v>649</v>
      </c>
      <c r="I32">
        <v>2025</v>
      </c>
      <c r="J32">
        <v>12</v>
      </c>
      <c r="K32">
        <v>2</v>
      </c>
      <c r="M32" t="s">
        <v>30</v>
      </c>
      <c r="N32" t="s">
        <v>31</v>
      </c>
      <c r="O32" t="s">
        <v>38</v>
      </c>
      <c r="P32" t="s">
        <v>98</v>
      </c>
      <c r="Q32" t="s">
        <v>34</v>
      </c>
      <c r="R32" t="s">
        <v>35</v>
      </c>
      <c r="U32" t="s">
        <v>36</v>
      </c>
      <c r="V32">
        <v>0</v>
      </c>
      <c r="Z32" t="s">
        <v>36</v>
      </c>
    </row>
    <row r="33" spans="1:28" hidden="1" x14ac:dyDescent="0.2">
      <c r="A33" s="1">
        <v>45952</v>
      </c>
      <c r="B33" s="1">
        <v>45952</v>
      </c>
      <c r="C33" t="s">
        <v>28</v>
      </c>
      <c r="D33" t="s">
        <v>103</v>
      </c>
      <c r="E33">
        <v>-76.880651666666594</v>
      </c>
      <c r="F33" s="2">
        <v>3.57862833333333</v>
      </c>
      <c r="G33">
        <v>678</v>
      </c>
      <c r="I33">
        <v>2025</v>
      </c>
      <c r="J33">
        <v>30</v>
      </c>
      <c r="K33">
        <v>50</v>
      </c>
      <c r="M33" t="s">
        <v>30</v>
      </c>
      <c r="N33" t="s">
        <v>31</v>
      </c>
      <c r="O33" t="s">
        <v>40</v>
      </c>
      <c r="P33" t="s">
        <v>98</v>
      </c>
      <c r="Q33" t="s">
        <v>34</v>
      </c>
      <c r="R33" t="s">
        <v>35</v>
      </c>
      <c r="T33" t="s">
        <v>54</v>
      </c>
      <c r="U33" t="s">
        <v>43</v>
      </c>
      <c r="V33">
        <v>2</v>
      </c>
      <c r="W33" t="s">
        <v>56</v>
      </c>
      <c r="Z33" t="s">
        <v>36</v>
      </c>
      <c r="AA33" t="s">
        <v>65</v>
      </c>
      <c r="AB33" t="s">
        <v>66</v>
      </c>
    </row>
    <row r="34" spans="1:28" hidden="1" x14ac:dyDescent="0.2">
      <c r="A34" s="1">
        <v>45952</v>
      </c>
      <c r="B34" s="1">
        <v>45952</v>
      </c>
      <c r="C34" t="s">
        <v>28</v>
      </c>
      <c r="D34" t="s">
        <v>104</v>
      </c>
      <c r="E34">
        <v>-76.8807883333333</v>
      </c>
      <c r="F34">
        <v>3.578525</v>
      </c>
      <c r="G34">
        <v>678</v>
      </c>
      <c r="I34">
        <v>2025</v>
      </c>
      <c r="J34">
        <v>30</v>
      </c>
      <c r="K34">
        <v>50</v>
      </c>
      <c r="M34" t="s">
        <v>30</v>
      </c>
      <c r="N34" t="s">
        <v>31</v>
      </c>
      <c r="O34" t="s">
        <v>40</v>
      </c>
      <c r="P34" t="s">
        <v>98</v>
      </c>
      <c r="Q34" t="s">
        <v>34</v>
      </c>
      <c r="R34" t="s">
        <v>105</v>
      </c>
      <c r="S34" t="s">
        <v>41</v>
      </c>
      <c r="T34" t="s">
        <v>54</v>
      </c>
      <c r="U34" t="s">
        <v>43</v>
      </c>
      <c r="V34">
        <v>1</v>
      </c>
      <c r="Z34" t="s">
        <v>36</v>
      </c>
      <c r="AA34" t="s">
        <v>44</v>
      </c>
      <c r="AB34" t="s">
        <v>45</v>
      </c>
    </row>
    <row r="35" spans="1:28" hidden="1" x14ac:dyDescent="0.2">
      <c r="A35" s="1">
        <v>45952</v>
      </c>
      <c r="B35" s="1">
        <v>45952</v>
      </c>
      <c r="C35" t="s">
        <v>28</v>
      </c>
      <c r="D35" t="s">
        <v>106</v>
      </c>
      <c r="E35">
        <v>-76.881036666666603</v>
      </c>
      <c r="F35" s="2">
        <v>3.5782583333333302</v>
      </c>
      <c r="G35">
        <v>678</v>
      </c>
      <c r="I35">
        <v>2025</v>
      </c>
      <c r="J35">
        <v>30</v>
      </c>
      <c r="K35">
        <v>50</v>
      </c>
      <c r="M35" t="s">
        <v>30</v>
      </c>
      <c r="N35" t="s">
        <v>31</v>
      </c>
      <c r="O35" t="s">
        <v>40</v>
      </c>
      <c r="P35" t="s">
        <v>98</v>
      </c>
      <c r="Q35" t="s">
        <v>34</v>
      </c>
      <c r="R35" t="s">
        <v>35</v>
      </c>
      <c r="S35" t="s">
        <v>41</v>
      </c>
      <c r="T35" t="s">
        <v>54</v>
      </c>
      <c r="U35" t="s">
        <v>43</v>
      </c>
      <c r="V35">
        <v>1</v>
      </c>
      <c r="Z35" t="s">
        <v>36</v>
      </c>
      <c r="AA35" t="s">
        <v>44</v>
      </c>
      <c r="AB35" t="s">
        <v>45</v>
      </c>
    </row>
    <row r="36" spans="1:28" hidden="1" x14ac:dyDescent="0.2">
      <c r="A36" s="1">
        <v>45952</v>
      </c>
      <c r="B36" s="1">
        <v>45952</v>
      </c>
      <c r="C36" t="s">
        <v>28</v>
      </c>
      <c r="D36" t="s">
        <v>107</v>
      </c>
      <c r="E36">
        <v>-76.880451666666602</v>
      </c>
      <c r="F36" s="2">
        <v>3.5794399999999902</v>
      </c>
      <c r="G36">
        <v>655</v>
      </c>
      <c r="I36">
        <v>2025</v>
      </c>
      <c r="J36">
        <v>10</v>
      </c>
      <c r="K36">
        <v>50</v>
      </c>
      <c r="M36" t="s">
        <v>30</v>
      </c>
      <c r="N36" t="s">
        <v>108</v>
      </c>
      <c r="O36" t="s">
        <v>47</v>
      </c>
      <c r="P36" t="s">
        <v>98</v>
      </c>
      <c r="Q36" t="s">
        <v>34</v>
      </c>
      <c r="R36" t="s">
        <v>35</v>
      </c>
      <c r="S36" t="s">
        <v>41</v>
      </c>
      <c r="T36" t="s">
        <v>42</v>
      </c>
      <c r="U36" t="s">
        <v>43</v>
      </c>
      <c r="V36">
        <v>1</v>
      </c>
      <c r="Z36" t="s">
        <v>36</v>
      </c>
      <c r="AA36" t="s">
        <v>65</v>
      </c>
      <c r="AB36" t="s">
        <v>66</v>
      </c>
    </row>
    <row r="37" spans="1:28" hidden="1" x14ac:dyDescent="0.2">
      <c r="A37" s="1">
        <v>45952</v>
      </c>
      <c r="B37" s="1">
        <v>45952</v>
      </c>
      <c r="C37" t="s">
        <v>28</v>
      </c>
      <c r="D37" t="s">
        <v>109</v>
      </c>
      <c r="E37">
        <v>-76.879521666666605</v>
      </c>
      <c r="F37" s="2">
        <v>3.5959316666666599</v>
      </c>
      <c r="G37">
        <v>540</v>
      </c>
      <c r="H37">
        <v>3</v>
      </c>
      <c r="I37">
        <v>2025</v>
      </c>
      <c r="J37">
        <v>10</v>
      </c>
      <c r="K37">
        <v>30</v>
      </c>
      <c r="M37" t="s">
        <v>30</v>
      </c>
      <c r="N37" t="s">
        <v>31</v>
      </c>
      <c r="O37" t="s">
        <v>47</v>
      </c>
      <c r="P37" t="s">
        <v>52</v>
      </c>
      <c r="Q37" t="s">
        <v>34</v>
      </c>
      <c r="R37" t="s">
        <v>53</v>
      </c>
      <c r="S37" t="s">
        <v>48</v>
      </c>
      <c r="T37" t="s">
        <v>54</v>
      </c>
      <c r="U37" t="s">
        <v>79</v>
      </c>
      <c r="V37">
        <v>1</v>
      </c>
      <c r="Z37" t="s">
        <v>36</v>
      </c>
      <c r="AA37" t="s">
        <v>44</v>
      </c>
      <c r="AB37" t="s">
        <v>45</v>
      </c>
    </row>
    <row r="38" spans="1:28" hidden="1" x14ac:dyDescent="0.2">
      <c r="A38" s="1">
        <v>45951</v>
      </c>
      <c r="B38" s="1">
        <v>45951</v>
      </c>
      <c r="C38" t="s">
        <v>28</v>
      </c>
      <c r="D38" t="s">
        <v>110</v>
      </c>
      <c r="E38">
        <v>-76.878683333333299</v>
      </c>
      <c r="F38" s="2">
        <v>3.544035</v>
      </c>
      <c r="G38">
        <v>550</v>
      </c>
      <c r="H38">
        <v>4</v>
      </c>
      <c r="I38">
        <v>2025</v>
      </c>
      <c r="J38">
        <v>12</v>
      </c>
      <c r="K38">
        <v>5</v>
      </c>
      <c r="M38" t="s">
        <v>30</v>
      </c>
      <c r="N38" t="s">
        <v>31</v>
      </c>
      <c r="O38" t="s">
        <v>32</v>
      </c>
      <c r="P38" t="s">
        <v>111</v>
      </c>
      <c r="Q38" t="s">
        <v>64</v>
      </c>
      <c r="R38" t="s">
        <v>53</v>
      </c>
      <c r="T38" t="s">
        <v>42</v>
      </c>
      <c r="U38" t="s">
        <v>112</v>
      </c>
      <c r="V38">
        <v>2</v>
      </c>
      <c r="W38" t="s">
        <v>56</v>
      </c>
      <c r="Z38" t="s">
        <v>36</v>
      </c>
      <c r="AA38" t="s">
        <v>44</v>
      </c>
      <c r="AB38" t="s">
        <v>45</v>
      </c>
    </row>
    <row r="39" spans="1:28" hidden="1" x14ac:dyDescent="0.2">
      <c r="A39" s="1">
        <v>45951</v>
      </c>
      <c r="B39" s="1">
        <v>45951</v>
      </c>
      <c r="C39" t="s">
        <v>28</v>
      </c>
      <c r="D39" t="s">
        <v>113</v>
      </c>
      <c r="E39">
        <v>-76.877955</v>
      </c>
      <c r="F39" s="2">
        <v>3.5435583333333298</v>
      </c>
      <c r="G39">
        <v>550</v>
      </c>
      <c r="I39">
        <v>2025</v>
      </c>
      <c r="J39">
        <v>15</v>
      </c>
      <c r="K39">
        <v>30</v>
      </c>
      <c r="M39" t="s">
        <v>30</v>
      </c>
      <c r="N39" t="s">
        <v>31</v>
      </c>
      <c r="O39" t="s">
        <v>38</v>
      </c>
      <c r="P39" t="s">
        <v>111</v>
      </c>
      <c r="Q39" t="s">
        <v>64</v>
      </c>
      <c r="R39" t="s">
        <v>35</v>
      </c>
      <c r="T39" t="s">
        <v>42</v>
      </c>
      <c r="U39" t="s">
        <v>84</v>
      </c>
      <c r="V39">
        <v>1</v>
      </c>
      <c r="W39" t="s">
        <v>56</v>
      </c>
      <c r="Z39" t="s">
        <v>50</v>
      </c>
      <c r="AA39" t="s">
        <v>44</v>
      </c>
      <c r="AB39" t="s">
        <v>45</v>
      </c>
    </row>
    <row r="40" spans="1:28" hidden="1" x14ac:dyDescent="0.2">
      <c r="A40" s="1">
        <v>45951</v>
      </c>
      <c r="B40" s="1">
        <v>45951</v>
      </c>
      <c r="C40" t="s">
        <v>28</v>
      </c>
      <c r="D40" t="s">
        <v>114</v>
      </c>
      <c r="E40">
        <v>-76.878065000000007</v>
      </c>
      <c r="F40" s="2">
        <v>3.5436366666666599</v>
      </c>
      <c r="G40">
        <v>550</v>
      </c>
      <c r="I40">
        <v>2025</v>
      </c>
      <c r="J40">
        <v>15</v>
      </c>
      <c r="K40">
        <v>30</v>
      </c>
      <c r="M40" t="s">
        <v>30</v>
      </c>
      <c r="N40" t="s">
        <v>31</v>
      </c>
      <c r="O40" t="s">
        <v>38</v>
      </c>
      <c r="P40" t="s">
        <v>111</v>
      </c>
      <c r="Q40" t="s">
        <v>64</v>
      </c>
      <c r="R40" t="s">
        <v>35</v>
      </c>
      <c r="T40" t="s">
        <v>42</v>
      </c>
      <c r="U40" t="s">
        <v>112</v>
      </c>
      <c r="V40">
        <v>4</v>
      </c>
      <c r="W40" t="s">
        <v>81</v>
      </c>
      <c r="Z40" t="s">
        <v>50</v>
      </c>
      <c r="AA40" t="s">
        <v>44</v>
      </c>
      <c r="AB40" t="s">
        <v>45</v>
      </c>
    </row>
    <row r="41" spans="1:28" hidden="1" x14ac:dyDescent="0.2">
      <c r="A41" s="1">
        <v>45951</v>
      </c>
      <c r="B41" s="1">
        <v>45951</v>
      </c>
      <c r="C41" t="s">
        <v>28</v>
      </c>
      <c r="D41" t="s">
        <v>115</v>
      </c>
      <c r="E41">
        <v>-76.878083333333294</v>
      </c>
      <c r="F41" s="2">
        <v>3.5436200000000002</v>
      </c>
      <c r="G41">
        <v>550</v>
      </c>
      <c r="I41">
        <v>2025</v>
      </c>
      <c r="J41">
        <v>15</v>
      </c>
      <c r="K41">
        <v>30</v>
      </c>
      <c r="M41" t="s">
        <v>30</v>
      </c>
      <c r="N41" t="s">
        <v>31</v>
      </c>
      <c r="O41" t="s">
        <v>38</v>
      </c>
      <c r="P41" t="s">
        <v>111</v>
      </c>
      <c r="Q41" t="s">
        <v>64</v>
      </c>
      <c r="R41" t="s">
        <v>35</v>
      </c>
      <c r="T41" t="s">
        <v>42</v>
      </c>
      <c r="U41" t="s">
        <v>116</v>
      </c>
      <c r="V41">
        <v>1</v>
      </c>
      <c r="W41" t="s">
        <v>56</v>
      </c>
      <c r="Z41" t="s">
        <v>50</v>
      </c>
      <c r="AA41" t="s">
        <v>44</v>
      </c>
      <c r="AB41" t="s">
        <v>45</v>
      </c>
    </row>
    <row r="42" spans="1:28" hidden="1" x14ac:dyDescent="0.2">
      <c r="A42" s="1">
        <v>45951</v>
      </c>
      <c r="B42" s="1">
        <v>45951</v>
      </c>
      <c r="C42" t="s">
        <v>28</v>
      </c>
      <c r="D42" t="s">
        <v>117</v>
      </c>
      <c r="E42">
        <v>-76.890486666666604</v>
      </c>
      <c r="F42" s="2">
        <v>3.5508266666666599</v>
      </c>
      <c r="G42">
        <v>656</v>
      </c>
      <c r="H42">
        <v>9</v>
      </c>
      <c r="I42">
        <v>2025</v>
      </c>
      <c r="J42">
        <v>10</v>
      </c>
      <c r="K42">
        <v>10</v>
      </c>
      <c r="M42" t="s">
        <v>30</v>
      </c>
      <c r="N42" t="s">
        <v>118</v>
      </c>
      <c r="O42" t="s">
        <v>32</v>
      </c>
      <c r="P42" t="s">
        <v>119</v>
      </c>
      <c r="Q42" t="s">
        <v>86</v>
      </c>
      <c r="R42" t="s">
        <v>53</v>
      </c>
      <c r="T42" t="s">
        <v>42</v>
      </c>
      <c r="U42" t="s">
        <v>112</v>
      </c>
      <c r="V42">
        <v>2</v>
      </c>
      <c r="W42" t="s">
        <v>56</v>
      </c>
      <c r="Z42" t="s">
        <v>36</v>
      </c>
      <c r="AA42" t="s">
        <v>44</v>
      </c>
      <c r="AB42" t="s">
        <v>45</v>
      </c>
    </row>
    <row r="43" spans="1:28" hidden="1" x14ac:dyDescent="0.2">
      <c r="A43" s="1">
        <v>45951</v>
      </c>
      <c r="B43" s="1">
        <v>45951</v>
      </c>
      <c r="C43" t="s">
        <v>28</v>
      </c>
      <c r="D43" t="s">
        <v>120</v>
      </c>
      <c r="E43">
        <v>-76.889661666666598</v>
      </c>
      <c r="F43">
        <v>3.5507550000000001</v>
      </c>
      <c r="G43">
        <v>656</v>
      </c>
      <c r="I43">
        <v>2025</v>
      </c>
      <c r="J43">
        <v>6</v>
      </c>
      <c r="M43" t="s">
        <v>30</v>
      </c>
      <c r="N43" t="s">
        <v>31</v>
      </c>
      <c r="O43" t="s">
        <v>38</v>
      </c>
      <c r="P43" t="s">
        <v>119</v>
      </c>
      <c r="Q43" t="s">
        <v>86</v>
      </c>
      <c r="R43" t="s">
        <v>53</v>
      </c>
      <c r="T43" t="s">
        <v>42</v>
      </c>
      <c r="U43" t="s">
        <v>84</v>
      </c>
      <c r="V43">
        <v>2</v>
      </c>
      <c r="W43" t="s">
        <v>56</v>
      </c>
      <c r="Z43" t="s">
        <v>50</v>
      </c>
      <c r="AA43" t="s">
        <v>44</v>
      </c>
      <c r="AB43" t="s">
        <v>45</v>
      </c>
    </row>
    <row r="44" spans="1:28" hidden="1" x14ac:dyDescent="0.2">
      <c r="A44" s="1">
        <v>45951</v>
      </c>
      <c r="B44" s="1">
        <v>45951</v>
      </c>
      <c r="C44" t="s">
        <v>28</v>
      </c>
      <c r="D44" t="s">
        <v>121</v>
      </c>
      <c r="E44">
        <v>-76.889814999999999</v>
      </c>
      <c r="F44" s="2">
        <v>3.5506266666666599</v>
      </c>
      <c r="G44">
        <v>656</v>
      </c>
      <c r="I44">
        <v>2025</v>
      </c>
      <c r="J44">
        <v>6</v>
      </c>
      <c r="M44" t="s">
        <v>30</v>
      </c>
      <c r="N44" t="s">
        <v>31</v>
      </c>
      <c r="O44" t="s">
        <v>38</v>
      </c>
      <c r="P44" t="s">
        <v>119</v>
      </c>
      <c r="Q44" t="s">
        <v>86</v>
      </c>
      <c r="R44" t="s">
        <v>105</v>
      </c>
      <c r="T44" t="s">
        <v>42</v>
      </c>
      <c r="U44" t="s">
        <v>84</v>
      </c>
      <c r="V44">
        <v>5</v>
      </c>
      <c r="W44" t="s">
        <v>56</v>
      </c>
      <c r="Z44" t="s">
        <v>50</v>
      </c>
      <c r="AA44" t="s">
        <v>44</v>
      </c>
      <c r="AB44" t="s">
        <v>45</v>
      </c>
    </row>
    <row r="45" spans="1:28" hidden="1" x14ac:dyDescent="0.2">
      <c r="A45" s="1">
        <v>45951</v>
      </c>
      <c r="B45" s="1">
        <v>45951</v>
      </c>
      <c r="C45" t="s">
        <v>28</v>
      </c>
      <c r="D45" t="s">
        <v>122</v>
      </c>
      <c r="E45">
        <v>-76.889963333333299</v>
      </c>
      <c r="F45" s="2" t="s">
        <v>123</v>
      </c>
      <c r="G45">
        <v>656</v>
      </c>
      <c r="I45">
        <v>2025</v>
      </c>
      <c r="J45">
        <v>6</v>
      </c>
      <c r="M45" t="s">
        <v>30</v>
      </c>
      <c r="N45" t="s">
        <v>31</v>
      </c>
      <c r="O45" t="s">
        <v>38</v>
      </c>
      <c r="P45" t="s">
        <v>119</v>
      </c>
      <c r="Q45" t="s">
        <v>86</v>
      </c>
      <c r="R45" t="s">
        <v>53</v>
      </c>
      <c r="T45" t="s">
        <v>42</v>
      </c>
      <c r="U45" t="s">
        <v>112</v>
      </c>
      <c r="V45">
        <v>10</v>
      </c>
      <c r="W45" t="s">
        <v>56</v>
      </c>
      <c r="Z45" t="s">
        <v>50</v>
      </c>
      <c r="AA45" t="s">
        <v>44</v>
      </c>
      <c r="AB45" t="s">
        <v>45</v>
      </c>
    </row>
    <row r="46" spans="1:28" hidden="1" x14ac:dyDescent="0.2">
      <c r="A46" s="1">
        <v>45951</v>
      </c>
      <c r="B46" s="1">
        <v>45951</v>
      </c>
      <c r="C46" t="s">
        <v>28</v>
      </c>
      <c r="D46" t="s">
        <v>124</v>
      </c>
      <c r="E46">
        <v>-76.887591666666594</v>
      </c>
      <c r="F46" s="2" t="s">
        <v>125</v>
      </c>
      <c r="G46">
        <v>656</v>
      </c>
      <c r="I46">
        <v>2025</v>
      </c>
      <c r="J46">
        <v>15</v>
      </c>
      <c r="K46">
        <v>5</v>
      </c>
      <c r="M46" t="s">
        <v>30</v>
      </c>
      <c r="N46" t="s">
        <v>31</v>
      </c>
      <c r="O46" t="s">
        <v>40</v>
      </c>
      <c r="P46" t="s">
        <v>119</v>
      </c>
      <c r="Q46" t="s">
        <v>86</v>
      </c>
      <c r="R46" t="s">
        <v>35</v>
      </c>
      <c r="T46" t="s">
        <v>42</v>
      </c>
      <c r="U46" t="s">
        <v>84</v>
      </c>
      <c r="V46">
        <v>1</v>
      </c>
      <c r="W46" t="s">
        <v>56</v>
      </c>
      <c r="Z46" t="s">
        <v>50</v>
      </c>
      <c r="AA46" t="s">
        <v>44</v>
      </c>
      <c r="AB46" t="s">
        <v>45</v>
      </c>
    </row>
    <row r="47" spans="1:28" hidden="1" x14ac:dyDescent="0.2">
      <c r="A47" s="1">
        <v>45951</v>
      </c>
      <c r="B47" s="1">
        <v>45951</v>
      </c>
      <c r="C47" t="s">
        <v>28</v>
      </c>
      <c r="D47" t="s">
        <v>126</v>
      </c>
      <c r="E47">
        <v>-76.887853333333297</v>
      </c>
      <c r="F47" s="2" t="s">
        <v>127</v>
      </c>
      <c r="G47">
        <v>656</v>
      </c>
      <c r="I47">
        <v>2025</v>
      </c>
      <c r="J47">
        <v>15</v>
      </c>
      <c r="K47">
        <v>5</v>
      </c>
      <c r="M47" t="s">
        <v>30</v>
      </c>
      <c r="N47" t="s">
        <v>31</v>
      </c>
      <c r="O47" t="s">
        <v>40</v>
      </c>
      <c r="P47" t="s">
        <v>119</v>
      </c>
      <c r="Q47" t="s">
        <v>86</v>
      </c>
      <c r="R47" t="s">
        <v>35</v>
      </c>
      <c r="T47" t="s">
        <v>42</v>
      </c>
      <c r="U47" t="s">
        <v>112</v>
      </c>
      <c r="V47">
        <v>1</v>
      </c>
      <c r="W47" t="s">
        <v>56</v>
      </c>
      <c r="Z47" t="s">
        <v>50</v>
      </c>
      <c r="AA47" t="s">
        <v>44</v>
      </c>
      <c r="AB47" t="s">
        <v>45</v>
      </c>
    </row>
    <row r="48" spans="1:28" hidden="1" x14ac:dyDescent="0.2">
      <c r="A48" s="1">
        <v>45951</v>
      </c>
      <c r="B48" s="1">
        <v>45951</v>
      </c>
      <c r="C48" t="s">
        <v>28</v>
      </c>
      <c r="D48" t="s">
        <v>128</v>
      </c>
      <c r="E48">
        <v>-76.883229999999998</v>
      </c>
      <c r="F48" s="2" t="s">
        <v>129</v>
      </c>
      <c r="G48">
        <v>566</v>
      </c>
      <c r="I48">
        <v>2025</v>
      </c>
      <c r="J48">
        <v>15</v>
      </c>
      <c r="K48">
        <v>5</v>
      </c>
      <c r="M48" t="s">
        <v>30</v>
      </c>
      <c r="N48" t="s">
        <v>31</v>
      </c>
      <c r="O48" t="s">
        <v>40</v>
      </c>
      <c r="P48" t="s">
        <v>130</v>
      </c>
      <c r="Q48" t="s">
        <v>86</v>
      </c>
      <c r="R48" t="s">
        <v>35</v>
      </c>
      <c r="S48" t="s">
        <v>41</v>
      </c>
      <c r="T48" t="s">
        <v>42</v>
      </c>
      <c r="U48" t="s">
        <v>84</v>
      </c>
      <c r="V48">
        <v>1</v>
      </c>
      <c r="Z48" t="s">
        <v>50</v>
      </c>
      <c r="AA48" t="s">
        <v>44</v>
      </c>
      <c r="AB48" t="s">
        <v>45</v>
      </c>
    </row>
    <row r="49" spans="1:28" hidden="1" x14ac:dyDescent="0.2">
      <c r="A49" s="1">
        <v>45951</v>
      </c>
      <c r="B49" s="1">
        <v>45951</v>
      </c>
      <c r="C49" t="s">
        <v>28</v>
      </c>
      <c r="D49" t="s">
        <v>131</v>
      </c>
      <c r="E49">
        <v>-76.880373333333296</v>
      </c>
      <c r="F49" s="2" t="s">
        <v>132</v>
      </c>
      <c r="G49">
        <v>654</v>
      </c>
      <c r="I49">
        <v>2025</v>
      </c>
      <c r="J49">
        <v>10</v>
      </c>
      <c r="K49">
        <v>10</v>
      </c>
      <c r="M49" t="s">
        <v>30</v>
      </c>
      <c r="N49" t="s">
        <v>31</v>
      </c>
      <c r="O49" t="s">
        <v>32</v>
      </c>
      <c r="P49" t="s">
        <v>130</v>
      </c>
      <c r="Q49" t="s">
        <v>64</v>
      </c>
      <c r="R49" t="s">
        <v>35</v>
      </c>
      <c r="U49" t="s">
        <v>36</v>
      </c>
      <c r="V49">
        <v>0</v>
      </c>
      <c r="Z49" t="s">
        <v>50</v>
      </c>
    </row>
    <row r="50" spans="1:28" hidden="1" x14ac:dyDescent="0.2">
      <c r="A50" s="1">
        <v>45951</v>
      </c>
      <c r="B50" s="1">
        <v>45951</v>
      </c>
      <c r="C50" t="s">
        <v>28</v>
      </c>
      <c r="D50" t="s">
        <v>133</v>
      </c>
      <c r="E50">
        <v>-76.881858333333298</v>
      </c>
      <c r="F50">
        <v>3.55254</v>
      </c>
      <c r="G50">
        <v>654</v>
      </c>
      <c r="I50">
        <v>2025</v>
      </c>
      <c r="J50">
        <v>10</v>
      </c>
      <c r="K50">
        <v>5</v>
      </c>
      <c r="M50" t="s">
        <v>30</v>
      </c>
      <c r="N50" t="s">
        <v>31</v>
      </c>
      <c r="O50" t="s">
        <v>38</v>
      </c>
      <c r="P50" t="s">
        <v>130</v>
      </c>
      <c r="Q50" t="s">
        <v>64</v>
      </c>
      <c r="R50" t="s">
        <v>35</v>
      </c>
      <c r="U50" t="s">
        <v>36</v>
      </c>
      <c r="V50">
        <v>0</v>
      </c>
      <c r="Z50" t="s">
        <v>50</v>
      </c>
    </row>
    <row r="51" spans="1:28" hidden="1" x14ac:dyDescent="0.2">
      <c r="A51" s="1">
        <v>45951</v>
      </c>
      <c r="B51" s="1">
        <v>45951</v>
      </c>
      <c r="C51" t="s">
        <v>28</v>
      </c>
      <c r="D51" t="s">
        <v>134</v>
      </c>
      <c r="E51">
        <v>-76.882459999999995</v>
      </c>
      <c r="F51" s="2" t="s">
        <v>135</v>
      </c>
      <c r="G51">
        <v>564</v>
      </c>
      <c r="H51">
        <v>1</v>
      </c>
      <c r="I51">
        <v>2025</v>
      </c>
      <c r="J51">
        <v>10</v>
      </c>
      <c r="K51">
        <v>1</v>
      </c>
      <c r="M51" t="s">
        <v>30</v>
      </c>
      <c r="N51" t="s">
        <v>31</v>
      </c>
      <c r="O51" t="s">
        <v>47</v>
      </c>
      <c r="P51" t="s">
        <v>130</v>
      </c>
      <c r="Q51" t="s">
        <v>86</v>
      </c>
      <c r="R51" t="s">
        <v>105</v>
      </c>
      <c r="U51" t="s">
        <v>36</v>
      </c>
      <c r="V51">
        <v>0</v>
      </c>
      <c r="Y51" t="s">
        <v>136</v>
      </c>
      <c r="Z51" t="s">
        <v>137</v>
      </c>
    </row>
    <row r="52" spans="1:28" hidden="1" x14ac:dyDescent="0.2">
      <c r="A52" s="1">
        <v>45951</v>
      </c>
      <c r="B52" s="1">
        <v>45951</v>
      </c>
      <c r="C52" t="s">
        <v>28</v>
      </c>
      <c r="D52" t="s">
        <v>138</v>
      </c>
      <c r="E52">
        <v>-76.878579999999999</v>
      </c>
      <c r="F52" s="2" t="s">
        <v>139</v>
      </c>
      <c r="G52">
        <v>565</v>
      </c>
      <c r="H52">
        <v>4</v>
      </c>
      <c r="I52">
        <v>2025</v>
      </c>
      <c r="J52">
        <v>10</v>
      </c>
      <c r="K52">
        <v>5</v>
      </c>
      <c r="M52" t="s">
        <v>30</v>
      </c>
      <c r="N52" t="s">
        <v>31</v>
      </c>
      <c r="O52" t="s">
        <v>32</v>
      </c>
      <c r="P52" t="s">
        <v>111</v>
      </c>
      <c r="Q52" t="s">
        <v>34</v>
      </c>
      <c r="R52" t="s">
        <v>53</v>
      </c>
      <c r="T52" t="s">
        <v>42</v>
      </c>
      <c r="U52" t="s">
        <v>140</v>
      </c>
      <c r="V52">
        <v>1</v>
      </c>
      <c r="W52" t="s">
        <v>56</v>
      </c>
      <c r="Z52" t="s">
        <v>36</v>
      </c>
      <c r="AA52" t="s">
        <v>44</v>
      </c>
      <c r="AB52" t="s">
        <v>45</v>
      </c>
    </row>
    <row r="53" spans="1:28" hidden="1" x14ac:dyDescent="0.2">
      <c r="A53" s="1">
        <v>45951</v>
      </c>
      <c r="B53" s="1">
        <v>45951</v>
      </c>
      <c r="C53" t="s">
        <v>28</v>
      </c>
      <c r="D53" t="s">
        <v>141</v>
      </c>
      <c r="E53">
        <v>-76.878549999999905</v>
      </c>
      <c r="F53" s="2" t="s">
        <v>142</v>
      </c>
      <c r="G53">
        <v>565</v>
      </c>
      <c r="H53">
        <v>4</v>
      </c>
      <c r="I53">
        <v>2025</v>
      </c>
      <c r="J53">
        <v>10</v>
      </c>
      <c r="K53">
        <v>5</v>
      </c>
      <c r="M53" t="s">
        <v>30</v>
      </c>
      <c r="N53" t="s">
        <v>31</v>
      </c>
      <c r="O53" t="s">
        <v>32</v>
      </c>
      <c r="P53" t="s">
        <v>111</v>
      </c>
      <c r="Q53" t="s">
        <v>34</v>
      </c>
      <c r="R53" t="s">
        <v>53</v>
      </c>
      <c r="S53" t="s">
        <v>143</v>
      </c>
      <c r="T53" t="s">
        <v>42</v>
      </c>
      <c r="U53" t="s">
        <v>112</v>
      </c>
      <c r="V53">
        <v>2</v>
      </c>
      <c r="Z53" t="s">
        <v>36</v>
      </c>
      <c r="AA53" t="s">
        <v>44</v>
      </c>
      <c r="AB53" t="s">
        <v>45</v>
      </c>
    </row>
    <row r="54" spans="1:28" hidden="1" x14ac:dyDescent="0.2">
      <c r="A54" s="1">
        <v>45951</v>
      </c>
      <c r="B54" s="1">
        <v>45951</v>
      </c>
      <c r="C54" t="s">
        <v>28</v>
      </c>
      <c r="D54" t="s">
        <v>144</v>
      </c>
      <c r="E54">
        <v>-76.878681666666594</v>
      </c>
      <c r="F54" s="2" t="s">
        <v>145</v>
      </c>
      <c r="G54">
        <v>565</v>
      </c>
      <c r="H54">
        <v>4</v>
      </c>
      <c r="I54">
        <v>2025</v>
      </c>
      <c r="J54">
        <v>10</v>
      </c>
      <c r="K54">
        <v>5</v>
      </c>
      <c r="M54" t="s">
        <v>30</v>
      </c>
      <c r="N54" t="s">
        <v>31</v>
      </c>
      <c r="O54" t="s">
        <v>32</v>
      </c>
      <c r="P54" t="s">
        <v>111</v>
      </c>
      <c r="Q54" t="s">
        <v>34</v>
      </c>
      <c r="R54" t="s">
        <v>53</v>
      </c>
      <c r="T54" t="s">
        <v>54</v>
      </c>
      <c r="U54" t="s">
        <v>92</v>
      </c>
      <c r="V54">
        <v>1</v>
      </c>
      <c r="W54" t="s">
        <v>56</v>
      </c>
      <c r="Z54" t="s">
        <v>36</v>
      </c>
      <c r="AA54" t="s">
        <v>44</v>
      </c>
      <c r="AB54" t="s">
        <v>45</v>
      </c>
    </row>
    <row r="55" spans="1:28" hidden="1" x14ac:dyDescent="0.2">
      <c r="A55" s="1">
        <v>45951</v>
      </c>
      <c r="B55" s="1">
        <v>45951</v>
      </c>
      <c r="C55" t="s">
        <v>28</v>
      </c>
      <c r="D55" t="s">
        <v>146</v>
      </c>
      <c r="E55">
        <v>-76.878716666666605</v>
      </c>
      <c r="F55" s="2" t="s">
        <v>147</v>
      </c>
      <c r="G55">
        <v>565</v>
      </c>
      <c r="H55">
        <v>4</v>
      </c>
      <c r="I55">
        <v>2025</v>
      </c>
      <c r="J55">
        <v>10</v>
      </c>
      <c r="K55">
        <v>5</v>
      </c>
      <c r="M55" t="s">
        <v>30</v>
      </c>
      <c r="N55" t="s">
        <v>31</v>
      </c>
      <c r="O55" t="s">
        <v>32</v>
      </c>
      <c r="P55" t="s">
        <v>111</v>
      </c>
      <c r="Q55" t="s">
        <v>34</v>
      </c>
      <c r="R55" t="s">
        <v>53</v>
      </c>
      <c r="T55" t="s">
        <v>91</v>
      </c>
      <c r="U55" t="s">
        <v>75</v>
      </c>
      <c r="V55">
        <v>2</v>
      </c>
      <c r="W55" t="s">
        <v>56</v>
      </c>
      <c r="Z55" t="s">
        <v>36</v>
      </c>
      <c r="AA55" t="s">
        <v>44</v>
      </c>
      <c r="AB55" t="s">
        <v>45</v>
      </c>
    </row>
    <row r="56" spans="1:28" hidden="1" x14ac:dyDescent="0.2">
      <c r="A56" s="1">
        <v>45951</v>
      </c>
      <c r="B56" s="1">
        <v>45951</v>
      </c>
      <c r="C56" t="s">
        <v>28</v>
      </c>
      <c r="D56" t="s">
        <v>148</v>
      </c>
      <c r="E56">
        <v>-76.878729999999905</v>
      </c>
      <c r="F56" s="2" t="s">
        <v>149</v>
      </c>
      <c r="G56">
        <v>565</v>
      </c>
      <c r="H56">
        <v>4</v>
      </c>
      <c r="I56">
        <v>2025</v>
      </c>
      <c r="J56">
        <v>10</v>
      </c>
      <c r="K56">
        <v>5</v>
      </c>
      <c r="M56" t="s">
        <v>30</v>
      </c>
      <c r="N56" t="s">
        <v>31</v>
      </c>
      <c r="O56" t="s">
        <v>32</v>
      </c>
      <c r="P56" t="s">
        <v>111</v>
      </c>
      <c r="Q56" t="s">
        <v>34</v>
      </c>
      <c r="R56" t="s">
        <v>105</v>
      </c>
      <c r="S56" t="s">
        <v>41</v>
      </c>
      <c r="T56" t="s">
        <v>42</v>
      </c>
      <c r="U56" t="s">
        <v>84</v>
      </c>
      <c r="V56">
        <v>3</v>
      </c>
      <c r="Z56" t="s">
        <v>36</v>
      </c>
      <c r="AA56" t="s">
        <v>44</v>
      </c>
      <c r="AB56" t="s">
        <v>45</v>
      </c>
    </row>
    <row r="57" spans="1:28" hidden="1" x14ac:dyDescent="0.2">
      <c r="A57" s="1">
        <v>45951</v>
      </c>
      <c r="B57" s="1">
        <v>45951</v>
      </c>
      <c r="C57" t="s">
        <v>28</v>
      </c>
      <c r="D57" t="s">
        <v>150</v>
      </c>
      <c r="E57">
        <v>-76.878561666666599</v>
      </c>
      <c r="F57" s="2" t="s">
        <v>151</v>
      </c>
      <c r="G57">
        <v>565</v>
      </c>
      <c r="H57">
        <v>4</v>
      </c>
      <c r="I57">
        <v>2025</v>
      </c>
      <c r="J57">
        <v>10</v>
      </c>
      <c r="K57">
        <v>5</v>
      </c>
      <c r="M57" t="s">
        <v>30</v>
      </c>
      <c r="N57" t="s">
        <v>31</v>
      </c>
      <c r="O57" t="s">
        <v>32</v>
      </c>
      <c r="P57" t="s">
        <v>111</v>
      </c>
      <c r="Q57" t="s">
        <v>34</v>
      </c>
      <c r="R57" t="s">
        <v>53</v>
      </c>
      <c r="S57" t="s">
        <v>41</v>
      </c>
      <c r="T57" t="s">
        <v>54</v>
      </c>
      <c r="U57" t="s">
        <v>112</v>
      </c>
      <c r="V57">
        <v>1</v>
      </c>
      <c r="Z57" t="s">
        <v>36</v>
      </c>
      <c r="AA57" t="s">
        <v>44</v>
      </c>
      <c r="AB57" t="s">
        <v>45</v>
      </c>
    </row>
    <row r="58" spans="1:28" hidden="1" x14ac:dyDescent="0.2">
      <c r="A58" s="1">
        <v>45951</v>
      </c>
      <c r="B58" s="1">
        <v>45951</v>
      </c>
      <c r="C58" t="s">
        <v>28</v>
      </c>
      <c r="D58" t="s">
        <v>152</v>
      </c>
      <c r="E58">
        <v>-76.878594999999905</v>
      </c>
      <c r="F58" s="2" t="s">
        <v>153</v>
      </c>
      <c r="G58">
        <v>565</v>
      </c>
      <c r="H58">
        <v>4</v>
      </c>
      <c r="I58">
        <v>2025</v>
      </c>
      <c r="J58">
        <v>10</v>
      </c>
      <c r="K58">
        <v>5</v>
      </c>
      <c r="M58" t="s">
        <v>30</v>
      </c>
      <c r="N58" t="s">
        <v>31</v>
      </c>
      <c r="O58" t="s">
        <v>32</v>
      </c>
      <c r="P58" t="s">
        <v>111</v>
      </c>
      <c r="Q58" t="s">
        <v>34</v>
      </c>
      <c r="R58" t="s">
        <v>53</v>
      </c>
      <c r="S58" t="s">
        <v>41</v>
      </c>
      <c r="U58" t="s">
        <v>75</v>
      </c>
      <c r="V58">
        <v>20</v>
      </c>
      <c r="Z58" t="s">
        <v>36</v>
      </c>
      <c r="AA58" t="s">
        <v>44</v>
      </c>
      <c r="AB58" t="s">
        <v>154</v>
      </c>
    </row>
    <row r="59" spans="1:28" hidden="1" x14ac:dyDescent="0.2">
      <c r="A59" s="1">
        <v>45951</v>
      </c>
      <c r="B59" s="1">
        <v>45951</v>
      </c>
      <c r="C59" t="s">
        <v>28</v>
      </c>
      <c r="D59" t="s">
        <v>155</v>
      </c>
      <c r="E59">
        <v>-76.878533333333294</v>
      </c>
      <c r="F59" s="2" t="s">
        <v>156</v>
      </c>
      <c r="G59">
        <v>565</v>
      </c>
      <c r="H59">
        <v>4</v>
      </c>
      <c r="I59">
        <v>2025</v>
      </c>
      <c r="J59">
        <v>10</v>
      </c>
      <c r="K59">
        <v>5</v>
      </c>
      <c r="M59" t="s">
        <v>30</v>
      </c>
      <c r="N59" t="s">
        <v>31</v>
      </c>
      <c r="O59" t="s">
        <v>32</v>
      </c>
      <c r="P59" t="s">
        <v>111</v>
      </c>
      <c r="Q59" t="s">
        <v>34</v>
      </c>
      <c r="R59" t="s">
        <v>53</v>
      </c>
      <c r="S59" t="s">
        <v>41</v>
      </c>
      <c r="T59" t="s">
        <v>54</v>
      </c>
      <c r="U59" t="s">
        <v>112</v>
      </c>
      <c r="V59">
        <v>1</v>
      </c>
      <c r="Z59" t="s">
        <v>36</v>
      </c>
      <c r="AA59" t="s">
        <v>44</v>
      </c>
      <c r="AB59" t="s">
        <v>45</v>
      </c>
    </row>
    <row r="60" spans="1:28" hidden="1" x14ac:dyDescent="0.2">
      <c r="A60" s="1">
        <v>45951</v>
      </c>
      <c r="B60" s="1">
        <v>45951</v>
      </c>
      <c r="C60" t="s">
        <v>28</v>
      </c>
      <c r="D60" t="s">
        <v>157</v>
      </c>
      <c r="E60">
        <v>-76.878271666666606</v>
      </c>
      <c r="F60" s="2" t="s">
        <v>158</v>
      </c>
      <c r="G60">
        <v>565</v>
      </c>
      <c r="H60">
        <v>4</v>
      </c>
      <c r="I60">
        <v>2025</v>
      </c>
      <c r="J60">
        <v>10</v>
      </c>
      <c r="K60">
        <v>5</v>
      </c>
      <c r="M60" t="s">
        <v>30</v>
      </c>
      <c r="N60" t="s">
        <v>31</v>
      </c>
      <c r="O60" t="s">
        <v>32</v>
      </c>
      <c r="P60" t="s">
        <v>111</v>
      </c>
      <c r="Q60" t="s">
        <v>34</v>
      </c>
      <c r="R60" t="s">
        <v>53</v>
      </c>
      <c r="S60" t="s">
        <v>41</v>
      </c>
      <c r="T60" t="s">
        <v>91</v>
      </c>
      <c r="U60" t="s">
        <v>75</v>
      </c>
      <c r="V60">
        <v>15</v>
      </c>
      <c r="W60" t="s">
        <v>159</v>
      </c>
      <c r="Z60" t="s">
        <v>36</v>
      </c>
      <c r="AA60" t="s">
        <v>160</v>
      </c>
      <c r="AB60" t="s">
        <v>154</v>
      </c>
    </row>
    <row r="61" spans="1:28" hidden="1" x14ac:dyDescent="0.2">
      <c r="A61" s="1">
        <v>45951</v>
      </c>
      <c r="B61" s="1">
        <v>45951</v>
      </c>
      <c r="C61" t="s">
        <v>28</v>
      </c>
      <c r="D61" t="s">
        <v>161</v>
      </c>
      <c r="E61">
        <v>-76.877558333333297</v>
      </c>
      <c r="F61" s="2" t="s">
        <v>162</v>
      </c>
      <c r="G61">
        <v>562</v>
      </c>
      <c r="I61">
        <v>2025</v>
      </c>
      <c r="J61">
        <v>15</v>
      </c>
      <c r="K61">
        <v>10</v>
      </c>
      <c r="M61" t="s">
        <v>30</v>
      </c>
      <c r="N61" t="s">
        <v>31</v>
      </c>
      <c r="O61" t="s">
        <v>38</v>
      </c>
      <c r="P61" t="s">
        <v>111</v>
      </c>
      <c r="Q61" t="s">
        <v>34</v>
      </c>
      <c r="R61" t="s">
        <v>35</v>
      </c>
      <c r="T61" t="s">
        <v>42</v>
      </c>
      <c r="U61" t="s">
        <v>84</v>
      </c>
      <c r="V61">
        <v>1</v>
      </c>
      <c r="W61" t="s">
        <v>56</v>
      </c>
      <c r="Z61" t="s">
        <v>50</v>
      </c>
      <c r="AA61" t="s">
        <v>44</v>
      </c>
      <c r="AB61" t="s">
        <v>45</v>
      </c>
    </row>
    <row r="62" spans="1:28" hidden="1" x14ac:dyDescent="0.2">
      <c r="A62" s="1">
        <v>45951</v>
      </c>
      <c r="B62" s="1">
        <v>45951</v>
      </c>
      <c r="C62" t="s">
        <v>28</v>
      </c>
      <c r="D62" t="s">
        <v>163</v>
      </c>
      <c r="E62">
        <v>-76.890339999999995</v>
      </c>
      <c r="F62" s="2" t="s">
        <v>164</v>
      </c>
      <c r="G62">
        <v>661</v>
      </c>
      <c r="H62">
        <v>8</v>
      </c>
      <c r="I62">
        <v>2025</v>
      </c>
      <c r="J62">
        <v>15</v>
      </c>
      <c r="K62">
        <v>10</v>
      </c>
      <c r="M62" t="s">
        <v>30</v>
      </c>
      <c r="N62" t="s">
        <v>108</v>
      </c>
      <c r="O62" t="s">
        <v>32</v>
      </c>
      <c r="P62" t="s">
        <v>119</v>
      </c>
      <c r="Q62" t="s">
        <v>34</v>
      </c>
      <c r="R62" t="s">
        <v>105</v>
      </c>
      <c r="T62" t="s">
        <v>54</v>
      </c>
      <c r="U62" t="s">
        <v>140</v>
      </c>
      <c r="V62">
        <v>10</v>
      </c>
      <c r="W62" t="s">
        <v>81</v>
      </c>
      <c r="Z62" t="s">
        <v>36</v>
      </c>
      <c r="AA62" t="s">
        <v>44</v>
      </c>
      <c r="AB62" t="s">
        <v>45</v>
      </c>
    </row>
    <row r="63" spans="1:28" hidden="1" x14ac:dyDescent="0.2">
      <c r="A63" s="1">
        <v>45951</v>
      </c>
      <c r="B63" s="1">
        <v>45951</v>
      </c>
      <c r="C63" t="s">
        <v>28</v>
      </c>
      <c r="D63" t="s">
        <v>165</v>
      </c>
      <c r="E63">
        <v>-76.889454999999998</v>
      </c>
      <c r="F63" s="2" t="s">
        <v>166</v>
      </c>
      <c r="G63">
        <v>673</v>
      </c>
      <c r="I63">
        <v>2025</v>
      </c>
      <c r="J63">
        <v>15</v>
      </c>
      <c r="K63">
        <v>3</v>
      </c>
      <c r="M63" t="s">
        <v>30</v>
      </c>
      <c r="N63" t="s">
        <v>31</v>
      </c>
      <c r="O63" t="s">
        <v>38</v>
      </c>
      <c r="P63" t="s">
        <v>119</v>
      </c>
      <c r="Q63" t="s">
        <v>64</v>
      </c>
      <c r="R63" t="s">
        <v>35</v>
      </c>
      <c r="T63" t="s">
        <v>42</v>
      </c>
      <c r="U63" t="s">
        <v>84</v>
      </c>
      <c r="V63">
        <v>2</v>
      </c>
      <c r="W63" t="s">
        <v>56</v>
      </c>
      <c r="Z63" t="s">
        <v>50</v>
      </c>
      <c r="AA63" t="s">
        <v>44</v>
      </c>
      <c r="AB63" t="s">
        <v>45</v>
      </c>
    </row>
    <row r="64" spans="1:28" hidden="1" x14ac:dyDescent="0.2">
      <c r="A64" s="1">
        <v>45951</v>
      </c>
      <c r="B64" s="1">
        <v>45951</v>
      </c>
      <c r="C64" t="s">
        <v>28</v>
      </c>
      <c r="D64" t="s">
        <v>167</v>
      </c>
      <c r="E64">
        <v>-76.889556666666607</v>
      </c>
      <c r="F64" s="2" t="s">
        <v>168</v>
      </c>
      <c r="G64">
        <v>673</v>
      </c>
      <c r="I64">
        <v>2025</v>
      </c>
      <c r="J64">
        <v>15</v>
      </c>
      <c r="K64">
        <v>3</v>
      </c>
      <c r="M64" t="s">
        <v>30</v>
      </c>
      <c r="N64" t="s">
        <v>31</v>
      </c>
      <c r="O64" t="s">
        <v>38</v>
      </c>
      <c r="P64" t="s">
        <v>119</v>
      </c>
      <c r="Q64" t="s">
        <v>34</v>
      </c>
      <c r="R64" t="s">
        <v>35</v>
      </c>
      <c r="T64" t="s">
        <v>42</v>
      </c>
      <c r="U64" t="s">
        <v>935</v>
      </c>
      <c r="V64">
        <v>3</v>
      </c>
      <c r="W64" t="s">
        <v>169</v>
      </c>
      <c r="Z64" t="s">
        <v>50</v>
      </c>
      <c r="AA64" t="s">
        <v>65</v>
      </c>
      <c r="AB64" t="s">
        <v>45</v>
      </c>
    </row>
    <row r="65" spans="1:28" hidden="1" x14ac:dyDescent="0.2">
      <c r="A65" s="1">
        <v>45951</v>
      </c>
      <c r="B65" s="1">
        <v>45951</v>
      </c>
      <c r="C65" t="s">
        <v>28</v>
      </c>
      <c r="D65" t="s">
        <v>170</v>
      </c>
      <c r="E65">
        <v>-76.889666666666599</v>
      </c>
      <c r="F65" s="2" t="s">
        <v>171</v>
      </c>
      <c r="G65">
        <v>673</v>
      </c>
      <c r="I65">
        <v>2025</v>
      </c>
      <c r="J65">
        <v>15</v>
      </c>
      <c r="K65">
        <v>3</v>
      </c>
      <c r="M65" t="s">
        <v>30</v>
      </c>
      <c r="N65" t="s">
        <v>31</v>
      </c>
      <c r="O65" t="s">
        <v>38</v>
      </c>
      <c r="P65" t="s">
        <v>119</v>
      </c>
      <c r="Q65" t="s">
        <v>34</v>
      </c>
      <c r="R65" t="s">
        <v>35</v>
      </c>
      <c r="T65" t="s">
        <v>42</v>
      </c>
      <c r="U65" t="s">
        <v>935</v>
      </c>
      <c r="V65">
        <v>1</v>
      </c>
      <c r="W65" t="s">
        <v>56</v>
      </c>
      <c r="Z65" t="s">
        <v>50</v>
      </c>
      <c r="AA65" t="s">
        <v>44</v>
      </c>
      <c r="AB65" t="s">
        <v>45</v>
      </c>
    </row>
    <row r="66" spans="1:28" hidden="1" x14ac:dyDescent="0.2">
      <c r="A66" s="1">
        <v>45951</v>
      </c>
      <c r="B66" s="1">
        <v>45951</v>
      </c>
      <c r="C66" t="s">
        <v>28</v>
      </c>
      <c r="D66" t="s">
        <v>172</v>
      </c>
      <c r="E66">
        <v>-76.889826666666593</v>
      </c>
      <c r="F66" s="2" t="s">
        <v>173</v>
      </c>
      <c r="G66">
        <v>673</v>
      </c>
      <c r="I66">
        <v>2025</v>
      </c>
      <c r="J66">
        <v>15</v>
      </c>
      <c r="K66">
        <v>3</v>
      </c>
      <c r="M66" t="s">
        <v>30</v>
      </c>
      <c r="N66" t="s">
        <v>31</v>
      </c>
      <c r="O66" t="s">
        <v>38</v>
      </c>
      <c r="P66" t="s">
        <v>119</v>
      </c>
      <c r="Q66" t="s">
        <v>34</v>
      </c>
      <c r="R66" t="s">
        <v>35</v>
      </c>
      <c r="T66" t="s">
        <v>42</v>
      </c>
      <c r="U66" t="s">
        <v>112</v>
      </c>
      <c r="V66">
        <v>1</v>
      </c>
      <c r="W66" t="s">
        <v>56</v>
      </c>
      <c r="Z66" t="s">
        <v>50</v>
      </c>
      <c r="AA66" t="s">
        <v>44</v>
      </c>
      <c r="AB66" t="s">
        <v>45</v>
      </c>
    </row>
    <row r="67" spans="1:28" hidden="1" x14ac:dyDescent="0.2">
      <c r="A67" s="1">
        <v>45951</v>
      </c>
      <c r="B67" s="1">
        <v>45951</v>
      </c>
      <c r="C67" t="s">
        <v>28</v>
      </c>
      <c r="D67" t="s">
        <v>174</v>
      </c>
      <c r="E67">
        <v>-76.889873333333298</v>
      </c>
      <c r="F67" s="2" t="s">
        <v>175</v>
      </c>
      <c r="G67">
        <v>673</v>
      </c>
      <c r="I67">
        <v>2025</v>
      </c>
      <c r="J67">
        <v>15</v>
      </c>
      <c r="K67">
        <v>3</v>
      </c>
      <c r="M67" t="s">
        <v>30</v>
      </c>
      <c r="N67" t="s">
        <v>31</v>
      </c>
      <c r="O67" t="s">
        <v>38</v>
      </c>
      <c r="P67" t="s">
        <v>119</v>
      </c>
      <c r="Q67" t="s">
        <v>34</v>
      </c>
      <c r="R67" t="s">
        <v>35</v>
      </c>
      <c r="T67" t="s">
        <v>42</v>
      </c>
      <c r="U67" t="s">
        <v>92</v>
      </c>
      <c r="V67">
        <v>1</v>
      </c>
      <c r="W67" t="s">
        <v>56</v>
      </c>
      <c r="Z67" t="s">
        <v>50</v>
      </c>
      <c r="AA67" t="s">
        <v>44</v>
      </c>
      <c r="AB67" t="s">
        <v>45</v>
      </c>
    </row>
    <row r="68" spans="1:28" hidden="1" x14ac:dyDescent="0.2">
      <c r="A68" s="1">
        <v>45951</v>
      </c>
      <c r="B68" s="1">
        <v>45951</v>
      </c>
      <c r="C68" t="s">
        <v>28</v>
      </c>
      <c r="D68" t="s">
        <v>176</v>
      </c>
      <c r="E68">
        <v>-76.890059999999906</v>
      </c>
      <c r="F68" s="2" t="s">
        <v>177</v>
      </c>
      <c r="G68">
        <v>673</v>
      </c>
      <c r="I68">
        <v>2025</v>
      </c>
      <c r="J68">
        <v>15</v>
      </c>
      <c r="K68">
        <v>3</v>
      </c>
      <c r="M68" t="s">
        <v>30</v>
      </c>
      <c r="N68" t="s">
        <v>31</v>
      </c>
      <c r="O68" t="s">
        <v>38</v>
      </c>
      <c r="P68" t="s">
        <v>119</v>
      </c>
      <c r="Q68" t="s">
        <v>34</v>
      </c>
      <c r="R68" t="s">
        <v>35</v>
      </c>
      <c r="T68" t="s">
        <v>42</v>
      </c>
      <c r="U68" t="s">
        <v>178</v>
      </c>
      <c r="V68">
        <v>6</v>
      </c>
      <c r="W68" t="s">
        <v>81</v>
      </c>
      <c r="Z68" t="s">
        <v>50</v>
      </c>
      <c r="AA68" t="s">
        <v>44</v>
      </c>
      <c r="AB68" t="s">
        <v>45</v>
      </c>
    </row>
    <row r="69" spans="1:28" hidden="1" x14ac:dyDescent="0.2">
      <c r="A69" s="1">
        <v>45951</v>
      </c>
      <c r="B69" s="1">
        <v>45951</v>
      </c>
      <c r="C69" t="s">
        <v>28</v>
      </c>
      <c r="D69" t="s">
        <v>179</v>
      </c>
      <c r="E69">
        <v>-76.890226666666607</v>
      </c>
      <c r="F69" s="2" t="s">
        <v>180</v>
      </c>
      <c r="G69">
        <v>673</v>
      </c>
      <c r="I69">
        <v>2025</v>
      </c>
      <c r="J69">
        <v>15</v>
      </c>
      <c r="K69">
        <v>3</v>
      </c>
      <c r="M69" t="s">
        <v>30</v>
      </c>
      <c r="N69" t="s">
        <v>31</v>
      </c>
      <c r="O69" t="s">
        <v>38</v>
      </c>
      <c r="P69" t="s">
        <v>119</v>
      </c>
      <c r="Q69" t="s">
        <v>34</v>
      </c>
      <c r="R69" t="s">
        <v>35</v>
      </c>
      <c r="T69" t="s">
        <v>42</v>
      </c>
      <c r="U69" t="s">
        <v>75</v>
      </c>
      <c r="V69">
        <v>1</v>
      </c>
      <c r="W69" t="s">
        <v>56</v>
      </c>
      <c r="Z69" t="s">
        <v>50</v>
      </c>
      <c r="AA69" t="s">
        <v>44</v>
      </c>
      <c r="AB69" t="s">
        <v>45</v>
      </c>
    </row>
    <row r="70" spans="1:28" hidden="1" x14ac:dyDescent="0.2">
      <c r="A70" s="1">
        <v>45951</v>
      </c>
      <c r="B70" s="1">
        <v>45951</v>
      </c>
      <c r="C70" t="s">
        <v>28</v>
      </c>
      <c r="D70" t="s">
        <v>181</v>
      </c>
      <c r="E70">
        <v>-76.890211666666602</v>
      </c>
      <c r="F70" s="2" t="s">
        <v>182</v>
      </c>
      <c r="G70">
        <v>673</v>
      </c>
      <c r="I70">
        <v>2025</v>
      </c>
      <c r="J70">
        <v>15</v>
      </c>
      <c r="K70">
        <v>3</v>
      </c>
      <c r="M70" t="s">
        <v>30</v>
      </c>
      <c r="N70" t="s">
        <v>31</v>
      </c>
      <c r="O70" t="s">
        <v>38</v>
      </c>
      <c r="P70" t="s">
        <v>119</v>
      </c>
      <c r="Q70" t="s">
        <v>34</v>
      </c>
      <c r="R70" t="s">
        <v>35</v>
      </c>
      <c r="T70" t="s">
        <v>42</v>
      </c>
      <c r="U70" t="s">
        <v>178</v>
      </c>
      <c r="V70">
        <v>2</v>
      </c>
      <c r="W70" t="s">
        <v>56</v>
      </c>
      <c r="Z70" t="s">
        <v>50</v>
      </c>
      <c r="AA70" t="s">
        <v>44</v>
      </c>
      <c r="AB70" t="s">
        <v>45</v>
      </c>
    </row>
    <row r="71" spans="1:28" hidden="1" x14ac:dyDescent="0.2">
      <c r="A71" s="1">
        <v>45951</v>
      </c>
      <c r="B71" s="1">
        <v>45951</v>
      </c>
      <c r="C71" t="s">
        <v>28</v>
      </c>
      <c r="D71" t="s">
        <v>183</v>
      </c>
      <c r="E71">
        <v>-76.888016666666601</v>
      </c>
      <c r="F71" s="2" t="s">
        <v>184</v>
      </c>
      <c r="G71">
        <v>683</v>
      </c>
      <c r="I71">
        <v>2025</v>
      </c>
      <c r="J71">
        <v>10</v>
      </c>
      <c r="K71">
        <v>5</v>
      </c>
      <c r="M71" t="s">
        <v>30</v>
      </c>
      <c r="N71" t="s">
        <v>31</v>
      </c>
      <c r="O71" t="s">
        <v>40</v>
      </c>
      <c r="P71" t="s">
        <v>119</v>
      </c>
      <c r="Q71" t="s">
        <v>34</v>
      </c>
      <c r="R71" t="s">
        <v>35</v>
      </c>
      <c r="T71" t="s">
        <v>42</v>
      </c>
      <c r="U71" t="s">
        <v>84</v>
      </c>
      <c r="V71">
        <v>1</v>
      </c>
      <c r="W71" t="s">
        <v>56</v>
      </c>
      <c r="Z71" t="s">
        <v>50</v>
      </c>
      <c r="AA71" t="s">
        <v>44</v>
      </c>
      <c r="AB71" t="s">
        <v>45</v>
      </c>
    </row>
    <row r="72" spans="1:28" hidden="1" x14ac:dyDescent="0.2">
      <c r="A72" s="1">
        <v>45951</v>
      </c>
      <c r="B72" s="1">
        <v>45951</v>
      </c>
      <c r="C72" t="s">
        <v>28</v>
      </c>
      <c r="D72" t="s">
        <v>185</v>
      </c>
      <c r="E72">
        <v>-76.888448333333301</v>
      </c>
      <c r="F72" s="2" t="s">
        <v>186</v>
      </c>
      <c r="G72">
        <v>683</v>
      </c>
      <c r="I72">
        <v>2025</v>
      </c>
      <c r="J72">
        <v>10</v>
      </c>
      <c r="K72">
        <v>5</v>
      </c>
      <c r="M72" t="s">
        <v>30</v>
      </c>
      <c r="N72" t="s">
        <v>31</v>
      </c>
      <c r="O72" t="s">
        <v>40</v>
      </c>
      <c r="P72" t="s">
        <v>119</v>
      </c>
      <c r="Q72" t="s">
        <v>34</v>
      </c>
      <c r="R72" t="s">
        <v>35</v>
      </c>
      <c r="T72" t="s">
        <v>54</v>
      </c>
      <c r="U72" t="s">
        <v>178</v>
      </c>
      <c r="V72">
        <v>6</v>
      </c>
      <c r="W72" t="s">
        <v>187</v>
      </c>
      <c r="Z72" t="s">
        <v>50</v>
      </c>
      <c r="AA72" t="s">
        <v>44</v>
      </c>
      <c r="AB72" t="s">
        <v>45</v>
      </c>
    </row>
    <row r="73" spans="1:28" hidden="1" x14ac:dyDescent="0.2">
      <c r="A73" s="1">
        <v>45951</v>
      </c>
      <c r="B73" s="1">
        <v>45951</v>
      </c>
      <c r="C73" t="s">
        <v>28</v>
      </c>
      <c r="D73" t="s">
        <v>188</v>
      </c>
      <c r="E73">
        <v>-76.888456666666599</v>
      </c>
      <c r="F73" s="2" t="s">
        <v>189</v>
      </c>
      <c r="G73">
        <v>683</v>
      </c>
      <c r="I73">
        <v>2025</v>
      </c>
      <c r="J73">
        <v>10</v>
      </c>
      <c r="K73">
        <v>5</v>
      </c>
      <c r="M73" t="s">
        <v>30</v>
      </c>
      <c r="N73" t="s">
        <v>31</v>
      </c>
      <c r="O73" t="s">
        <v>40</v>
      </c>
      <c r="P73" t="s">
        <v>119</v>
      </c>
      <c r="Q73" t="s">
        <v>34</v>
      </c>
      <c r="R73" t="s">
        <v>35</v>
      </c>
      <c r="T73" t="s">
        <v>42</v>
      </c>
      <c r="U73" t="s">
        <v>935</v>
      </c>
      <c r="V73">
        <v>3</v>
      </c>
      <c r="W73" t="s">
        <v>81</v>
      </c>
      <c r="Z73" t="s">
        <v>50</v>
      </c>
      <c r="AA73" t="s">
        <v>44</v>
      </c>
      <c r="AB73" t="s">
        <v>66</v>
      </c>
    </row>
    <row r="74" spans="1:28" hidden="1" x14ac:dyDescent="0.2">
      <c r="A74" s="1">
        <v>45951</v>
      </c>
      <c r="B74" s="1">
        <v>45951</v>
      </c>
      <c r="C74" t="s">
        <v>28</v>
      </c>
      <c r="D74" t="s">
        <v>190</v>
      </c>
      <c r="E74">
        <v>-76.882499999999993</v>
      </c>
      <c r="F74">
        <v>3.5524800000000001</v>
      </c>
      <c r="G74">
        <v>664</v>
      </c>
      <c r="I74">
        <v>2025</v>
      </c>
      <c r="J74">
        <v>20</v>
      </c>
      <c r="K74">
        <v>10</v>
      </c>
      <c r="M74" t="s">
        <v>30</v>
      </c>
      <c r="N74" t="s">
        <v>31</v>
      </c>
      <c r="O74" t="s">
        <v>40</v>
      </c>
      <c r="P74" t="s">
        <v>130</v>
      </c>
      <c r="Q74" t="s">
        <v>34</v>
      </c>
      <c r="R74" t="s">
        <v>35</v>
      </c>
      <c r="T74" t="s">
        <v>42</v>
      </c>
      <c r="U74" t="s">
        <v>935</v>
      </c>
      <c r="V74">
        <v>1</v>
      </c>
      <c r="W74" t="s">
        <v>56</v>
      </c>
      <c r="Z74" t="s">
        <v>50</v>
      </c>
      <c r="AA74" t="s">
        <v>44</v>
      </c>
      <c r="AB74" t="s">
        <v>45</v>
      </c>
    </row>
    <row r="75" spans="1:28" hidden="1" x14ac:dyDescent="0.2">
      <c r="A75" s="1">
        <v>45951</v>
      </c>
      <c r="B75" s="1">
        <v>45951</v>
      </c>
      <c r="C75" t="s">
        <v>28</v>
      </c>
      <c r="D75" t="s">
        <v>191</v>
      </c>
      <c r="E75">
        <v>-76.883065000000002</v>
      </c>
      <c r="F75" s="2" t="s">
        <v>192</v>
      </c>
      <c r="G75">
        <v>664</v>
      </c>
      <c r="I75">
        <v>2025</v>
      </c>
      <c r="J75">
        <v>20</v>
      </c>
      <c r="K75">
        <v>10</v>
      </c>
      <c r="M75" t="s">
        <v>30</v>
      </c>
      <c r="N75" t="s">
        <v>31</v>
      </c>
      <c r="O75" t="s">
        <v>40</v>
      </c>
      <c r="P75" t="s">
        <v>130</v>
      </c>
      <c r="Q75" t="s">
        <v>34</v>
      </c>
      <c r="R75" t="s">
        <v>35</v>
      </c>
      <c r="T75" t="s">
        <v>42</v>
      </c>
      <c r="U75" t="s">
        <v>935</v>
      </c>
      <c r="V75">
        <v>2</v>
      </c>
      <c r="W75" t="s">
        <v>81</v>
      </c>
      <c r="Z75" t="s">
        <v>50</v>
      </c>
      <c r="AA75" t="s">
        <v>44</v>
      </c>
      <c r="AB75" t="s">
        <v>45</v>
      </c>
    </row>
    <row r="76" spans="1:28" hidden="1" x14ac:dyDescent="0.2">
      <c r="A76" s="1">
        <v>45951</v>
      </c>
      <c r="B76" s="1">
        <v>45951</v>
      </c>
      <c r="C76" t="s">
        <v>28</v>
      </c>
      <c r="D76" t="s">
        <v>193</v>
      </c>
      <c r="E76">
        <v>-76.883094999999997</v>
      </c>
      <c r="F76">
        <v>3.55246</v>
      </c>
      <c r="G76">
        <v>664</v>
      </c>
      <c r="I76">
        <v>2025</v>
      </c>
      <c r="J76">
        <v>20</v>
      </c>
      <c r="K76">
        <v>10</v>
      </c>
      <c r="M76" t="s">
        <v>30</v>
      </c>
      <c r="N76" t="s">
        <v>31</v>
      </c>
      <c r="O76" t="s">
        <v>40</v>
      </c>
      <c r="P76" t="s">
        <v>130</v>
      </c>
      <c r="Q76" t="s">
        <v>34</v>
      </c>
      <c r="R76" t="s">
        <v>35</v>
      </c>
      <c r="T76" t="s">
        <v>42</v>
      </c>
      <c r="U76" t="s">
        <v>71</v>
      </c>
      <c r="V76">
        <v>3</v>
      </c>
      <c r="W76" t="s">
        <v>81</v>
      </c>
      <c r="Z76" t="s">
        <v>50</v>
      </c>
      <c r="AA76" t="s">
        <v>44</v>
      </c>
      <c r="AB76" t="s">
        <v>45</v>
      </c>
    </row>
    <row r="77" spans="1:28" hidden="1" x14ac:dyDescent="0.2">
      <c r="A77" s="1">
        <v>45951</v>
      </c>
      <c r="B77" s="1">
        <v>45951</v>
      </c>
      <c r="C77" t="s">
        <v>28</v>
      </c>
      <c r="D77" t="s">
        <v>194</v>
      </c>
      <c r="E77">
        <v>-76.883139999999997</v>
      </c>
      <c r="F77">
        <v>3.5524499999999999</v>
      </c>
      <c r="G77">
        <v>664</v>
      </c>
      <c r="I77">
        <v>2025</v>
      </c>
      <c r="J77">
        <v>20</v>
      </c>
      <c r="K77">
        <v>10</v>
      </c>
      <c r="M77" t="s">
        <v>30</v>
      </c>
      <c r="N77" t="s">
        <v>31</v>
      </c>
      <c r="O77" t="s">
        <v>40</v>
      </c>
      <c r="P77" t="s">
        <v>130</v>
      </c>
      <c r="Q77" t="s">
        <v>34</v>
      </c>
      <c r="R77" t="s">
        <v>35</v>
      </c>
      <c r="S77" t="s">
        <v>41</v>
      </c>
      <c r="T77" t="s">
        <v>91</v>
      </c>
      <c r="U77" t="s">
        <v>178</v>
      </c>
      <c r="V77">
        <v>1</v>
      </c>
      <c r="Z77" t="s">
        <v>50</v>
      </c>
      <c r="AA77" t="s">
        <v>44</v>
      </c>
      <c r="AB77" t="s">
        <v>45</v>
      </c>
    </row>
    <row r="78" spans="1:28" hidden="1" x14ac:dyDescent="0.2">
      <c r="A78" s="1">
        <v>45951</v>
      </c>
      <c r="B78" s="1">
        <v>45951</v>
      </c>
      <c r="C78" t="s">
        <v>28</v>
      </c>
      <c r="D78" t="s">
        <v>195</v>
      </c>
      <c r="E78">
        <v>-76.883371666666605</v>
      </c>
      <c r="F78" s="2" t="s">
        <v>196</v>
      </c>
      <c r="G78">
        <v>664</v>
      </c>
      <c r="I78">
        <v>2025</v>
      </c>
      <c r="J78">
        <v>20</v>
      </c>
      <c r="K78">
        <v>10</v>
      </c>
      <c r="M78" t="s">
        <v>30</v>
      </c>
      <c r="N78" t="s">
        <v>31</v>
      </c>
      <c r="O78" t="s">
        <v>40</v>
      </c>
      <c r="P78" t="s">
        <v>130</v>
      </c>
      <c r="Q78" t="s">
        <v>34</v>
      </c>
      <c r="R78" t="s">
        <v>35</v>
      </c>
      <c r="S78" t="s">
        <v>48</v>
      </c>
      <c r="T78" t="s">
        <v>91</v>
      </c>
      <c r="U78" t="s">
        <v>178</v>
      </c>
      <c r="V78">
        <v>1</v>
      </c>
      <c r="Z78" t="s">
        <v>50</v>
      </c>
      <c r="AA78" t="s">
        <v>44</v>
      </c>
      <c r="AB78" t="s">
        <v>45</v>
      </c>
    </row>
    <row r="79" spans="1:28" hidden="1" x14ac:dyDescent="0.2">
      <c r="A79" s="1">
        <v>45951</v>
      </c>
      <c r="B79" s="1">
        <v>45951</v>
      </c>
      <c r="C79" t="s">
        <v>28</v>
      </c>
      <c r="D79" t="s">
        <v>197</v>
      </c>
      <c r="E79">
        <v>-76.882535000000004</v>
      </c>
      <c r="F79" s="2" t="s">
        <v>198</v>
      </c>
      <c r="G79">
        <v>621</v>
      </c>
      <c r="H79">
        <v>1</v>
      </c>
      <c r="I79">
        <v>2025</v>
      </c>
      <c r="J79">
        <v>15</v>
      </c>
      <c r="K79">
        <v>0</v>
      </c>
      <c r="M79" t="s">
        <v>30</v>
      </c>
      <c r="N79" t="s">
        <v>31</v>
      </c>
      <c r="O79" t="s">
        <v>47</v>
      </c>
      <c r="P79" t="s">
        <v>130</v>
      </c>
      <c r="Q79" t="s">
        <v>34</v>
      </c>
      <c r="R79" t="s">
        <v>53</v>
      </c>
      <c r="S79" t="s">
        <v>41</v>
      </c>
      <c r="T79" t="s">
        <v>91</v>
      </c>
      <c r="U79" t="s">
        <v>935</v>
      </c>
      <c r="V79">
        <v>1</v>
      </c>
      <c r="Y79" t="s">
        <v>136</v>
      </c>
      <c r="Z79" t="s">
        <v>137</v>
      </c>
      <c r="AA79" t="s">
        <v>44</v>
      </c>
      <c r="AB79" t="s">
        <v>45</v>
      </c>
    </row>
    <row r="80" spans="1:28" hidden="1" x14ac:dyDescent="0.2">
      <c r="A80" s="1">
        <v>45951</v>
      </c>
      <c r="B80" s="1">
        <v>45951</v>
      </c>
      <c r="C80" t="s">
        <v>28</v>
      </c>
      <c r="D80" t="s">
        <v>199</v>
      </c>
      <c r="E80">
        <v>-76.882486666666594</v>
      </c>
      <c r="F80" s="2" t="s">
        <v>200</v>
      </c>
      <c r="G80">
        <v>621</v>
      </c>
      <c r="H80">
        <v>1</v>
      </c>
      <c r="I80">
        <v>2025</v>
      </c>
      <c r="J80">
        <v>15</v>
      </c>
      <c r="K80">
        <v>0</v>
      </c>
      <c r="M80" t="s">
        <v>30</v>
      </c>
      <c r="N80" t="s">
        <v>31</v>
      </c>
      <c r="O80" t="s">
        <v>47</v>
      </c>
      <c r="P80" t="s">
        <v>130</v>
      </c>
      <c r="Q80" t="s">
        <v>34</v>
      </c>
      <c r="R80" t="s">
        <v>53</v>
      </c>
      <c r="T80" t="s">
        <v>42</v>
      </c>
      <c r="U80" t="s">
        <v>84</v>
      </c>
      <c r="V80">
        <v>1</v>
      </c>
      <c r="W80" t="s">
        <v>56</v>
      </c>
      <c r="Y80" t="s">
        <v>201</v>
      </c>
      <c r="Z80" t="s">
        <v>137</v>
      </c>
      <c r="AA80" t="s">
        <v>44</v>
      </c>
      <c r="AB80" t="s">
        <v>45</v>
      </c>
    </row>
    <row r="81" spans="1:28" hidden="1" x14ac:dyDescent="0.2">
      <c r="A81" s="1">
        <v>45951</v>
      </c>
      <c r="B81" s="1">
        <v>45951</v>
      </c>
      <c r="C81" t="s">
        <v>28</v>
      </c>
      <c r="D81" t="s">
        <v>202</v>
      </c>
      <c r="E81">
        <v>-76.882511666666602</v>
      </c>
      <c r="F81">
        <v>3.5527850000000001</v>
      </c>
      <c r="G81">
        <v>621</v>
      </c>
      <c r="H81">
        <v>1</v>
      </c>
      <c r="I81">
        <v>2025</v>
      </c>
      <c r="J81">
        <v>15</v>
      </c>
      <c r="K81">
        <v>0</v>
      </c>
      <c r="M81" t="s">
        <v>30</v>
      </c>
      <c r="N81" t="s">
        <v>31</v>
      </c>
      <c r="O81" t="s">
        <v>47</v>
      </c>
      <c r="P81" t="s">
        <v>130</v>
      </c>
      <c r="Q81" t="s">
        <v>34</v>
      </c>
      <c r="R81" t="s">
        <v>53</v>
      </c>
      <c r="S81" t="s">
        <v>41</v>
      </c>
      <c r="T81" t="s">
        <v>54</v>
      </c>
      <c r="U81" t="s">
        <v>935</v>
      </c>
      <c r="V81">
        <v>1</v>
      </c>
      <c r="Y81" t="s">
        <v>136</v>
      </c>
      <c r="Z81" t="s">
        <v>137</v>
      </c>
      <c r="AA81" t="s">
        <v>44</v>
      </c>
      <c r="AB81" t="s">
        <v>45</v>
      </c>
    </row>
    <row r="82" spans="1:28" hidden="1" x14ac:dyDescent="0.2">
      <c r="A82" s="1">
        <v>45951</v>
      </c>
      <c r="B82" s="1">
        <v>45951</v>
      </c>
      <c r="C82" t="s">
        <v>28</v>
      </c>
      <c r="D82" t="s">
        <v>203</v>
      </c>
      <c r="E82">
        <v>-76.882424999999998</v>
      </c>
      <c r="F82" s="2" t="s">
        <v>204</v>
      </c>
      <c r="G82">
        <v>621</v>
      </c>
      <c r="H82">
        <v>1</v>
      </c>
      <c r="I82">
        <v>2025</v>
      </c>
      <c r="J82">
        <v>15</v>
      </c>
      <c r="K82">
        <v>0</v>
      </c>
      <c r="M82" t="s">
        <v>30</v>
      </c>
      <c r="N82" t="s">
        <v>31</v>
      </c>
      <c r="O82" t="s">
        <v>47</v>
      </c>
      <c r="P82" t="s">
        <v>130</v>
      </c>
      <c r="Q82" t="s">
        <v>34</v>
      </c>
      <c r="R82" t="s">
        <v>53</v>
      </c>
      <c r="T82" t="s">
        <v>54</v>
      </c>
      <c r="U82" t="s">
        <v>205</v>
      </c>
      <c r="V82">
        <v>7</v>
      </c>
      <c r="W82" t="s">
        <v>56</v>
      </c>
      <c r="Y82" t="s">
        <v>136</v>
      </c>
      <c r="Z82" t="s">
        <v>137</v>
      </c>
      <c r="AA82" t="s">
        <v>44</v>
      </c>
      <c r="AB82" t="s">
        <v>45</v>
      </c>
    </row>
    <row r="83" spans="1:28" hidden="1" x14ac:dyDescent="0.2">
      <c r="A83" s="1">
        <v>45951</v>
      </c>
      <c r="B83" s="1">
        <v>45951</v>
      </c>
      <c r="C83" t="s">
        <v>28</v>
      </c>
      <c r="D83" t="s">
        <v>206</v>
      </c>
      <c r="E83">
        <v>-76.88252</v>
      </c>
      <c r="F83" s="2" t="s">
        <v>207</v>
      </c>
      <c r="G83">
        <v>621</v>
      </c>
      <c r="H83">
        <v>1</v>
      </c>
      <c r="I83">
        <v>2025</v>
      </c>
      <c r="J83">
        <v>15</v>
      </c>
      <c r="K83">
        <v>0</v>
      </c>
      <c r="M83" t="s">
        <v>30</v>
      </c>
      <c r="N83" t="s">
        <v>31</v>
      </c>
      <c r="O83" t="s">
        <v>47</v>
      </c>
      <c r="P83" t="s">
        <v>130</v>
      </c>
      <c r="Q83" t="s">
        <v>34</v>
      </c>
      <c r="R83" t="s">
        <v>53</v>
      </c>
      <c r="T83" t="s">
        <v>54</v>
      </c>
      <c r="U83" t="s">
        <v>208</v>
      </c>
      <c r="V83">
        <v>1</v>
      </c>
      <c r="W83" t="s">
        <v>56</v>
      </c>
      <c r="Y83" t="s">
        <v>136</v>
      </c>
      <c r="Z83" t="s">
        <v>137</v>
      </c>
      <c r="AA83" t="s">
        <v>44</v>
      </c>
      <c r="AB83" t="s">
        <v>45</v>
      </c>
    </row>
    <row r="84" spans="1:28" hidden="1" x14ac:dyDescent="0.2">
      <c r="A84" s="1">
        <v>45951</v>
      </c>
      <c r="B84" s="1">
        <v>45951</v>
      </c>
      <c r="C84" t="s">
        <v>28</v>
      </c>
      <c r="D84" t="s">
        <v>209</v>
      </c>
      <c r="E84">
        <v>-76.882316666666597</v>
      </c>
      <c r="F84" s="2" t="s">
        <v>210</v>
      </c>
      <c r="G84">
        <v>590</v>
      </c>
      <c r="I84">
        <v>2025</v>
      </c>
      <c r="J84">
        <v>25</v>
      </c>
      <c r="K84">
        <v>10</v>
      </c>
      <c r="M84" t="s">
        <v>30</v>
      </c>
      <c r="N84" t="s">
        <v>31</v>
      </c>
      <c r="O84" t="s">
        <v>38</v>
      </c>
      <c r="P84" t="s">
        <v>130</v>
      </c>
      <c r="Q84" t="s">
        <v>34</v>
      </c>
      <c r="R84" t="s">
        <v>35</v>
      </c>
      <c r="T84" t="s">
        <v>42</v>
      </c>
      <c r="U84" t="s">
        <v>935</v>
      </c>
      <c r="V84">
        <v>1</v>
      </c>
      <c r="W84" t="s">
        <v>56</v>
      </c>
      <c r="Z84" t="s">
        <v>50</v>
      </c>
      <c r="AA84" t="s">
        <v>44</v>
      </c>
      <c r="AB84" t="s">
        <v>45</v>
      </c>
    </row>
    <row r="85" spans="1:28" hidden="1" x14ac:dyDescent="0.2">
      <c r="A85" s="1">
        <v>45951</v>
      </c>
      <c r="B85" s="1">
        <v>45951</v>
      </c>
      <c r="C85" t="s">
        <v>28</v>
      </c>
      <c r="D85" t="s">
        <v>211</v>
      </c>
      <c r="E85">
        <v>-76.880621666666599</v>
      </c>
      <c r="F85" s="2" t="s">
        <v>212</v>
      </c>
      <c r="G85">
        <v>588</v>
      </c>
      <c r="I85">
        <v>2025</v>
      </c>
      <c r="J85">
        <v>25</v>
      </c>
      <c r="K85">
        <v>15</v>
      </c>
      <c r="M85" t="s">
        <v>30</v>
      </c>
      <c r="N85" t="s">
        <v>31</v>
      </c>
      <c r="O85" t="s">
        <v>32</v>
      </c>
      <c r="P85" t="s">
        <v>130</v>
      </c>
      <c r="Q85" t="s">
        <v>34</v>
      </c>
      <c r="R85" t="s">
        <v>35</v>
      </c>
      <c r="T85" t="s">
        <v>42</v>
      </c>
      <c r="U85" t="s">
        <v>112</v>
      </c>
      <c r="V85">
        <v>3</v>
      </c>
      <c r="W85" t="s">
        <v>56</v>
      </c>
      <c r="Z85" t="s">
        <v>50</v>
      </c>
      <c r="AA85" t="s">
        <v>44</v>
      </c>
      <c r="AB85" t="s">
        <v>45</v>
      </c>
    </row>
    <row r="86" spans="1:28" hidden="1" x14ac:dyDescent="0.2">
      <c r="A86" s="1">
        <v>45951</v>
      </c>
      <c r="B86" s="1">
        <v>45951</v>
      </c>
      <c r="C86" t="s">
        <v>28</v>
      </c>
      <c r="D86" t="s">
        <v>213</v>
      </c>
      <c r="E86">
        <v>-76.880814999999998</v>
      </c>
      <c r="F86" s="2" t="s">
        <v>214</v>
      </c>
      <c r="G86">
        <v>588</v>
      </c>
      <c r="I86">
        <v>2025</v>
      </c>
      <c r="J86">
        <v>25</v>
      </c>
      <c r="K86">
        <v>15</v>
      </c>
      <c r="M86" t="s">
        <v>30</v>
      </c>
      <c r="N86" t="s">
        <v>31</v>
      </c>
      <c r="O86" t="s">
        <v>32</v>
      </c>
      <c r="P86" t="s">
        <v>130</v>
      </c>
      <c r="Q86" t="s">
        <v>34</v>
      </c>
      <c r="R86" t="s">
        <v>35</v>
      </c>
      <c r="S86" t="s">
        <v>41</v>
      </c>
      <c r="T86" t="s">
        <v>42</v>
      </c>
      <c r="U86" t="s">
        <v>84</v>
      </c>
      <c r="V86">
        <v>2</v>
      </c>
      <c r="Z86" t="s">
        <v>50</v>
      </c>
      <c r="AA86" t="s">
        <v>44</v>
      </c>
      <c r="AB86" t="s">
        <v>45</v>
      </c>
    </row>
    <row r="87" spans="1:28" hidden="1" x14ac:dyDescent="0.2">
      <c r="A87" s="1">
        <v>45950</v>
      </c>
      <c r="B87" s="1">
        <v>45950</v>
      </c>
      <c r="C87" t="s">
        <v>41</v>
      </c>
      <c r="D87" t="s">
        <v>215</v>
      </c>
      <c r="E87">
        <v>-76.880714999999995</v>
      </c>
      <c r="F87" s="2" t="s">
        <v>216</v>
      </c>
      <c r="G87">
        <v>630</v>
      </c>
      <c r="I87">
        <v>2025</v>
      </c>
      <c r="J87">
        <v>20</v>
      </c>
      <c r="K87">
        <v>3</v>
      </c>
      <c r="M87" t="s">
        <v>30</v>
      </c>
      <c r="N87" t="s">
        <v>31</v>
      </c>
      <c r="O87" t="s">
        <v>32</v>
      </c>
      <c r="P87" t="s">
        <v>98</v>
      </c>
      <c r="Q87" t="s">
        <v>86</v>
      </c>
      <c r="R87" t="s">
        <v>35</v>
      </c>
      <c r="T87" t="s">
        <v>54</v>
      </c>
      <c r="U87" t="s">
        <v>217</v>
      </c>
      <c r="V87">
        <v>1</v>
      </c>
      <c r="W87" t="s">
        <v>218</v>
      </c>
      <c r="Z87" t="s">
        <v>36</v>
      </c>
      <c r="AA87" t="s">
        <v>44</v>
      </c>
      <c r="AB87" t="s">
        <v>45</v>
      </c>
    </row>
    <row r="88" spans="1:28" s="11" customFormat="1" hidden="1" x14ac:dyDescent="0.2">
      <c r="A88" s="10">
        <v>45950</v>
      </c>
      <c r="B88" s="10">
        <v>45950</v>
      </c>
      <c r="C88" s="11" t="s">
        <v>41</v>
      </c>
      <c r="D88" s="11" t="s">
        <v>219</v>
      </c>
      <c r="E88" s="11">
        <v>-76.880679999999998</v>
      </c>
      <c r="F88" s="12" t="s">
        <v>220</v>
      </c>
      <c r="G88" s="11">
        <v>630</v>
      </c>
      <c r="I88" s="11">
        <v>2025</v>
      </c>
      <c r="J88" s="11">
        <v>20</v>
      </c>
      <c r="K88" s="11">
        <v>3</v>
      </c>
      <c r="M88" s="11" t="s">
        <v>30</v>
      </c>
      <c r="N88" s="11" t="s">
        <v>31</v>
      </c>
      <c r="O88" s="11" t="s">
        <v>32</v>
      </c>
      <c r="P88" s="11" t="s">
        <v>98</v>
      </c>
      <c r="Q88" s="11" t="s">
        <v>86</v>
      </c>
      <c r="R88" s="11" t="s">
        <v>35</v>
      </c>
      <c r="S88" s="11" t="s">
        <v>41</v>
      </c>
      <c r="T88" s="11" t="s">
        <v>54</v>
      </c>
      <c r="U88" s="11" t="s">
        <v>137</v>
      </c>
      <c r="V88" s="11">
        <v>1</v>
      </c>
      <c r="W88" s="11" t="s">
        <v>56</v>
      </c>
      <c r="X88" s="11" t="s">
        <v>221</v>
      </c>
      <c r="Z88" s="11" t="s">
        <v>36</v>
      </c>
      <c r="AA88" s="11" t="s">
        <v>44</v>
      </c>
      <c r="AB88" s="11" t="s">
        <v>45</v>
      </c>
    </row>
    <row r="89" spans="1:28" hidden="1" x14ac:dyDescent="0.2">
      <c r="A89" s="1">
        <v>45950</v>
      </c>
      <c r="B89" s="1">
        <v>45950</v>
      </c>
      <c r="C89" t="s">
        <v>41</v>
      </c>
      <c r="D89" t="s">
        <v>222</v>
      </c>
      <c r="E89">
        <v>-76.880519999999905</v>
      </c>
      <c r="F89" s="2" t="s">
        <v>223</v>
      </c>
      <c r="G89">
        <v>630</v>
      </c>
      <c r="I89">
        <v>2025</v>
      </c>
      <c r="J89">
        <v>20</v>
      </c>
      <c r="K89">
        <v>3</v>
      </c>
      <c r="M89" t="s">
        <v>30</v>
      </c>
      <c r="N89" t="s">
        <v>31</v>
      </c>
      <c r="O89" t="s">
        <v>32</v>
      </c>
      <c r="P89" t="s">
        <v>98</v>
      </c>
      <c r="Q89" t="s">
        <v>34</v>
      </c>
      <c r="R89" t="s">
        <v>35</v>
      </c>
      <c r="S89" t="s">
        <v>41</v>
      </c>
      <c r="T89" t="s">
        <v>54</v>
      </c>
      <c r="U89" t="s">
        <v>224</v>
      </c>
      <c r="V89">
        <v>1</v>
      </c>
      <c r="Z89" t="s">
        <v>36</v>
      </c>
      <c r="AA89" t="s">
        <v>44</v>
      </c>
      <c r="AB89" t="s">
        <v>45</v>
      </c>
    </row>
    <row r="90" spans="1:28" hidden="1" x14ac:dyDescent="0.2">
      <c r="A90" s="1">
        <v>45950</v>
      </c>
      <c r="B90" s="1">
        <v>45950</v>
      </c>
      <c r="C90" t="s">
        <v>28</v>
      </c>
      <c r="D90" t="s">
        <v>225</v>
      </c>
      <c r="E90">
        <v>-76.880331666666606</v>
      </c>
      <c r="F90">
        <v>3.5793050000000002</v>
      </c>
      <c r="G90">
        <v>648</v>
      </c>
      <c r="H90">
        <v>6</v>
      </c>
      <c r="I90">
        <v>2025</v>
      </c>
      <c r="J90">
        <v>20</v>
      </c>
      <c r="K90">
        <v>10</v>
      </c>
      <c r="M90" t="s">
        <v>30</v>
      </c>
      <c r="N90" t="s">
        <v>108</v>
      </c>
      <c r="O90" t="s">
        <v>47</v>
      </c>
      <c r="P90" t="s">
        <v>98</v>
      </c>
      <c r="Q90" t="s">
        <v>86</v>
      </c>
      <c r="R90" t="s">
        <v>35</v>
      </c>
      <c r="T90" t="s">
        <v>42</v>
      </c>
      <c r="U90" t="s">
        <v>226</v>
      </c>
      <c r="V90">
        <v>1</v>
      </c>
      <c r="W90" t="s">
        <v>81</v>
      </c>
      <c r="X90" t="s">
        <v>227</v>
      </c>
      <c r="Z90" t="s">
        <v>36</v>
      </c>
      <c r="AA90" t="s">
        <v>44</v>
      </c>
      <c r="AB90" t="s">
        <v>45</v>
      </c>
    </row>
    <row r="91" spans="1:28" hidden="1" x14ac:dyDescent="0.2">
      <c r="A91" s="1">
        <v>45950</v>
      </c>
      <c r="B91" s="1">
        <v>45950</v>
      </c>
      <c r="C91" t="s">
        <v>28</v>
      </c>
      <c r="D91" t="s">
        <v>228</v>
      </c>
      <c r="E91">
        <v>-76.880373333333296</v>
      </c>
      <c r="F91" s="2" t="s">
        <v>229</v>
      </c>
      <c r="G91">
        <v>648</v>
      </c>
      <c r="H91">
        <v>6</v>
      </c>
      <c r="I91">
        <v>2025</v>
      </c>
      <c r="J91">
        <v>20</v>
      </c>
      <c r="K91">
        <v>10</v>
      </c>
      <c r="M91" t="s">
        <v>30</v>
      </c>
      <c r="N91" t="s">
        <v>108</v>
      </c>
      <c r="O91" t="s">
        <v>47</v>
      </c>
      <c r="P91" t="s">
        <v>98</v>
      </c>
      <c r="Q91" t="s">
        <v>86</v>
      </c>
      <c r="R91" t="s">
        <v>35</v>
      </c>
      <c r="T91" t="s">
        <v>54</v>
      </c>
      <c r="U91" t="s">
        <v>43</v>
      </c>
      <c r="V91">
        <v>3</v>
      </c>
      <c r="W91" t="s">
        <v>56</v>
      </c>
      <c r="Z91" t="s">
        <v>36</v>
      </c>
      <c r="AA91" t="s">
        <v>44</v>
      </c>
      <c r="AB91" t="s">
        <v>154</v>
      </c>
    </row>
    <row r="92" spans="1:28" hidden="1" x14ac:dyDescent="0.2">
      <c r="A92" s="1">
        <v>45950</v>
      </c>
      <c r="B92" s="1">
        <v>45950</v>
      </c>
      <c r="C92" t="s">
        <v>28</v>
      </c>
      <c r="D92" t="s">
        <v>230</v>
      </c>
      <c r="E92">
        <v>-76.880701666666596</v>
      </c>
      <c r="F92" s="2" t="s">
        <v>231</v>
      </c>
      <c r="G92">
        <v>648</v>
      </c>
      <c r="H92">
        <v>6</v>
      </c>
      <c r="I92">
        <v>2025</v>
      </c>
      <c r="J92">
        <v>20</v>
      </c>
      <c r="K92">
        <v>10</v>
      </c>
      <c r="M92" t="s">
        <v>30</v>
      </c>
      <c r="N92" t="s">
        <v>31</v>
      </c>
      <c r="O92" t="s">
        <v>38</v>
      </c>
      <c r="P92" t="s">
        <v>98</v>
      </c>
      <c r="Q92" t="s">
        <v>34</v>
      </c>
      <c r="R92" t="s">
        <v>35</v>
      </c>
      <c r="S92" t="s">
        <v>41</v>
      </c>
      <c r="T92" t="s">
        <v>54</v>
      </c>
      <c r="U92" t="s">
        <v>232</v>
      </c>
      <c r="V92">
        <v>3</v>
      </c>
      <c r="X92" t="s">
        <v>233</v>
      </c>
      <c r="Z92" t="s">
        <v>36</v>
      </c>
      <c r="AA92" t="s">
        <v>44</v>
      </c>
      <c r="AB92" t="s">
        <v>45</v>
      </c>
    </row>
    <row r="93" spans="1:28" hidden="1" x14ac:dyDescent="0.2">
      <c r="A93" s="1">
        <v>45950</v>
      </c>
      <c r="B93" s="1">
        <v>45950</v>
      </c>
      <c r="C93" t="s">
        <v>28</v>
      </c>
      <c r="D93" t="s">
        <v>234</v>
      </c>
      <c r="E93">
        <v>-76.880865</v>
      </c>
      <c r="F93" s="2" t="s">
        <v>235</v>
      </c>
      <c r="G93">
        <v>648</v>
      </c>
      <c r="H93">
        <v>6</v>
      </c>
      <c r="I93">
        <v>2025</v>
      </c>
      <c r="J93">
        <v>20</v>
      </c>
      <c r="K93">
        <v>10</v>
      </c>
      <c r="M93" t="s">
        <v>30</v>
      </c>
      <c r="N93" t="s">
        <v>31</v>
      </c>
      <c r="O93" t="s">
        <v>38</v>
      </c>
      <c r="P93" t="s">
        <v>98</v>
      </c>
      <c r="Q93" t="s">
        <v>34</v>
      </c>
      <c r="R93" t="s">
        <v>35</v>
      </c>
      <c r="T93" t="s">
        <v>54</v>
      </c>
      <c r="U93" t="s">
        <v>84</v>
      </c>
      <c r="V93">
        <v>1</v>
      </c>
      <c r="W93" t="s">
        <v>56</v>
      </c>
      <c r="Z93" t="s">
        <v>36</v>
      </c>
      <c r="AA93" t="s">
        <v>44</v>
      </c>
      <c r="AB93" t="s">
        <v>45</v>
      </c>
    </row>
    <row r="94" spans="1:28" hidden="1" x14ac:dyDescent="0.2">
      <c r="A94" s="1">
        <v>45950</v>
      </c>
      <c r="B94" s="1">
        <v>45950</v>
      </c>
      <c r="C94" t="s">
        <v>28</v>
      </c>
      <c r="D94" t="s">
        <v>236</v>
      </c>
      <c r="E94">
        <v>-76.880853333333306</v>
      </c>
      <c r="F94" s="2" t="s">
        <v>237</v>
      </c>
      <c r="G94">
        <v>648</v>
      </c>
      <c r="H94">
        <v>6</v>
      </c>
      <c r="I94">
        <v>2025</v>
      </c>
      <c r="J94">
        <v>20</v>
      </c>
      <c r="K94">
        <v>10</v>
      </c>
      <c r="M94" t="s">
        <v>30</v>
      </c>
      <c r="N94" t="s">
        <v>31</v>
      </c>
      <c r="O94" t="s">
        <v>38</v>
      </c>
      <c r="P94" t="s">
        <v>98</v>
      </c>
      <c r="Q94" t="s">
        <v>34</v>
      </c>
      <c r="R94" t="s">
        <v>35</v>
      </c>
      <c r="T94" t="s">
        <v>54</v>
      </c>
      <c r="U94" t="s">
        <v>238</v>
      </c>
      <c r="V94">
        <v>1</v>
      </c>
      <c r="W94" t="s">
        <v>56</v>
      </c>
      <c r="Z94" t="s">
        <v>36</v>
      </c>
      <c r="AA94" t="s">
        <v>44</v>
      </c>
      <c r="AB94" t="s">
        <v>45</v>
      </c>
    </row>
    <row r="95" spans="1:28" hidden="1" x14ac:dyDescent="0.2">
      <c r="A95" s="1">
        <v>45950</v>
      </c>
      <c r="B95" s="1">
        <v>45950</v>
      </c>
      <c r="C95" t="s">
        <v>28</v>
      </c>
      <c r="D95" t="s">
        <v>239</v>
      </c>
      <c r="E95">
        <v>-76.880683333333295</v>
      </c>
      <c r="F95" s="2" t="s">
        <v>240</v>
      </c>
      <c r="G95">
        <v>648</v>
      </c>
      <c r="H95">
        <v>6</v>
      </c>
      <c r="I95">
        <v>2025</v>
      </c>
      <c r="J95">
        <v>20</v>
      </c>
      <c r="K95">
        <v>10</v>
      </c>
      <c r="M95" t="s">
        <v>30</v>
      </c>
      <c r="N95" t="s">
        <v>31</v>
      </c>
      <c r="O95" t="s">
        <v>40</v>
      </c>
      <c r="P95" t="s">
        <v>98</v>
      </c>
      <c r="Q95" t="s">
        <v>86</v>
      </c>
      <c r="R95" t="s">
        <v>35</v>
      </c>
      <c r="S95" t="s">
        <v>41</v>
      </c>
      <c r="T95" t="s">
        <v>54</v>
      </c>
      <c r="U95" t="s">
        <v>43</v>
      </c>
      <c r="V95">
        <v>3</v>
      </c>
      <c r="Z95" t="s">
        <v>36</v>
      </c>
      <c r="AA95" t="s">
        <v>44</v>
      </c>
      <c r="AB95" t="s">
        <v>45</v>
      </c>
    </row>
    <row r="96" spans="1:28" hidden="1" x14ac:dyDescent="0.2">
      <c r="A96" s="1">
        <v>45950</v>
      </c>
      <c r="B96" s="1">
        <v>45950</v>
      </c>
      <c r="C96" t="s">
        <v>28</v>
      </c>
      <c r="D96" t="s">
        <v>241</v>
      </c>
      <c r="E96">
        <v>-76.880688333333296</v>
      </c>
      <c r="F96" s="2" t="s">
        <v>240</v>
      </c>
      <c r="G96">
        <v>648</v>
      </c>
      <c r="H96">
        <v>6</v>
      </c>
      <c r="I96">
        <v>2025</v>
      </c>
      <c r="J96">
        <v>20</v>
      </c>
      <c r="K96">
        <v>10</v>
      </c>
      <c r="M96" t="s">
        <v>30</v>
      </c>
      <c r="N96" t="s">
        <v>31</v>
      </c>
      <c r="O96" t="s">
        <v>40</v>
      </c>
      <c r="P96" t="s">
        <v>98</v>
      </c>
      <c r="Q96" t="s">
        <v>86</v>
      </c>
      <c r="R96" t="s">
        <v>53</v>
      </c>
      <c r="T96" t="s">
        <v>54</v>
      </c>
      <c r="U96" t="s">
        <v>238</v>
      </c>
      <c r="V96">
        <v>1</v>
      </c>
      <c r="W96" t="s">
        <v>81</v>
      </c>
      <c r="Z96" t="s">
        <v>36</v>
      </c>
      <c r="AA96" t="s">
        <v>44</v>
      </c>
      <c r="AB96" t="s">
        <v>45</v>
      </c>
    </row>
    <row r="97" spans="1:28" hidden="1" x14ac:dyDescent="0.2">
      <c r="A97" s="1">
        <v>45950</v>
      </c>
      <c r="B97" s="1">
        <v>45950</v>
      </c>
      <c r="C97" t="s">
        <v>28</v>
      </c>
      <c r="D97" t="s">
        <v>242</v>
      </c>
      <c r="E97">
        <v>-76.880891666666599</v>
      </c>
      <c r="F97" s="2" t="s">
        <v>243</v>
      </c>
      <c r="G97">
        <v>648</v>
      </c>
      <c r="H97">
        <v>6</v>
      </c>
      <c r="I97">
        <v>2025</v>
      </c>
      <c r="J97">
        <v>20</v>
      </c>
      <c r="K97">
        <v>10</v>
      </c>
      <c r="M97" t="s">
        <v>30</v>
      </c>
      <c r="N97" t="s">
        <v>31</v>
      </c>
      <c r="O97" t="s">
        <v>40</v>
      </c>
      <c r="P97" t="s">
        <v>98</v>
      </c>
      <c r="Q97" t="s">
        <v>34</v>
      </c>
      <c r="R97" t="s">
        <v>105</v>
      </c>
      <c r="S97" t="s">
        <v>41</v>
      </c>
      <c r="T97" t="s">
        <v>54</v>
      </c>
      <c r="U97" t="s">
        <v>112</v>
      </c>
      <c r="V97">
        <v>1</v>
      </c>
      <c r="Z97" t="s">
        <v>137</v>
      </c>
      <c r="AA97" t="s">
        <v>44</v>
      </c>
      <c r="AB97" t="s">
        <v>45</v>
      </c>
    </row>
    <row r="98" spans="1:28" hidden="1" x14ac:dyDescent="0.2">
      <c r="A98" s="1">
        <v>45939</v>
      </c>
      <c r="B98" s="1">
        <v>45939</v>
      </c>
      <c r="C98" t="s">
        <v>244</v>
      </c>
      <c r="D98" t="s">
        <v>245</v>
      </c>
      <c r="E98">
        <v>-76.723808333333295</v>
      </c>
      <c r="F98" s="2" t="s">
        <v>246</v>
      </c>
      <c r="G98">
        <v>2042</v>
      </c>
      <c r="I98">
        <v>2025</v>
      </c>
      <c r="J98">
        <v>18</v>
      </c>
      <c r="K98">
        <v>50</v>
      </c>
      <c r="M98" t="s">
        <v>247</v>
      </c>
      <c r="N98" t="s">
        <v>31</v>
      </c>
      <c r="O98" t="s">
        <v>38</v>
      </c>
      <c r="P98" t="s">
        <v>248</v>
      </c>
      <c r="Q98" t="s">
        <v>74</v>
      </c>
      <c r="R98" t="s">
        <v>35</v>
      </c>
      <c r="T98" t="s">
        <v>54</v>
      </c>
      <c r="U98" t="s">
        <v>36</v>
      </c>
      <c r="V98">
        <v>1</v>
      </c>
      <c r="W98" t="s">
        <v>249</v>
      </c>
      <c r="Z98" t="s">
        <v>36</v>
      </c>
      <c r="AA98" t="s">
        <v>44</v>
      </c>
      <c r="AB98" t="s">
        <v>45</v>
      </c>
    </row>
    <row r="99" spans="1:28" hidden="1" x14ac:dyDescent="0.2">
      <c r="A99" s="1">
        <v>45939</v>
      </c>
      <c r="B99" s="1">
        <v>45939</v>
      </c>
      <c r="C99" t="s">
        <v>244</v>
      </c>
      <c r="D99" t="s">
        <v>250</v>
      </c>
      <c r="E99">
        <v>-76.723583333333295</v>
      </c>
      <c r="F99" s="2" t="s">
        <v>251</v>
      </c>
      <c r="G99">
        <v>2042</v>
      </c>
      <c r="I99">
        <v>2025</v>
      </c>
      <c r="J99">
        <v>18</v>
      </c>
      <c r="K99">
        <v>50</v>
      </c>
      <c r="M99" t="s">
        <v>247</v>
      </c>
      <c r="N99" t="s">
        <v>31</v>
      </c>
      <c r="O99" t="s">
        <v>38</v>
      </c>
      <c r="P99" t="s">
        <v>248</v>
      </c>
      <c r="Q99" t="s">
        <v>74</v>
      </c>
      <c r="R99" t="s">
        <v>35</v>
      </c>
      <c r="T99" t="s">
        <v>54</v>
      </c>
      <c r="U99" t="s">
        <v>252</v>
      </c>
      <c r="V99">
        <v>1</v>
      </c>
      <c r="W99" t="s">
        <v>249</v>
      </c>
      <c r="Z99" t="s">
        <v>36</v>
      </c>
      <c r="AA99" t="s">
        <v>44</v>
      </c>
      <c r="AB99" t="s">
        <v>45</v>
      </c>
    </row>
    <row r="100" spans="1:28" hidden="1" x14ac:dyDescent="0.2">
      <c r="A100" s="1">
        <v>45939</v>
      </c>
      <c r="B100" s="1">
        <v>45939</v>
      </c>
      <c r="C100" t="s">
        <v>244</v>
      </c>
      <c r="D100" t="s">
        <v>253</v>
      </c>
      <c r="E100">
        <v>-76.723216666666602</v>
      </c>
      <c r="F100" s="2" t="s">
        <v>254</v>
      </c>
      <c r="G100">
        <v>2000</v>
      </c>
      <c r="I100">
        <v>2025</v>
      </c>
      <c r="J100">
        <v>5</v>
      </c>
      <c r="K100">
        <v>5</v>
      </c>
      <c r="M100" t="s">
        <v>247</v>
      </c>
      <c r="N100" t="s">
        <v>31</v>
      </c>
      <c r="O100" t="s">
        <v>40</v>
      </c>
      <c r="P100" t="s">
        <v>248</v>
      </c>
      <c r="Q100" t="s">
        <v>74</v>
      </c>
      <c r="R100" t="s">
        <v>35</v>
      </c>
      <c r="T100" t="s">
        <v>54</v>
      </c>
      <c r="U100" t="s">
        <v>238</v>
      </c>
      <c r="V100">
        <v>1</v>
      </c>
      <c r="W100" t="s">
        <v>255</v>
      </c>
      <c r="Z100" t="s">
        <v>36</v>
      </c>
      <c r="AA100" t="s">
        <v>44</v>
      </c>
      <c r="AB100" t="s">
        <v>45</v>
      </c>
    </row>
    <row r="101" spans="1:28" hidden="1" x14ac:dyDescent="0.2">
      <c r="A101" s="1">
        <v>45939</v>
      </c>
      <c r="B101" s="1">
        <v>45939</v>
      </c>
      <c r="C101" t="s">
        <v>244</v>
      </c>
      <c r="D101" t="s">
        <v>256</v>
      </c>
      <c r="E101">
        <v>-76.723471666666597</v>
      </c>
      <c r="F101" s="2" t="s">
        <v>257</v>
      </c>
      <c r="G101">
        <v>2000</v>
      </c>
      <c r="I101">
        <v>2025</v>
      </c>
      <c r="J101">
        <v>5</v>
      </c>
      <c r="K101">
        <v>5</v>
      </c>
      <c r="M101" t="s">
        <v>247</v>
      </c>
      <c r="N101" t="s">
        <v>31</v>
      </c>
      <c r="O101" t="s">
        <v>40</v>
      </c>
      <c r="P101" t="s">
        <v>248</v>
      </c>
      <c r="Q101" t="s">
        <v>74</v>
      </c>
      <c r="R101" t="s">
        <v>258</v>
      </c>
      <c r="T101" t="s">
        <v>54</v>
      </c>
      <c r="U101" t="s">
        <v>252</v>
      </c>
      <c r="V101">
        <v>1</v>
      </c>
      <c r="W101" t="s">
        <v>249</v>
      </c>
      <c r="Z101" t="s">
        <v>259</v>
      </c>
      <c r="AA101" t="s">
        <v>160</v>
      </c>
      <c r="AB101" t="s">
        <v>45</v>
      </c>
    </row>
    <row r="102" spans="1:28" hidden="1" x14ac:dyDescent="0.2">
      <c r="A102" s="1">
        <v>45939</v>
      </c>
      <c r="B102" s="1">
        <v>45939</v>
      </c>
      <c r="C102" t="s">
        <v>244</v>
      </c>
      <c r="D102" t="s">
        <v>260</v>
      </c>
      <c r="E102">
        <v>-76.723563333333303</v>
      </c>
      <c r="F102" s="2" t="s">
        <v>261</v>
      </c>
      <c r="G102">
        <v>2000</v>
      </c>
      <c r="I102">
        <v>2025</v>
      </c>
      <c r="J102">
        <v>5</v>
      </c>
      <c r="K102">
        <v>5</v>
      </c>
      <c r="M102" t="s">
        <v>247</v>
      </c>
      <c r="N102" t="s">
        <v>31</v>
      </c>
      <c r="O102" t="s">
        <v>40</v>
      </c>
      <c r="P102" t="s">
        <v>248</v>
      </c>
      <c r="Q102" t="s">
        <v>74</v>
      </c>
      <c r="R102" t="s">
        <v>258</v>
      </c>
      <c r="T102" t="s">
        <v>54</v>
      </c>
      <c r="U102" t="s">
        <v>252</v>
      </c>
      <c r="V102">
        <v>2</v>
      </c>
      <c r="W102" t="s">
        <v>249</v>
      </c>
      <c r="Z102" t="s">
        <v>259</v>
      </c>
      <c r="AA102" t="s">
        <v>44</v>
      </c>
      <c r="AB102" t="s">
        <v>66</v>
      </c>
    </row>
    <row r="103" spans="1:28" hidden="1" x14ac:dyDescent="0.2">
      <c r="A103" s="1">
        <v>45939</v>
      </c>
      <c r="B103" s="1">
        <v>45939</v>
      </c>
      <c r="C103" t="s">
        <v>244</v>
      </c>
      <c r="D103" t="s">
        <v>262</v>
      </c>
      <c r="E103">
        <v>-76.721604999999997</v>
      </c>
      <c r="F103" s="2" t="s">
        <v>263</v>
      </c>
      <c r="G103">
        <v>1992</v>
      </c>
      <c r="I103">
        <v>2025</v>
      </c>
      <c r="J103">
        <v>15</v>
      </c>
      <c r="K103">
        <v>20</v>
      </c>
      <c r="M103" t="s">
        <v>247</v>
      </c>
      <c r="N103" t="s">
        <v>31</v>
      </c>
      <c r="O103" t="s">
        <v>47</v>
      </c>
      <c r="P103" t="s">
        <v>248</v>
      </c>
      <c r="Q103" t="s">
        <v>74</v>
      </c>
      <c r="R103" t="s">
        <v>35</v>
      </c>
      <c r="T103" t="s">
        <v>54</v>
      </c>
      <c r="U103" t="s">
        <v>238</v>
      </c>
      <c r="V103">
        <v>1</v>
      </c>
      <c r="W103" t="s">
        <v>255</v>
      </c>
      <c r="Z103" t="s">
        <v>259</v>
      </c>
      <c r="AA103" t="s">
        <v>44</v>
      </c>
      <c r="AB103" t="s">
        <v>45</v>
      </c>
    </row>
    <row r="104" spans="1:28" hidden="1" x14ac:dyDescent="0.2">
      <c r="A104" s="1">
        <v>45939</v>
      </c>
      <c r="B104" s="1">
        <v>45939</v>
      </c>
      <c r="C104" t="s">
        <v>244</v>
      </c>
      <c r="D104" t="s">
        <v>262</v>
      </c>
      <c r="E104">
        <v>-76.721604999999997</v>
      </c>
      <c r="F104" s="2" t="s">
        <v>263</v>
      </c>
      <c r="G104">
        <v>1992</v>
      </c>
      <c r="I104">
        <v>2025</v>
      </c>
      <c r="J104">
        <v>15</v>
      </c>
      <c r="K104">
        <v>20</v>
      </c>
      <c r="M104" t="s">
        <v>247</v>
      </c>
      <c r="N104" t="s">
        <v>31</v>
      </c>
      <c r="O104" t="s">
        <v>47</v>
      </c>
      <c r="P104" t="s">
        <v>248</v>
      </c>
      <c r="Q104" t="s">
        <v>74</v>
      </c>
      <c r="R104" t="s">
        <v>35</v>
      </c>
      <c r="T104" t="s">
        <v>54</v>
      </c>
      <c r="U104" t="s">
        <v>252</v>
      </c>
      <c r="V104">
        <v>1</v>
      </c>
      <c r="W104" t="s">
        <v>249</v>
      </c>
      <c r="Z104" t="s">
        <v>36</v>
      </c>
      <c r="AA104" t="s">
        <v>44</v>
      </c>
      <c r="AB104" t="s">
        <v>45</v>
      </c>
    </row>
    <row r="105" spans="1:28" hidden="1" x14ac:dyDescent="0.2">
      <c r="A105" s="1">
        <v>45939</v>
      </c>
      <c r="B105" s="1">
        <v>45939</v>
      </c>
      <c r="C105" t="s">
        <v>244</v>
      </c>
      <c r="D105" t="s">
        <v>264</v>
      </c>
      <c r="E105">
        <v>-76.721885</v>
      </c>
      <c r="F105" s="2" t="s">
        <v>265</v>
      </c>
      <c r="G105">
        <v>1992</v>
      </c>
      <c r="I105">
        <v>2025</v>
      </c>
      <c r="J105">
        <v>15</v>
      </c>
      <c r="K105">
        <v>20</v>
      </c>
      <c r="M105" t="s">
        <v>247</v>
      </c>
      <c r="N105" t="s">
        <v>31</v>
      </c>
      <c r="O105" t="s">
        <v>47</v>
      </c>
      <c r="P105" t="s">
        <v>248</v>
      </c>
      <c r="Q105" t="s">
        <v>74</v>
      </c>
      <c r="R105" t="s">
        <v>35</v>
      </c>
      <c r="T105" t="s">
        <v>54</v>
      </c>
      <c r="U105" t="s">
        <v>238</v>
      </c>
      <c r="V105">
        <v>1</v>
      </c>
      <c r="W105" t="s">
        <v>255</v>
      </c>
      <c r="Z105" t="s">
        <v>259</v>
      </c>
      <c r="AA105" t="s">
        <v>65</v>
      </c>
      <c r="AB105" t="s">
        <v>45</v>
      </c>
    </row>
    <row r="106" spans="1:28" hidden="1" x14ac:dyDescent="0.2">
      <c r="A106" s="1">
        <v>45939</v>
      </c>
      <c r="B106" s="1">
        <v>45939</v>
      </c>
      <c r="C106" t="s">
        <v>244</v>
      </c>
      <c r="D106" t="s">
        <v>266</v>
      </c>
      <c r="E106">
        <v>-76.721905000000007</v>
      </c>
      <c r="F106" s="2" t="s">
        <v>267</v>
      </c>
      <c r="G106">
        <v>1992</v>
      </c>
      <c r="I106">
        <v>2025</v>
      </c>
      <c r="J106">
        <v>15</v>
      </c>
      <c r="K106">
        <v>20</v>
      </c>
      <c r="M106" t="s">
        <v>247</v>
      </c>
      <c r="N106" t="s">
        <v>31</v>
      </c>
      <c r="O106" t="s">
        <v>47</v>
      </c>
      <c r="P106" t="s">
        <v>248</v>
      </c>
      <c r="Q106" t="s">
        <v>74</v>
      </c>
      <c r="R106" t="s">
        <v>35</v>
      </c>
      <c r="T106" t="s">
        <v>54</v>
      </c>
      <c r="U106" t="s">
        <v>252</v>
      </c>
      <c r="V106">
        <v>2</v>
      </c>
      <c r="W106" t="s">
        <v>249</v>
      </c>
      <c r="Z106" t="s">
        <v>259</v>
      </c>
      <c r="AA106" t="s">
        <v>160</v>
      </c>
      <c r="AB106" t="s">
        <v>45</v>
      </c>
    </row>
    <row r="107" spans="1:28" hidden="1" x14ac:dyDescent="0.2">
      <c r="A107" s="1">
        <v>45939</v>
      </c>
      <c r="B107" s="1">
        <v>45939</v>
      </c>
      <c r="C107" t="s">
        <v>244</v>
      </c>
      <c r="D107" t="s">
        <v>268</v>
      </c>
      <c r="E107">
        <v>-76.722006666666601</v>
      </c>
      <c r="F107" s="2" t="s">
        <v>269</v>
      </c>
      <c r="G107">
        <v>1992</v>
      </c>
      <c r="I107">
        <v>2025</v>
      </c>
      <c r="J107">
        <v>15</v>
      </c>
      <c r="K107">
        <v>20</v>
      </c>
      <c r="M107" t="s">
        <v>247</v>
      </c>
      <c r="N107" t="s">
        <v>31</v>
      </c>
      <c r="O107" t="s">
        <v>47</v>
      </c>
      <c r="P107" t="s">
        <v>248</v>
      </c>
      <c r="Q107" t="s">
        <v>74</v>
      </c>
      <c r="R107" t="s">
        <v>35</v>
      </c>
      <c r="T107" t="s">
        <v>54</v>
      </c>
      <c r="U107" t="s">
        <v>270</v>
      </c>
      <c r="V107">
        <v>1</v>
      </c>
      <c r="W107" t="s">
        <v>249</v>
      </c>
      <c r="Z107" t="s">
        <v>259</v>
      </c>
      <c r="AA107" t="s">
        <v>44</v>
      </c>
      <c r="AB107" t="s">
        <v>66</v>
      </c>
    </row>
    <row r="108" spans="1:28" hidden="1" x14ac:dyDescent="0.2">
      <c r="A108" s="1">
        <v>45939</v>
      </c>
      <c r="B108" s="1">
        <v>45939</v>
      </c>
      <c r="C108" t="s">
        <v>244</v>
      </c>
      <c r="D108" t="s">
        <v>268</v>
      </c>
      <c r="E108">
        <v>-76.722006666666601</v>
      </c>
      <c r="F108" s="2" t="s">
        <v>269</v>
      </c>
      <c r="G108">
        <v>1992</v>
      </c>
      <c r="I108">
        <v>2025</v>
      </c>
      <c r="J108">
        <v>15</v>
      </c>
      <c r="K108">
        <v>20</v>
      </c>
      <c r="M108" t="s">
        <v>247</v>
      </c>
      <c r="N108" t="s">
        <v>31</v>
      </c>
      <c r="O108" t="s">
        <v>47</v>
      </c>
      <c r="P108" t="s">
        <v>248</v>
      </c>
      <c r="Q108" t="s">
        <v>74</v>
      </c>
      <c r="R108" t="s">
        <v>35</v>
      </c>
      <c r="T108" t="s">
        <v>54</v>
      </c>
      <c r="U108" t="s">
        <v>238</v>
      </c>
      <c r="V108">
        <v>1</v>
      </c>
      <c r="W108" t="s">
        <v>249</v>
      </c>
      <c r="Z108" t="s">
        <v>36</v>
      </c>
      <c r="AA108" t="s">
        <v>44</v>
      </c>
      <c r="AB108" t="s">
        <v>45</v>
      </c>
    </row>
    <row r="109" spans="1:28" hidden="1" x14ac:dyDescent="0.2">
      <c r="A109" s="1">
        <v>45939</v>
      </c>
      <c r="B109" s="1">
        <v>45939</v>
      </c>
      <c r="C109" t="s">
        <v>244</v>
      </c>
      <c r="D109" t="s">
        <v>271</v>
      </c>
      <c r="E109">
        <v>-76.718909999999994</v>
      </c>
      <c r="F109">
        <v>3.4874849999999999</v>
      </c>
      <c r="G109">
        <v>1909</v>
      </c>
      <c r="I109">
        <v>2025</v>
      </c>
      <c r="J109">
        <v>5</v>
      </c>
      <c r="K109">
        <v>10</v>
      </c>
      <c r="M109" t="s">
        <v>247</v>
      </c>
      <c r="N109" t="s">
        <v>31</v>
      </c>
      <c r="O109" t="s">
        <v>58</v>
      </c>
      <c r="P109" t="s">
        <v>272</v>
      </c>
      <c r="Q109" t="s">
        <v>64</v>
      </c>
      <c r="R109" t="s">
        <v>273</v>
      </c>
      <c r="T109" t="s">
        <v>42</v>
      </c>
      <c r="U109" t="s">
        <v>274</v>
      </c>
      <c r="V109">
        <v>1</v>
      </c>
      <c r="W109" t="s">
        <v>275</v>
      </c>
      <c r="Z109" t="s">
        <v>259</v>
      </c>
      <c r="AA109" t="s">
        <v>65</v>
      </c>
      <c r="AB109" t="s">
        <v>66</v>
      </c>
    </row>
    <row r="110" spans="1:28" hidden="1" x14ac:dyDescent="0.2">
      <c r="A110" s="1">
        <v>45939</v>
      </c>
      <c r="B110" s="1">
        <v>45939</v>
      </c>
      <c r="C110" t="s">
        <v>244</v>
      </c>
      <c r="D110" t="s">
        <v>271</v>
      </c>
      <c r="E110">
        <v>-76.718909999999994</v>
      </c>
      <c r="F110">
        <v>3.4874849999999999</v>
      </c>
      <c r="G110">
        <v>1909</v>
      </c>
      <c r="I110">
        <v>2025</v>
      </c>
      <c r="J110">
        <v>5</v>
      </c>
      <c r="K110">
        <v>10</v>
      </c>
      <c r="M110" t="s">
        <v>247</v>
      </c>
      <c r="N110" t="s">
        <v>31</v>
      </c>
      <c r="O110" t="s">
        <v>58</v>
      </c>
      <c r="P110" t="s">
        <v>272</v>
      </c>
      <c r="Q110" t="s">
        <v>64</v>
      </c>
      <c r="R110" t="s">
        <v>273</v>
      </c>
      <c r="T110" t="s">
        <v>91</v>
      </c>
      <c r="U110" t="s">
        <v>252</v>
      </c>
      <c r="V110">
        <v>2</v>
      </c>
      <c r="W110" t="s">
        <v>275</v>
      </c>
      <c r="Z110" t="s">
        <v>259</v>
      </c>
      <c r="AA110" t="s">
        <v>65</v>
      </c>
      <c r="AB110" t="s">
        <v>66</v>
      </c>
    </row>
    <row r="111" spans="1:28" hidden="1" x14ac:dyDescent="0.2">
      <c r="A111" s="1">
        <v>45939</v>
      </c>
      <c r="B111" s="1">
        <v>45939</v>
      </c>
      <c r="C111" t="s">
        <v>244</v>
      </c>
      <c r="D111" t="s">
        <v>276</v>
      </c>
      <c r="E111">
        <v>-76.718778333333304</v>
      </c>
      <c r="F111">
        <v>3.4849649999999999</v>
      </c>
      <c r="G111">
        <v>1917</v>
      </c>
      <c r="H111">
        <v>2</v>
      </c>
      <c r="I111">
        <v>2025</v>
      </c>
      <c r="J111">
        <v>18</v>
      </c>
      <c r="K111">
        <v>20</v>
      </c>
      <c r="M111" t="s">
        <v>247</v>
      </c>
      <c r="N111" t="s">
        <v>31</v>
      </c>
      <c r="O111" t="s">
        <v>38</v>
      </c>
      <c r="P111" t="s">
        <v>272</v>
      </c>
      <c r="Q111" t="s">
        <v>86</v>
      </c>
      <c r="R111" t="s">
        <v>35</v>
      </c>
      <c r="T111" t="s">
        <v>91</v>
      </c>
      <c r="U111" t="s">
        <v>68</v>
      </c>
      <c r="V111">
        <v>1</v>
      </c>
      <c r="W111" t="s">
        <v>249</v>
      </c>
      <c r="Z111" t="s">
        <v>277</v>
      </c>
      <c r="AA111" t="s">
        <v>160</v>
      </c>
      <c r="AB111" t="s">
        <v>45</v>
      </c>
    </row>
    <row r="112" spans="1:28" hidden="1" x14ac:dyDescent="0.2">
      <c r="A112" s="1">
        <v>45939</v>
      </c>
      <c r="B112" s="1">
        <v>45939</v>
      </c>
      <c r="C112" t="s">
        <v>244</v>
      </c>
      <c r="D112" t="s">
        <v>278</v>
      </c>
      <c r="E112">
        <v>-76.723285000000004</v>
      </c>
      <c r="F112" s="2" t="s">
        <v>279</v>
      </c>
      <c r="G112">
        <v>2091</v>
      </c>
      <c r="I112">
        <v>2025</v>
      </c>
      <c r="J112">
        <v>25</v>
      </c>
      <c r="K112">
        <v>30</v>
      </c>
      <c r="M112" t="s">
        <v>247</v>
      </c>
      <c r="N112" t="s">
        <v>31</v>
      </c>
      <c r="O112" t="s">
        <v>58</v>
      </c>
      <c r="P112" t="s">
        <v>280</v>
      </c>
      <c r="Q112" t="s">
        <v>86</v>
      </c>
      <c r="R112" t="s">
        <v>35</v>
      </c>
      <c r="S112" t="s">
        <v>281</v>
      </c>
      <c r="T112" t="s">
        <v>54</v>
      </c>
      <c r="U112" t="s">
        <v>88</v>
      </c>
      <c r="V112">
        <v>1</v>
      </c>
      <c r="Z112" t="s">
        <v>36</v>
      </c>
      <c r="AA112" t="s">
        <v>44</v>
      </c>
      <c r="AB112" t="s">
        <v>45</v>
      </c>
    </row>
    <row r="113" spans="1:28" hidden="1" x14ac:dyDescent="0.2">
      <c r="A113" s="1">
        <v>45939</v>
      </c>
      <c r="B113" s="1">
        <v>45939</v>
      </c>
      <c r="C113" t="s">
        <v>244</v>
      </c>
      <c r="D113" t="s">
        <v>282</v>
      </c>
      <c r="E113">
        <v>-76.723201666666597</v>
      </c>
      <c r="F113" s="2" t="s">
        <v>283</v>
      </c>
      <c r="G113">
        <v>2053</v>
      </c>
      <c r="I113">
        <v>2025</v>
      </c>
      <c r="J113">
        <v>15</v>
      </c>
      <c r="K113">
        <v>20</v>
      </c>
      <c r="M113" t="s">
        <v>247</v>
      </c>
      <c r="N113" t="s">
        <v>31</v>
      </c>
      <c r="O113" t="s">
        <v>32</v>
      </c>
      <c r="P113" t="s">
        <v>248</v>
      </c>
      <c r="Q113" t="s">
        <v>64</v>
      </c>
      <c r="R113" t="s">
        <v>35</v>
      </c>
      <c r="T113" t="s">
        <v>91</v>
      </c>
      <c r="U113" t="s">
        <v>238</v>
      </c>
      <c r="V113">
        <v>1</v>
      </c>
      <c r="W113" t="s">
        <v>255</v>
      </c>
      <c r="Z113" t="s">
        <v>36</v>
      </c>
      <c r="AA113" t="s">
        <v>44</v>
      </c>
      <c r="AB113" t="s">
        <v>45</v>
      </c>
    </row>
    <row r="114" spans="1:28" hidden="1" x14ac:dyDescent="0.2">
      <c r="A114" s="1">
        <v>45939</v>
      </c>
      <c r="B114" s="1">
        <v>45939</v>
      </c>
      <c r="C114" t="s">
        <v>244</v>
      </c>
      <c r="D114" t="s">
        <v>284</v>
      </c>
      <c r="E114">
        <v>-76.723036666666601</v>
      </c>
      <c r="F114" s="2" t="s">
        <v>285</v>
      </c>
      <c r="G114">
        <v>2053</v>
      </c>
      <c r="I114">
        <v>2025</v>
      </c>
      <c r="J114">
        <v>15</v>
      </c>
      <c r="K114">
        <v>20</v>
      </c>
      <c r="M114" t="s">
        <v>247</v>
      </c>
      <c r="N114" t="s">
        <v>31</v>
      </c>
      <c r="O114" t="s">
        <v>32</v>
      </c>
      <c r="P114" t="s">
        <v>248</v>
      </c>
      <c r="Q114" t="s">
        <v>74</v>
      </c>
      <c r="R114" t="s">
        <v>35</v>
      </c>
      <c r="T114" t="s">
        <v>54</v>
      </c>
      <c r="U114" t="s">
        <v>238</v>
      </c>
      <c r="V114">
        <v>2</v>
      </c>
      <c r="W114" t="s">
        <v>286</v>
      </c>
      <c r="Z114" t="s">
        <v>36</v>
      </c>
      <c r="AA114" t="s">
        <v>44</v>
      </c>
      <c r="AB114" t="s">
        <v>45</v>
      </c>
    </row>
    <row r="115" spans="1:28" hidden="1" x14ac:dyDescent="0.2">
      <c r="A115" s="1">
        <v>45939</v>
      </c>
      <c r="B115" s="1">
        <v>45939</v>
      </c>
      <c r="C115" t="s">
        <v>244</v>
      </c>
      <c r="D115" t="s">
        <v>287</v>
      </c>
      <c r="E115">
        <v>-76.723011666666594</v>
      </c>
      <c r="F115" s="2" t="s">
        <v>288</v>
      </c>
      <c r="G115">
        <v>2053</v>
      </c>
      <c r="I115">
        <v>2025</v>
      </c>
      <c r="J115">
        <v>15</v>
      </c>
      <c r="K115">
        <v>20</v>
      </c>
      <c r="M115" t="s">
        <v>247</v>
      </c>
      <c r="N115" t="s">
        <v>31</v>
      </c>
      <c r="O115" t="s">
        <v>32</v>
      </c>
      <c r="P115" t="s">
        <v>248</v>
      </c>
      <c r="Q115" t="s">
        <v>64</v>
      </c>
      <c r="R115" t="s">
        <v>35</v>
      </c>
      <c r="T115" t="s">
        <v>91</v>
      </c>
      <c r="U115" t="s">
        <v>238</v>
      </c>
      <c r="V115">
        <v>2</v>
      </c>
      <c r="W115" t="s">
        <v>289</v>
      </c>
      <c r="Z115" t="s">
        <v>36</v>
      </c>
      <c r="AA115" t="s">
        <v>160</v>
      </c>
      <c r="AB115" t="s">
        <v>45</v>
      </c>
    </row>
    <row r="116" spans="1:28" hidden="1" x14ac:dyDescent="0.2">
      <c r="A116" s="1">
        <v>45939</v>
      </c>
      <c r="B116" s="1">
        <v>45939</v>
      </c>
      <c r="C116" t="s">
        <v>244</v>
      </c>
      <c r="D116" t="s">
        <v>290</v>
      </c>
      <c r="E116">
        <v>-76.717743333333303</v>
      </c>
      <c r="F116">
        <v>3.486205</v>
      </c>
      <c r="G116">
        <v>1908</v>
      </c>
      <c r="I116">
        <v>2025</v>
      </c>
      <c r="J116">
        <v>6</v>
      </c>
      <c r="K116">
        <v>20</v>
      </c>
      <c r="M116" t="s">
        <v>247</v>
      </c>
      <c r="N116" t="s">
        <v>31</v>
      </c>
      <c r="O116" t="s">
        <v>47</v>
      </c>
      <c r="P116" t="s">
        <v>272</v>
      </c>
      <c r="Q116" t="s">
        <v>86</v>
      </c>
      <c r="R116" t="s">
        <v>258</v>
      </c>
      <c r="T116" t="s">
        <v>91</v>
      </c>
      <c r="U116" t="s">
        <v>252</v>
      </c>
      <c r="V116">
        <v>1</v>
      </c>
      <c r="W116" t="s">
        <v>249</v>
      </c>
      <c r="Z116" t="s">
        <v>259</v>
      </c>
      <c r="AA116" t="s">
        <v>65</v>
      </c>
      <c r="AB116" t="s">
        <v>66</v>
      </c>
    </row>
    <row r="117" spans="1:28" hidden="1" x14ac:dyDescent="0.2">
      <c r="A117" s="1">
        <v>45939</v>
      </c>
      <c r="B117" s="1">
        <v>45939</v>
      </c>
      <c r="C117" t="s">
        <v>244</v>
      </c>
      <c r="D117" t="s">
        <v>291</v>
      </c>
      <c r="E117">
        <v>-76.718018333333305</v>
      </c>
      <c r="F117" s="2" t="s">
        <v>292</v>
      </c>
      <c r="G117">
        <v>1898</v>
      </c>
      <c r="I117">
        <v>2025</v>
      </c>
      <c r="J117">
        <v>15</v>
      </c>
      <c r="K117">
        <v>20</v>
      </c>
      <c r="M117" t="s">
        <v>247</v>
      </c>
      <c r="N117" t="s">
        <v>31</v>
      </c>
      <c r="O117" t="s">
        <v>40</v>
      </c>
      <c r="P117" t="s">
        <v>272</v>
      </c>
      <c r="Q117" t="s">
        <v>86</v>
      </c>
      <c r="R117" t="s">
        <v>35</v>
      </c>
      <c r="T117" t="s">
        <v>91</v>
      </c>
      <c r="U117" t="s">
        <v>293</v>
      </c>
      <c r="V117">
        <v>1</v>
      </c>
      <c r="W117" t="s">
        <v>249</v>
      </c>
      <c r="Z117" t="s">
        <v>36</v>
      </c>
      <c r="AA117" t="s">
        <v>44</v>
      </c>
      <c r="AB117" t="s">
        <v>45</v>
      </c>
    </row>
    <row r="118" spans="1:28" hidden="1" x14ac:dyDescent="0.2">
      <c r="A118" s="1">
        <v>45939</v>
      </c>
      <c r="B118" s="1">
        <v>45939</v>
      </c>
      <c r="C118" t="s">
        <v>244</v>
      </c>
      <c r="D118" t="s">
        <v>294</v>
      </c>
      <c r="E118">
        <v>-76.717903333333297</v>
      </c>
      <c r="F118" s="2" t="s">
        <v>295</v>
      </c>
      <c r="G118">
        <v>1898</v>
      </c>
      <c r="I118">
        <v>2025</v>
      </c>
      <c r="J118">
        <v>15</v>
      </c>
      <c r="K118">
        <v>20</v>
      </c>
      <c r="M118" t="s">
        <v>247</v>
      </c>
      <c r="N118" t="s">
        <v>31</v>
      </c>
      <c r="O118" t="s">
        <v>40</v>
      </c>
      <c r="P118" t="s">
        <v>272</v>
      </c>
      <c r="Q118" t="s">
        <v>86</v>
      </c>
      <c r="R118" t="s">
        <v>258</v>
      </c>
      <c r="T118" t="s">
        <v>54</v>
      </c>
      <c r="U118" t="s">
        <v>296</v>
      </c>
      <c r="V118">
        <v>1</v>
      </c>
      <c r="W118" t="s">
        <v>249</v>
      </c>
      <c r="Z118" t="s">
        <v>259</v>
      </c>
      <c r="AA118" t="s">
        <v>44</v>
      </c>
      <c r="AB118" t="s">
        <v>45</v>
      </c>
    </row>
    <row r="119" spans="1:28" hidden="1" x14ac:dyDescent="0.2">
      <c r="A119" s="1">
        <v>45939</v>
      </c>
      <c r="B119" s="1">
        <v>45939</v>
      </c>
      <c r="C119" t="s">
        <v>244</v>
      </c>
      <c r="D119" t="s">
        <v>297</v>
      </c>
      <c r="E119">
        <v>-76.717776666666595</v>
      </c>
      <c r="F119">
        <v>3.4852150000000002</v>
      </c>
      <c r="G119">
        <v>1898</v>
      </c>
      <c r="I119">
        <v>2025</v>
      </c>
      <c r="J119">
        <v>15</v>
      </c>
      <c r="K119">
        <v>20</v>
      </c>
      <c r="M119" t="s">
        <v>247</v>
      </c>
      <c r="N119" t="s">
        <v>31</v>
      </c>
      <c r="O119" t="s">
        <v>40</v>
      </c>
      <c r="P119" t="s">
        <v>272</v>
      </c>
      <c r="Q119" t="s">
        <v>86</v>
      </c>
      <c r="R119" t="s">
        <v>258</v>
      </c>
      <c r="T119" t="s">
        <v>54</v>
      </c>
      <c r="U119" t="s">
        <v>238</v>
      </c>
      <c r="V119">
        <v>1</v>
      </c>
      <c r="W119" t="s">
        <v>249</v>
      </c>
      <c r="Z119" t="s">
        <v>259</v>
      </c>
      <c r="AA119" t="s">
        <v>44</v>
      </c>
      <c r="AB119" t="s">
        <v>45</v>
      </c>
    </row>
    <row r="120" spans="1:28" hidden="1" x14ac:dyDescent="0.2">
      <c r="A120" s="1">
        <v>45939</v>
      </c>
      <c r="B120" s="1">
        <v>45939</v>
      </c>
      <c r="C120" t="s">
        <v>244</v>
      </c>
      <c r="D120" t="s">
        <v>298</v>
      </c>
      <c r="E120">
        <v>-76.717901666666606</v>
      </c>
      <c r="F120" s="2" t="s">
        <v>299</v>
      </c>
      <c r="G120">
        <v>1898</v>
      </c>
      <c r="I120">
        <v>2025</v>
      </c>
      <c r="J120">
        <v>15</v>
      </c>
      <c r="K120">
        <v>20</v>
      </c>
      <c r="M120" t="s">
        <v>247</v>
      </c>
      <c r="N120" t="s">
        <v>31</v>
      </c>
      <c r="O120" t="s">
        <v>40</v>
      </c>
      <c r="P120" t="s">
        <v>272</v>
      </c>
      <c r="Q120" t="s">
        <v>64</v>
      </c>
      <c r="R120" t="s">
        <v>258</v>
      </c>
      <c r="T120" t="s">
        <v>91</v>
      </c>
      <c r="U120" t="s">
        <v>296</v>
      </c>
      <c r="V120">
        <v>1</v>
      </c>
      <c r="W120" t="s">
        <v>255</v>
      </c>
      <c r="Z120" t="s">
        <v>259</v>
      </c>
      <c r="AA120" t="s">
        <v>44</v>
      </c>
      <c r="AB120" t="s">
        <v>45</v>
      </c>
    </row>
    <row r="121" spans="1:28" hidden="1" x14ac:dyDescent="0.2">
      <c r="A121" s="1">
        <v>45939</v>
      </c>
      <c r="B121" s="1">
        <v>45939</v>
      </c>
      <c r="C121" t="s">
        <v>244</v>
      </c>
      <c r="D121" t="s">
        <v>298</v>
      </c>
      <c r="E121">
        <v>-76.717901666666606</v>
      </c>
      <c r="F121" s="2" t="s">
        <v>299</v>
      </c>
      <c r="G121">
        <v>1898</v>
      </c>
      <c r="I121">
        <v>2025</v>
      </c>
      <c r="J121">
        <v>15</v>
      </c>
      <c r="K121">
        <v>20</v>
      </c>
      <c r="M121" t="s">
        <v>247</v>
      </c>
      <c r="N121" t="s">
        <v>31</v>
      </c>
      <c r="O121" t="s">
        <v>40</v>
      </c>
      <c r="P121" t="s">
        <v>272</v>
      </c>
      <c r="Q121" t="s">
        <v>86</v>
      </c>
      <c r="R121" t="s">
        <v>258</v>
      </c>
      <c r="T121" t="s">
        <v>91</v>
      </c>
      <c r="U121" t="s">
        <v>88</v>
      </c>
      <c r="V121">
        <v>1</v>
      </c>
      <c r="W121" t="s">
        <v>300</v>
      </c>
      <c r="Z121" t="s">
        <v>259</v>
      </c>
      <c r="AA121" t="s">
        <v>44</v>
      </c>
      <c r="AB121" t="s">
        <v>45</v>
      </c>
    </row>
    <row r="122" spans="1:28" hidden="1" x14ac:dyDescent="0.2">
      <c r="A122" s="1">
        <v>45939</v>
      </c>
      <c r="B122" s="1">
        <v>45939</v>
      </c>
      <c r="C122" t="s">
        <v>244</v>
      </c>
      <c r="D122" t="s">
        <v>301</v>
      </c>
      <c r="E122">
        <v>-76.717848333333293</v>
      </c>
      <c r="F122" s="2" t="s">
        <v>302</v>
      </c>
      <c r="G122">
        <v>1898</v>
      </c>
      <c r="I122">
        <v>2025</v>
      </c>
      <c r="J122">
        <v>15</v>
      </c>
      <c r="K122">
        <v>20</v>
      </c>
      <c r="M122" t="s">
        <v>247</v>
      </c>
      <c r="N122" t="s">
        <v>31</v>
      </c>
      <c r="O122" t="s">
        <v>40</v>
      </c>
      <c r="P122" t="s">
        <v>272</v>
      </c>
      <c r="Q122" t="s">
        <v>86</v>
      </c>
      <c r="R122" t="s">
        <v>258</v>
      </c>
      <c r="T122" t="s">
        <v>91</v>
      </c>
      <c r="U122" t="s">
        <v>252</v>
      </c>
      <c r="V122">
        <v>1</v>
      </c>
      <c r="W122" t="s">
        <v>249</v>
      </c>
      <c r="Z122" t="s">
        <v>259</v>
      </c>
      <c r="AA122" t="s">
        <v>65</v>
      </c>
      <c r="AB122" t="s">
        <v>45</v>
      </c>
    </row>
    <row r="123" spans="1:28" hidden="1" x14ac:dyDescent="0.2">
      <c r="A123" s="1">
        <v>45939</v>
      </c>
      <c r="B123" s="1">
        <v>45939</v>
      </c>
      <c r="C123" t="s">
        <v>244</v>
      </c>
      <c r="D123" t="s">
        <v>303</v>
      </c>
      <c r="E123">
        <v>-76.717889999999997</v>
      </c>
      <c r="F123" s="2" t="s">
        <v>304</v>
      </c>
      <c r="G123">
        <v>1898</v>
      </c>
      <c r="I123">
        <v>2025</v>
      </c>
      <c r="J123">
        <v>15</v>
      </c>
      <c r="K123">
        <v>20</v>
      </c>
      <c r="M123" t="s">
        <v>247</v>
      </c>
      <c r="N123" t="s">
        <v>31</v>
      </c>
      <c r="O123" t="s">
        <v>40</v>
      </c>
      <c r="P123" t="s">
        <v>272</v>
      </c>
      <c r="Q123" t="s">
        <v>86</v>
      </c>
      <c r="R123" t="s">
        <v>258</v>
      </c>
      <c r="T123" t="s">
        <v>91</v>
      </c>
      <c r="U123" t="s">
        <v>252</v>
      </c>
      <c r="V123">
        <v>1</v>
      </c>
      <c r="W123" t="s">
        <v>249</v>
      </c>
      <c r="Z123" t="s">
        <v>259</v>
      </c>
      <c r="AA123" t="s">
        <v>65</v>
      </c>
      <c r="AB123" t="s">
        <v>45</v>
      </c>
    </row>
    <row r="124" spans="1:28" hidden="1" x14ac:dyDescent="0.2">
      <c r="A124" s="1">
        <v>45939</v>
      </c>
      <c r="B124" s="1">
        <v>45939</v>
      </c>
      <c r="C124" t="s">
        <v>244</v>
      </c>
      <c r="D124" t="s">
        <v>305</v>
      </c>
      <c r="E124">
        <v>-76.717789999999994</v>
      </c>
      <c r="F124" s="2" t="s">
        <v>306</v>
      </c>
      <c r="G124">
        <v>1898</v>
      </c>
      <c r="I124">
        <v>2025</v>
      </c>
      <c r="J124">
        <v>15</v>
      </c>
      <c r="K124">
        <v>20</v>
      </c>
      <c r="M124" t="s">
        <v>247</v>
      </c>
      <c r="N124" t="s">
        <v>31</v>
      </c>
      <c r="O124" t="s">
        <v>40</v>
      </c>
      <c r="P124" t="s">
        <v>272</v>
      </c>
      <c r="Q124" t="s">
        <v>86</v>
      </c>
      <c r="R124" t="s">
        <v>258</v>
      </c>
      <c r="T124" t="s">
        <v>91</v>
      </c>
      <c r="U124" t="s">
        <v>252</v>
      </c>
      <c r="V124">
        <v>1</v>
      </c>
      <c r="W124" t="s">
        <v>249</v>
      </c>
      <c r="Z124" t="s">
        <v>259</v>
      </c>
      <c r="AA124" t="s">
        <v>65</v>
      </c>
      <c r="AB124" t="s">
        <v>45</v>
      </c>
    </row>
    <row r="125" spans="1:28" hidden="1" x14ac:dyDescent="0.2">
      <c r="A125" s="1">
        <v>45938</v>
      </c>
      <c r="B125" s="1">
        <v>45938</v>
      </c>
      <c r="C125" t="s">
        <v>244</v>
      </c>
      <c r="D125" t="s">
        <v>307</v>
      </c>
      <c r="E125">
        <v>-76.722663333333301</v>
      </c>
      <c r="F125" s="2" t="s">
        <v>308</v>
      </c>
      <c r="G125">
        <v>2125</v>
      </c>
      <c r="I125">
        <v>2025</v>
      </c>
      <c r="J125">
        <v>20</v>
      </c>
      <c r="K125">
        <v>20</v>
      </c>
      <c r="M125" t="s">
        <v>247</v>
      </c>
      <c r="N125" t="s">
        <v>31</v>
      </c>
      <c r="O125" t="s">
        <v>38</v>
      </c>
      <c r="P125" t="s">
        <v>280</v>
      </c>
      <c r="Q125" t="s">
        <v>86</v>
      </c>
      <c r="R125" t="s">
        <v>35</v>
      </c>
      <c r="T125" t="s">
        <v>54</v>
      </c>
      <c r="U125" t="s">
        <v>88</v>
      </c>
      <c r="V125">
        <v>1</v>
      </c>
      <c r="W125" t="s">
        <v>249</v>
      </c>
      <c r="Z125" t="s">
        <v>36</v>
      </c>
      <c r="AA125" t="s">
        <v>44</v>
      </c>
      <c r="AB125" t="s">
        <v>45</v>
      </c>
    </row>
    <row r="126" spans="1:28" hidden="1" x14ac:dyDescent="0.2">
      <c r="A126" s="1">
        <v>45938</v>
      </c>
      <c r="B126" s="1">
        <v>45938</v>
      </c>
      <c r="C126" t="s">
        <v>244</v>
      </c>
      <c r="D126" t="s">
        <v>309</v>
      </c>
      <c r="E126">
        <v>-76.722706666666596</v>
      </c>
      <c r="F126" s="2" t="s">
        <v>310</v>
      </c>
      <c r="G126">
        <v>2125</v>
      </c>
      <c r="I126">
        <v>2025</v>
      </c>
      <c r="J126">
        <v>20</v>
      </c>
      <c r="K126">
        <v>20</v>
      </c>
      <c r="M126" t="s">
        <v>247</v>
      </c>
      <c r="N126" t="s">
        <v>31</v>
      </c>
      <c r="O126" t="s">
        <v>38</v>
      </c>
      <c r="P126" t="s">
        <v>280</v>
      </c>
      <c r="Q126" t="s">
        <v>86</v>
      </c>
      <c r="R126" t="s">
        <v>35</v>
      </c>
      <c r="T126" t="s">
        <v>54</v>
      </c>
      <c r="U126" t="s">
        <v>88</v>
      </c>
      <c r="V126">
        <v>1</v>
      </c>
      <c r="W126" t="s">
        <v>255</v>
      </c>
      <c r="Z126" t="s">
        <v>36</v>
      </c>
      <c r="AA126" t="s">
        <v>44</v>
      </c>
      <c r="AB126" t="s">
        <v>45</v>
      </c>
    </row>
    <row r="127" spans="1:28" hidden="1" x14ac:dyDescent="0.2">
      <c r="A127" s="1">
        <v>45938</v>
      </c>
      <c r="B127" s="1">
        <v>45938</v>
      </c>
      <c r="C127" t="s">
        <v>244</v>
      </c>
      <c r="D127" t="s">
        <v>311</v>
      </c>
      <c r="E127">
        <v>-76.722446666666599</v>
      </c>
      <c r="F127" s="2" t="s">
        <v>312</v>
      </c>
      <c r="G127">
        <v>2125</v>
      </c>
      <c r="I127">
        <v>2025</v>
      </c>
      <c r="J127">
        <v>20</v>
      </c>
      <c r="K127">
        <v>20</v>
      </c>
      <c r="M127" t="s">
        <v>247</v>
      </c>
      <c r="N127" t="s">
        <v>31</v>
      </c>
      <c r="O127" t="s">
        <v>38</v>
      </c>
      <c r="P127" t="s">
        <v>280</v>
      </c>
      <c r="Q127" t="s">
        <v>86</v>
      </c>
      <c r="T127" t="s">
        <v>54</v>
      </c>
      <c r="U127" t="s">
        <v>313</v>
      </c>
      <c r="V127">
        <v>1</v>
      </c>
      <c r="W127" t="s">
        <v>255</v>
      </c>
      <c r="Z127" t="s">
        <v>36</v>
      </c>
      <c r="AA127" t="s">
        <v>44</v>
      </c>
      <c r="AB127" t="s">
        <v>45</v>
      </c>
    </row>
    <row r="128" spans="1:28" hidden="1" x14ac:dyDescent="0.2">
      <c r="A128" s="1">
        <v>45938</v>
      </c>
      <c r="B128" s="1">
        <v>45938</v>
      </c>
      <c r="C128" t="s">
        <v>244</v>
      </c>
      <c r="D128" t="s">
        <v>314</v>
      </c>
      <c r="E128">
        <v>-76.722446666666599</v>
      </c>
      <c r="F128" s="2" t="s">
        <v>315</v>
      </c>
      <c r="G128">
        <v>2125</v>
      </c>
      <c r="I128">
        <v>2025</v>
      </c>
      <c r="J128">
        <v>20</v>
      </c>
      <c r="K128">
        <v>20</v>
      </c>
      <c r="M128" t="s">
        <v>247</v>
      </c>
      <c r="N128" t="s">
        <v>31</v>
      </c>
      <c r="O128" t="s">
        <v>38</v>
      </c>
      <c r="P128" t="s">
        <v>280</v>
      </c>
      <c r="Q128" t="s">
        <v>86</v>
      </c>
      <c r="R128" t="s">
        <v>35</v>
      </c>
      <c r="S128" t="s">
        <v>281</v>
      </c>
      <c r="T128" t="s">
        <v>91</v>
      </c>
      <c r="U128" t="s">
        <v>316</v>
      </c>
      <c r="V128">
        <v>1</v>
      </c>
      <c r="Z128" t="s">
        <v>36</v>
      </c>
      <c r="AA128" t="s">
        <v>44</v>
      </c>
      <c r="AB128" t="s">
        <v>45</v>
      </c>
    </row>
    <row r="129" spans="1:28" hidden="1" x14ac:dyDescent="0.2">
      <c r="A129" s="1">
        <v>45938</v>
      </c>
      <c r="B129" s="1">
        <v>45938</v>
      </c>
      <c r="C129" t="s">
        <v>244</v>
      </c>
      <c r="D129" t="s">
        <v>314</v>
      </c>
      <c r="E129">
        <v>-76.722446666666599</v>
      </c>
      <c r="F129" s="2" t="s">
        <v>315</v>
      </c>
      <c r="G129">
        <v>2125</v>
      </c>
      <c r="I129">
        <v>2025</v>
      </c>
      <c r="J129">
        <v>20</v>
      </c>
      <c r="K129">
        <v>20</v>
      </c>
      <c r="M129" t="s">
        <v>247</v>
      </c>
      <c r="N129" t="s">
        <v>31</v>
      </c>
      <c r="O129" t="s">
        <v>38</v>
      </c>
      <c r="P129" t="s">
        <v>280</v>
      </c>
      <c r="Q129" t="s">
        <v>86</v>
      </c>
      <c r="R129" t="s">
        <v>35</v>
      </c>
      <c r="S129" t="s">
        <v>48</v>
      </c>
      <c r="T129" t="s">
        <v>54</v>
      </c>
      <c r="U129" t="s">
        <v>313</v>
      </c>
      <c r="V129">
        <v>1</v>
      </c>
      <c r="Z129" t="s">
        <v>36</v>
      </c>
      <c r="AA129" t="s">
        <v>44</v>
      </c>
      <c r="AB129" t="s">
        <v>45</v>
      </c>
    </row>
    <row r="130" spans="1:28" s="11" customFormat="1" hidden="1" x14ac:dyDescent="0.2">
      <c r="A130" s="10">
        <v>45938</v>
      </c>
      <c r="B130" s="10">
        <v>45938</v>
      </c>
      <c r="C130" s="11" t="s">
        <v>244</v>
      </c>
      <c r="D130" s="11" t="s">
        <v>317</v>
      </c>
      <c r="E130" s="11">
        <v>-76.722461666666604</v>
      </c>
      <c r="F130" s="12" t="s">
        <v>318</v>
      </c>
      <c r="G130" s="11">
        <v>2125</v>
      </c>
      <c r="I130" s="11">
        <v>2025</v>
      </c>
      <c r="J130" s="11">
        <v>20</v>
      </c>
      <c r="K130" s="11">
        <v>20</v>
      </c>
      <c r="M130" s="11" t="s">
        <v>247</v>
      </c>
      <c r="N130" s="11" t="s">
        <v>31</v>
      </c>
      <c r="O130" s="11" t="s">
        <v>38</v>
      </c>
      <c r="P130" s="11" t="s">
        <v>280</v>
      </c>
      <c r="Q130" s="11" t="s">
        <v>86</v>
      </c>
      <c r="R130" s="11" t="s">
        <v>35</v>
      </c>
      <c r="T130" s="11" t="s">
        <v>54</v>
      </c>
      <c r="U130" s="11" t="s">
        <v>137</v>
      </c>
      <c r="V130" s="11">
        <v>1</v>
      </c>
      <c r="W130" s="11" t="s">
        <v>319</v>
      </c>
      <c r="X130" s="11" t="s">
        <v>320</v>
      </c>
      <c r="Z130" s="11" t="s">
        <v>36</v>
      </c>
      <c r="AA130" s="11" t="s">
        <v>44</v>
      </c>
      <c r="AB130" s="11" t="s">
        <v>45</v>
      </c>
    </row>
    <row r="131" spans="1:28" hidden="1" x14ac:dyDescent="0.2">
      <c r="A131" s="1">
        <v>45938</v>
      </c>
      <c r="B131" s="1">
        <v>45938</v>
      </c>
      <c r="C131" t="s">
        <v>244</v>
      </c>
      <c r="D131" t="s">
        <v>321</v>
      </c>
      <c r="E131">
        <v>-76.722443333333302</v>
      </c>
      <c r="F131" s="2" t="s">
        <v>322</v>
      </c>
      <c r="G131">
        <v>2125</v>
      </c>
      <c r="I131">
        <v>2025</v>
      </c>
      <c r="J131">
        <v>20</v>
      </c>
      <c r="K131">
        <v>20</v>
      </c>
      <c r="M131" t="s">
        <v>247</v>
      </c>
      <c r="N131" t="s">
        <v>31</v>
      </c>
      <c r="O131" t="s">
        <v>38</v>
      </c>
      <c r="P131" t="s">
        <v>280</v>
      </c>
      <c r="Q131" t="s">
        <v>86</v>
      </c>
      <c r="R131" t="s">
        <v>35</v>
      </c>
      <c r="T131" t="s">
        <v>54</v>
      </c>
      <c r="U131" t="s">
        <v>293</v>
      </c>
      <c r="V131">
        <v>1</v>
      </c>
      <c r="W131" t="s">
        <v>255</v>
      </c>
      <c r="Z131" t="s">
        <v>36</v>
      </c>
      <c r="AA131" t="s">
        <v>44</v>
      </c>
      <c r="AB131" t="s">
        <v>45</v>
      </c>
    </row>
    <row r="132" spans="1:28" hidden="1" x14ac:dyDescent="0.2">
      <c r="A132" s="1">
        <v>45938</v>
      </c>
      <c r="B132" s="1">
        <v>45938</v>
      </c>
      <c r="C132" t="s">
        <v>244</v>
      </c>
      <c r="D132" t="s">
        <v>323</v>
      </c>
      <c r="E132">
        <v>-76.722351666666597</v>
      </c>
      <c r="F132" s="2" t="s">
        <v>324</v>
      </c>
      <c r="G132">
        <v>2125</v>
      </c>
      <c r="I132">
        <v>2025</v>
      </c>
      <c r="J132">
        <v>20</v>
      </c>
      <c r="K132">
        <v>20</v>
      </c>
      <c r="M132" t="s">
        <v>247</v>
      </c>
      <c r="N132" t="s">
        <v>31</v>
      </c>
      <c r="O132" t="s">
        <v>38</v>
      </c>
      <c r="P132" t="s">
        <v>280</v>
      </c>
      <c r="Q132" t="s">
        <v>86</v>
      </c>
      <c r="R132" t="s">
        <v>35</v>
      </c>
      <c r="T132" t="s">
        <v>54</v>
      </c>
      <c r="U132" t="s">
        <v>88</v>
      </c>
      <c r="V132">
        <v>1</v>
      </c>
      <c r="W132" t="s">
        <v>255</v>
      </c>
      <c r="Z132" t="s">
        <v>36</v>
      </c>
      <c r="AA132" t="s">
        <v>44</v>
      </c>
      <c r="AB132" t="s">
        <v>45</v>
      </c>
    </row>
    <row r="133" spans="1:28" hidden="1" x14ac:dyDescent="0.2">
      <c r="A133" s="1">
        <v>45938</v>
      </c>
      <c r="B133" s="1">
        <v>45938</v>
      </c>
      <c r="C133" t="s">
        <v>244</v>
      </c>
      <c r="D133" t="s">
        <v>325</v>
      </c>
      <c r="E133">
        <v>-76.722333333333296</v>
      </c>
      <c r="F133">
        <v>3.4772349999999999</v>
      </c>
      <c r="G133">
        <v>2125</v>
      </c>
      <c r="I133">
        <v>2025</v>
      </c>
      <c r="J133">
        <v>20</v>
      </c>
      <c r="K133">
        <v>20</v>
      </c>
      <c r="M133" t="s">
        <v>247</v>
      </c>
      <c r="N133" t="s">
        <v>31</v>
      </c>
      <c r="O133" t="s">
        <v>38</v>
      </c>
      <c r="P133" t="s">
        <v>280</v>
      </c>
      <c r="Q133" t="s">
        <v>86</v>
      </c>
      <c r="R133" t="s">
        <v>35</v>
      </c>
      <c r="T133" t="s">
        <v>54</v>
      </c>
      <c r="U133" t="s">
        <v>88</v>
      </c>
      <c r="V133">
        <v>1</v>
      </c>
      <c r="W133" t="s">
        <v>249</v>
      </c>
      <c r="Z133" t="s">
        <v>36</v>
      </c>
      <c r="AA133" t="s">
        <v>44</v>
      </c>
      <c r="AB133" t="s">
        <v>45</v>
      </c>
    </row>
    <row r="134" spans="1:28" hidden="1" x14ac:dyDescent="0.2">
      <c r="A134" s="1">
        <v>45938</v>
      </c>
      <c r="B134" s="1">
        <v>45938</v>
      </c>
      <c r="C134" t="s">
        <v>244</v>
      </c>
      <c r="D134" t="s">
        <v>326</v>
      </c>
      <c r="E134">
        <v>-76.722323333333307</v>
      </c>
      <c r="F134">
        <v>3.4771999999999998</v>
      </c>
      <c r="G134">
        <v>2125</v>
      </c>
      <c r="I134">
        <v>2025</v>
      </c>
      <c r="J134">
        <v>20</v>
      </c>
      <c r="K134">
        <v>20</v>
      </c>
      <c r="M134" t="s">
        <v>247</v>
      </c>
      <c r="N134" t="s">
        <v>31</v>
      </c>
      <c r="O134" t="s">
        <v>38</v>
      </c>
      <c r="P134" t="s">
        <v>280</v>
      </c>
      <c r="Q134" t="s">
        <v>86</v>
      </c>
      <c r="R134" t="s">
        <v>35</v>
      </c>
      <c r="T134" t="s">
        <v>54</v>
      </c>
      <c r="U134" t="s">
        <v>296</v>
      </c>
      <c r="V134">
        <v>1</v>
      </c>
      <c r="W134" t="s">
        <v>255</v>
      </c>
      <c r="Z134" t="s">
        <v>36</v>
      </c>
      <c r="AA134" t="s">
        <v>44</v>
      </c>
      <c r="AB134" t="s">
        <v>45</v>
      </c>
    </row>
    <row r="135" spans="1:28" hidden="1" x14ac:dyDescent="0.2">
      <c r="A135" s="1">
        <v>45938</v>
      </c>
      <c r="B135" s="1">
        <v>45939</v>
      </c>
      <c r="C135" t="s">
        <v>244</v>
      </c>
      <c r="D135" t="s">
        <v>327</v>
      </c>
      <c r="E135">
        <v>-76.723228333333296</v>
      </c>
      <c r="F135" s="2" t="s">
        <v>328</v>
      </c>
      <c r="G135">
        <v>2100</v>
      </c>
      <c r="I135">
        <v>2025</v>
      </c>
      <c r="J135">
        <v>25</v>
      </c>
      <c r="K135">
        <v>40</v>
      </c>
      <c r="M135" t="s">
        <v>247</v>
      </c>
      <c r="N135" t="s">
        <v>31</v>
      </c>
      <c r="O135" t="s">
        <v>47</v>
      </c>
      <c r="P135" t="s">
        <v>280</v>
      </c>
      <c r="Q135" t="s">
        <v>86</v>
      </c>
      <c r="R135" t="s">
        <v>35</v>
      </c>
      <c r="T135" t="s">
        <v>91</v>
      </c>
      <c r="U135" t="s">
        <v>88</v>
      </c>
      <c r="V135">
        <v>2</v>
      </c>
      <c r="W135" t="s">
        <v>329</v>
      </c>
      <c r="Z135" t="s">
        <v>36</v>
      </c>
      <c r="AA135" t="s">
        <v>160</v>
      </c>
      <c r="AB135" t="s">
        <v>45</v>
      </c>
    </row>
    <row r="136" spans="1:28" hidden="1" x14ac:dyDescent="0.2">
      <c r="A136" s="1">
        <v>45938</v>
      </c>
      <c r="B136" s="1">
        <v>45939</v>
      </c>
      <c r="C136" t="s">
        <v>244</v>
      </c>
      <c r="D136" t="s">
        <v>330</v>
      </c>
      <c r="E136">
        <v>-76.723134999999999</v>
      </c>
      <c r="F136" s="2" t="s">
        <v>331</v>
      </c>
      <c r="G136">
        <v>2100</v>
      </c>
      <c r="I136">
        <v>2025</v>
      </c>
      <c r="J136">
        <v>25</v>
      </c>
      <c r="K136">
        <v>40</v>
      </c>
      <c r="M136" t="s">
        <v>247</v>
      </c>
      <c r="N136" t="s">
        <v>31</v>
      </c>
      <c r="O136" t="s">
        <v>47</v>
      </c>
      <c r="P136" t="s">
        <v>280</v>
      </c>
      <c r="Q136" t="s">
        <v>86</v>
      </c>
      <c r="R136" t="s">
        <v>35</v>
      </c>
      <c r="T136" t="s">
        <v>54</v>
      </c>
      <c r="U136" t="s">
        <v>36</v>
      </c>
      <c r="V136">
        <v>1</v>
      </c>
      <c r="W136" t="s">
        <v>249</v>
      </c>
      <c r="Z136" t="s">
        <v>36</v>
      </c>
      <c r="AA136" t="s">
        <v>44</v>
      </c>
      <c r="AB136" t="s">
        <v>45</v>
      </c>
    </row>
    <row r="137" spans="1:28" hidden="1" x14ac:dyDescent="0.2">
      <c r="A137" s="1">
        <v>45938</v>
      </c>
      <c r="B137" s="1">
        <v>45939</v>
      </c>
      <c r="C137" t="s">
        <v>244</v>
      </c>
      <c r="D137" t="s">
        <v>330</v>
      </c>
      <c r="E137">
        <v>-76.723134999999999</v>
      </c>
      <c r="F137" s="2" t="s">
        <v>331</v>
      </c>
      <c r="G137">
        <v>2100</v>
      </c>
      <c r="I137">
        <v>2025</v>
      </c>
      <c r="J137">
        <v>25</v>
      </c>
      <c r="K137">
        <v>40</v>
      </c>
      <c r="M137" t="s">
        <v>247</v>
      </c>
      <c r="N137" t="s">
        <v>31</v>
      </c>
      <c r="O137" t="s">
        <v>47</v>
      </c>
      <c r="P137" t="s">
        <v>280</v>
      </c>
      <c r="Q137" t="s">
        <v>86</v>
      </c>
      <c r="R137" t="s">
        <v>35</v>
      </c>
      <c r="T137" t="s">
        <v>54</v>
      </c>
      <c r="U137" t="s">
        <v>296</v>
      </c>
      <c r="V137">
        <v>1</v>
      </c>
      <c r="W137" t="s">
        <v>255</v>
      </c>
      <c r="Z137" t="s">
        <v>36</v>
      </c>
      <c r="AA137" t="s">
        <v>44</v>
      </c>
      <c r="AB137" t="s">
        <v>45</v>
      </c>
    </row>
    <row r="138" spans="1:28" hidden="1" x14ac:dyDescent="0.2">
      <c r="A138" s="1">
        <v>45938</v>
      </c>
      <c r="B138" s="1">
        <v>45939</v>
      </c>
      <c r="C138" t="s">
        <v>244</v>
      </c>
      <c r="D138" t="s">
        <v>332</v>
      </c>
      <c r="E138">
        <v>-76.723141666666606</v>
      </c>
      <c r="F138" s="2" t="s">
        <v>333</v>
      </c>
      <c r="G138">
        <v>2100</v>
      </c>
      <c r="I138">
        <v>2025</v>
      </c>
      <c r="J138">
        <v>25</v>
      </c>
      <c r="K138">
        <v>40</v>
      </c>
      <c r="M138" t="s">
        <v>247</v>
      </c>
      <c r="N138" t="s">
        <v>31</v>
      </c>
      <c r="O138" t="s">
        <v>47</v>
      </c>
      <c r="P138" t="s">
        <v>280</v>
      </c>
      <c r="Q138" t="s">
        <v>86</v>
      </c>
      <c r="R138" t="s">
        <v>35</v>
      </c>
      <c r="T138" t="s">
        <v>54</v>
      </c>
      <c r="U138" t="s">
        <v>88</v>
      </c>
      <c r="V138">
        <v>1</v>
      </c>
      <c r="W138" t="s">
        <v>249</v>
      </c>
      <c r="Z138" t="s">
        <v>36</v>
      </c>
      <c r="AA138" t="s">
        <v>44</v>
      </c>
      <c r="AB138" t="s">
        <v>45</v>
      </c>
    </row>
    <row r="139" spans="1:28" hidden="1" x14ac:dyDescent="0.2">
      <c r="A139" s="1">
        <v>45938</v>
      </c>
      <c r="B139" s="1">
        <v>45939</v>
      </c>
      <c r="C139" t="s">
        <v>244</v>
      </c>
      <c r="D139" t="s">
        <v>334</v>
      </c>
      <c r="E139">
        <v>-76.723086666666603</v>
      </c>
      <c r="F139" s="2" t="s">
        <v>335</v>
      </c>
      <c r="G139">
        <v>2100</v>
      </c>
      <c r="I139">
        <v>2025</v>
      </c>
      <c r="J139">
        <v>25</v>
      </c>
      <c r="K139">
        <v>40</v>
      </c>
      <c r="M139" t="s">
        <v>247</v>
      </c>
      <c r="N139" t="s">
        <v>31</v>
      </c>
      <c r="O139" t="s">
        <v>47</v>
      </c>
      <c r="P139" t="s">
        <v>280</v>
      </c>
      <c r="Q139" t="s">
        <v>86</v>
      </c>
      <c r="R139" t="s">
        <v>35</v>
      </c>
      <c r="T139" t="s">
        <v>54</v>
      </c>
      <c r="U139" t="s">
        <v>88</v>
      </c>
      <c r="V139">
        <v>1</v>
      </c>
      <c r="W139" t="s">
        <v>255</v>
      </c>
      <c r="Z139" t="s">
        <v>36</v>
      </c>
      <c r="AA139" t="s">
        <v>44</v>
      </c>
      <c r="AB139" t="s">
        <v>45</v>
      </c>
    </row>
    <row r="140" spans="1:28" hidden="1" x14ac:dyDescent="0.2">
      <c r="A140" s="1">
        <v>45938</v>
      </c>
      <c r="B140" s="1">
        <v>45939</v>
      </c>
      <c r="C140" t="s">
        <v>244</v>
      </c>
      <c r="D140" t="s">
        <v>336</v>
      </c>
      <c r="E140">
        <v>-76.723011666666594</v>
      </c>
      <c r="F140" s="2" t="s">
        <v>337</v>
      </c>
      <c r="G140">
        <v>2100</v>
      </c>
      <c r="I140">
        <v>2025</v>
      </c>
      <c r="J140">
        <v>25</v>
      </c>
      <c r="K140">
        <v>40</v>
      </c>
      <c r="M140" t="s">
        <v>247</v>
      </c>
      <c r="N140" t="s">
        <v>31</v>
      </c>
      <c r="O140" t="s">
        <v>47</v>
      </c>
      <c r="P140" t="s">
        <v>280</v>
      </c>
      <c r="Q140" t="s">
        <v>86</v>
      </c>
      <c r="R140" t="s">
        <v>35</v>
      </c>
      <c r="T140" t="s">
        <v>54</v>
      </c>
      <c r="U140" t="s">
        <v>252</v>
      </c>
      <c r="V140">
        <v>1</v>
      </c>
      <c r="W140" t="s">
        <v>249</v>
      </c>
      <c r="Z140" t="s">
        <v>36</v>
      </c>
      <c r="AA140" t="s">
        <v>44</v>
      </c>
      <c r="AB140" t="s">
        <v>66</v>
      </c>
    </row>
    <row r="141" spans="1:28" hidden="1" x14ac:dyDescent="0.2">
      <c r="A141" s="1">
        <v>45938</v>
      </c>
      <c r="B141" s="1">
        <v>45939</v>
      </c>
      <c r="C141" t="s">
        <v>244</v>
      </c>
      <c r="D141" t="s">
        <v>336</v>
      </c>
      <c r="E141">
        <v>-76.723011666666594</v>
      </c>
      <c r="F141" s="2" t="s">
        <v>337</v>
      </c>
      <c r="G141">
        <v>2100</v>
      </c>
      <c r="I141">
        <v>2025</v>
      </c>
      <c r="J141">
        <v>25</v>
      </c>
      <c r="K141">
        <v>40</v>
      </c>
      <c r="M141" t="s">
        <v>247</v>
      </c>
      <c r="N141" t="s">
        <v>31</v>
      </c>
      <c r="O141" t="s">
        <v>47</v>
      </c>
      <c r="P141" t="s">
        <v>280</v>
      </c>
      <c r="Q141" t="s">
        <v>86</v>
      </c>
      <c r="R141" t="s">
        <v>35</v>
      </c>
      <c r="S141" t="s">
        <v>48</v>
      </c>
      <c r="T141" t="s">
        <v>91</v>
      </c>
      <c r="U141" t="s">
        <v>293</v>
      </c>
      <c r="V141">
        <v>2</v>
      </c>
      <c r="Z141" t="s">
        <v>36</v>
      </c>
      <c r="AA141" t="s">
        <v>44</v>
      </c>
      <c r="AB141" t="s">
        <v>45</v>
      </c>
    </row>
    <row r="142" spans="1:28" hidden="1" x14ac:dyDescent="0.2">
      <c r="A142" s="1">
        <v>45938</v>
      </c>
      <c r="B142" s="1">
        <v>45939</v>
      </c>
      <c r="C142" t="s">
        <v>244</v>
      </c>
      <c r="D142" t="s">
        <v>336</v>
      </c>
      <c r="E142">
        <v>-76.723011666666594</v>
      </c>
      <c r="F142" s="2" t="s">
        <v>337</v>
      </c>
      <c r="G142">
        <v>2100</v>
      </c>
      <c r="I142">
        <v>2025</v>
      </c>
      <c r="J142">
        <v>25</v>
      </c>
      <c r="K142">
        <v>40</v>
      </c>
      <c r="M142" t="s">
        <v>247</v>
      </c>
      <c r="N142" t="s">
        <v>31</v>
      </c>
      <c r="O142" t="s">
        <v>47</v>
      </c>
      <c r="P142" t="s">
        <v>280</v>
      </c>
      <c r="Q142" t="s">
        <v>86</v>
      </c>
      <c r="R142" t="s">
        <v>35</v>
      </c>
      <c r="T142" t="s">
        <v>54</v>
      </c>
      <c r="U142" t="s">
        <v>88</v>
      </c>
      <c r="V142">
        <v>1</v>
      </c>
      <c r="W142" t="s">
        <v>255</v>
      </c>
      <c r="Z142" t="s">
        <v>36</v>
      </c>
      <c r="AA142" t="s">
        <v>44</v>
      </c>
      <c r="AB142" t="s">
        <v>45</v>
      </c>
    </row>
    <row r="143" spans="1:28" hidden="1" x14ac:dyDescent="0.2">
      <c r="A143" s="1">
        <v>45938</v>
      </c>
      <c r="B143" s="1">
        <v>45938</v>
      </c>
      <c r="C143" t="s">
        <v>244</v>
      </c>
      <c r="D143" t="s">
        <v>338</v>
      </c>
      <c r="E143">
        <v>-76.722800000000007</v>
      </c>
      <c r="F143" s="2" t="s">
        <v>339</v>
      </c>
      <c r="G143">
        <v>1826</v>
      </c>
      <c r="I143">
        <v>2025</v>
      </c>
      <c r="J143">
        <v>10</v>
      </c>
      <c r="K143">
        <v>15</v>
      </c>
      <c r="M143" t="s">
        <v>247</v>
      </c>
      <c r="N143" t="s">
        <v>31</v>
      </c>
      <c r="O143" t="s">
        <v>40</v>
      </c>
      <c r="P143" t="s">
        <v>340</v>
      </c>
      <c r="Q143" t="s">
        <v>341</v>
      </c>
      <c r="R143" t="s">
        <v>35</v>
      </c>
      <c r="T143" t="s">
        <v>54</v>
      </c>
      <c r="U143" t="s">
        <v>88</v>
      </c>
      <c r="V143">
        <v>1</v>
      </c>
      <c r="W143" t="s">
        <v>249</v>
      </c>
      <c r="Z143" t="s">
        <v>36</v>
      </c>
      <c r="AA143" t="s">
        <v>44</v>
      </c>
      <c r="AB143" t="s">
        <v>45</v>
      </c>
    </row>
    <row r="144" spans="1:28" hidden="1" x14ac:dyDescent="0.2">
      <c r="A144" s="1">
        <v>45938</v>
      </c>
      <c r="B144" s="1">
        <v>45938</v>
      </c>
      <c r="C144" t="s">
        <v>244</v>
      </c>
      <c r="D144" t="s">
        <v>342</v>
      </c>
      <c r="E144">
        <v>-76.722409999999996</v>
      </c>
      <c r="F144" s="2" t="s">
        <v>343</v>
      </c>
      <c r="G144">
        <v>1826</v>
      </c>
      <c r="I144">
        <v>2025</v>
      </c>
      <c r="J144">
        <v>10</v>
      </c>
      <c r="K144">
        <v>15</v>
      </c>
      <c r="M144" t="s">
        <v>247</v>
      </c>
      <c r="N144" t="s">
        <v>31</v>
      </c>
      <c r="O144" t="s">
        <v>40</v>
      </c>
      <c r="P144" t="s">
        <v>340</v>
      </c>
      <c r="Q144" t="s">
        <v>341</v>
      </c>
      <c r="T144" t="s">
        <v>91</v>
      </c>
      <c r="U144" t="s">
        <v>88</v>
      </c>
      <c r="V144">
        <v>1</v>
      </c>
      <c r="W144" t="s">
        <v>249</v>
      </c>
      <c r="Z144" t="s">
        <v>259</v>
      </c>
      <c r="AA144" t="s">
        <v>44</v>
      </c>
      <c r="AB144" t="s">
        <v>45</v>
      </c>
    </row>
    <row r="145" spans="1:28" hidden="1" x14ac:dyDescent="0.2">
      <c r="A145" s="1">
        <v>45938</v>
      </c>
      <c r="B145" s="1">
        <v>45938</v>
      </c>
      <c r="C145" t="s">
        <v>244</v>
      </c>
      <c r="D145" t="s">
        <v>344</v>
      </c>
      <c r="E145">
        <v>-76.722318333333305</v>
      </c>
      <c r="F145" s="2" t="s">
        <v>345</v>
      </c>
      <c r="G145">
        <v>2129</v>
      </c>
      <c r="I145">
        <v>2025</v>
      </c>
      <c r="J145">
        <v>25</v>
      </c>
      <c r="K145">
        <v>30</v>
      </c>
      <c r="M145" t="s">
        <v>247</v>
      </c>
      <c r="N145" t="s">
        <v>108</v>
      </c>
      <c r="O145" t="s">
        <v>32</v>
      </c>
      <c r="P145" t="s">
        <v>280</v>
      </c>
      <c r="Q145" t="s">
        <v>86</v>
      </c>
      <c r="R145" t="s">
        <v>35</v>
      </c>
      <c r="S145" t="s">
        <v>48</v>
      </c>
      <c r="T145" t="s">
        <v>54</v>
      </c>
      <c r="U145" t="s">
        <v>296</v>
      </c>
      <c r="V145">
        <v>1</v>
      </c>
      <c r="Z145" t="s">
        <v>36</v>
      </c>
      <c r="AA145" t="s">
        <v>65</v>
      </c>
      <c r="AB145" t="s">
        <v>45</v>
      </c>
    </row>
    <row r="146" spans="1:28" hidden="1" x14ac:dyDescent="0.2">
      <c r="A146" s="1">
        <v>45938</v>
      </c>
      <c r="B146" s="1">
        <v>45938</v>
      </c>
      <c r="C146" t="s">
        <v>244</v>
      </c>
      <c r="D146" t="s">
        <v>346</v>
      </c>
      <c r="E146">
        <v>-76.722218333333302</v>
      </c>
      <c r="F146" s="2" t="s">
        <v>347</v>
      </c>
      <c r="G146">
        <v>2129</v>
      </c>
      <c r="I146">
        <v>2025</v>
      </c>
      <c r="J146">
        <v>25</v>
      </c>
      <c r="K146">
        <v>30</v>
      </c>
      <c r="M146" t="s">
        <v>247</v>
      </c>
      <c r="N146" t="s">
        <v>108</v>
      </c>
      <c r="O146" t="s">
        <v>32</v>
      </c>
      <c r="P146" t="s">
        <v>280</v>
      </c>
      <c r="Q146" t="s">
        <v>86</v>
      </c>
      <c r="R146" t="s">
        <v>35</v>
      </c>
      <c r="T146" t="s">
        <v>54</v>
      </c>
      <c r="U146" t="s">
        <v>88</v>
      </c>
      <c r="V146">
        <v>1</v>
      </c>
      <c r="W146" t="s">
        <v>249</v>
      </c>
      <c r="Z146" t="s">
        <v>36</v>
      </c>
      <c r="AA146" t="s">
        <v>160</v>
      </c>
      <c r="AB146" t="s">
        <v>45</v>
      </c>
    </row>
    <row r="147" spans="1:28" hidden="1" x14ac:dyDescent="0.2">
      <c r="A147" s="1">
        <v>45938</v>
      </c>
      <c r="B147" s="1">
        <v>45938</v>
      </c>
      <c r="C147" t="s">
        <v>244</v>
      </c>
      <c r="D147" t="s">
        <v>348</v>
      </c>
      <c r="E147">
        <v>-76.722203333333297</v>
      </c>
      <c r="F147" s="2" t="s">
        <v>349</v>
      </c>
      <c r="G147">
        <v>2129</v>
      </c>
      <c r="I147">
        <v>2025</v>
      </c>
      <c r="J147">
        <v>25</v>
      </c>
      <c r="K147">
        <v>30</v>
      </c>
      <c r="M147" t="s">
        <v>247</v>
      </c>
      <c r="N147" t="s">
        <v>108</v>
      </c>
      <c r="O147" t="s">
        <v>32</v>
      </c>
      <c r="P147" t="s">
        <v>280</v>
      </c>
      <c r="Q147" t="s">
        <v>86</v>
      </c>
      <c r="T147" t="s">
        <v>54</v>
      </c>
      <c r="U147" t="s">
        <v>316</v>
      </c>
      <c r="V147">
        <v>1</v>
      </c>
      <c r="W147" t="s">
        <v>249</v>
      </c>
      <c r="AA147" t="s">
        <v>44</v>
      </c>
      <c r="AB147" t="s">
        <v>45</v>
      </c>
    </row>
    <row r="148" spans="1:28" hidden="1" x14ac:dyDescent="0.2">
      <c r="A148" s="1">
        <v>45938</v>
      </c>
      <c r="B148" s="1">
        <v>45938</v>
      </c>
      <c r="C148" t="s">
        <v>244</v>
      </c>
      <c r="D148" t="s">
        <v>348</v>
      </c>
      <c r="E148">
        <v>-76.722203333333297</v>
      </c>
      <c r="F148" s="2" t="s">
        <v>349</v>
      </c>
      <c r="G148">
        <v>2129</v>
      </c>
      <c r="I148">
        <v>2025</v>
      </c>
      <c r="J148">
        <v>25</v>
      </c>
      <c r="K148">
        <v>30</v>
      </c>
      <c r="M148" t="s">
        <v>247</v>
      </c>
      <c r="N148" t="s">
        <v>108</v>
      </c>
      <c r="O148" t="s">
        <v>32</v>
      </c>
      <c r="P148" t="s">
        <v>280</v>
      </c>
      <c r="Q148" t="s">
        <v>86</v>
      </c>
      <c r="R148" t="s">
        <v>35</v>
      </c>
      <c r="T148" t="s">
        <v>42</v>
      </c>
      <c r="U148" t="s">
        <v>270</v>
      </c>
      <c r="V148">
        <v>1</v>
      </c>
      <c r="W148" t="s">
        <v>249</v>
      </c>
      <c r="Z148" t="s">
        <v>36</v>
      </c>
      <c r="AA148" t="s">
        <v>44</v>
      </c>
      <c r="AB148" t="s">
        <v>45</v>
      </c>
    </row>
    <row r="149" spans="1:28" hidden="1" x14ac:dyDescent="0.2">
      <c r="A149" s="1">
        <v>45938</v>
      </c>
      <c r="B149" s="1">
        <v>45938</v>
      </c>
      <c r="C149" t="s">
        <v>244</v>
      </c>
      <c r="D149" t="s">
        <v>234</v>
      </c>
      <c r="E149">
        <v>-76.722174999999993</v>
      </c>
      <c r="F149" s="2" t="s">
        <v>350</v>
      </c>
      <c r="G149">
        <v>2129</v>
      </c>
      <c r="I149">
        <v>2025</v>
      </c>
      <c r="J149">
        <v>25</v>
      </c>
      <c r="K149">
        <v>30</v>
      </c>
      <c r="M149" t="s">
        <v>247</v>
      </c>
      <c r="N149" t="s">
        <v>108</v>
      </c>
      <c r="O149" t="s">
        <v>32</v>
      </c>
      <c r="P149" t="s">
        <v>280</v>
      </c>
      <c r="Q149" t="s">
        <v>86</v>
      </c>
      <c r="T149" t="s">
        <v>54</v>
      </c>
      <c r="U149" t="s">
        <v>296</v>
      </c>
      <c r="V149">
        <v>2</v>
      </c>
      <c r="W149" t="s">
        <v>351</v>
      </c>
      <c r="Z149" t="s">
        <v>36</v>
      </c>
      <c r="AA149" t="s">
        <v>44</v>
      </c>
      <c r="AB149" t="s">
        <v>45</v>
      </c>
    </row>
    <row r="150" spans="1:28" hidden="1" x14ac:dyDescent="0.2">
      <c r="A150" s="1">
        <v>45938</v>
      </c>
      <c r="B150" s="1">
        <v>45938</v>
      </c>
      <c r="C150" t="s">
        <v>244</v>
      </c>
      <c r="D150" t="s">
        <v>234</v>
      </c>
      <c r="E150">
        <v>-76.722174999999993</v>
      </c>
      <c r="F150" s="2" t="s">
        <v>350</v>
      </c>
      <c r="G150">
        <v>2129</v>
      </c>
      <c r="I150">
        <v>2025</v>
      </c>
      <c r="J150">
        <v>25</v>
      </c>
      <c r="K150">
        <v>30</v>
      </c>
      <c r="M150" t="s">
        <v>247</v>
      </c>
      <c r="N150" t="s">
        <v>108</v>
      </c>
      <c r="O150" t="s">
        <v>32</v>
      </c>
      <c r="P150" t="s">
        <v>280</v>
      </c>
      <c r="Q150" t="s">
        <v>86</v>
      </c>
      <c r="R150" t="s">
        <v>35</v>
      </c>
      <c r="T150" t="s">
        <v>54</v>
      </c>
      <c r="U150" t="s">
        <v>293</v>
      </c>
      <c r="V150">
        <v>1</v>
      </c>
      <c r="W150" t="s">
        <v>352</v>
      </c>
      <c r="Z150" t="s">
        <v>36</v>
      </c>
      <c r="AA150" t="s">
        <v>160</v>
      </c>
      <c r="AB150" t="s">
        <v>45</v>
      </c>
    </row>
    <row r="151" spans="1:28" hidden="1" x14ac:dyDescent="0.2">
      <c r="A151" s="1">
        <v>45938</v>
      </c>
      <c r="B151" s="1">
        <v>45938</v>
      </c>
      <c r="C151" t="s">
        <v>244</v>
      </c>
      <c r="D151" t="s">
        <v>234</v>
      </c>
      <c r="E151">
        <v>-76.722174999999993</v>
      </c>
      <c r="F151" s="2" t="s">
        <v>350</v>
      </c>
      <c r="G151">
        <v>2129</v>
      </c>
      <c r="I151">
        <v>2025</v>
      </c>
      <c r="J151">
        <v>25</v>
      </c>
      <c r="K151">
        <v>30</v>
      </c>
      <c r="M151" t="s">
        <v>247</v>
      </c>
      <c r="N151" t="s">
        <v>108</v>
      </c>
      <c r="O151" t="s">
        <v>32</v>
      </c>
      <c r="P151" t="s">
        <v>280</v>
      </c>
      <c r="Q151" t="s">
        <v>64</v>
      </c>
      <c r="R151" t="s">
        <v>35</v>
      </c>
      <c r="T151" t="s">
        <v>91</v>
      </c>
      <c r="U151" t="s">
        <v>316</v>
      </c>
      <c r="V151">
        <v>1</v>
      </c>
      <c r="W151" t="s">
        <v>353</v>
      </c>
      <c r="Z151" t="s">
        <v>36</v>
      </c>
      <c r="AA151" t="s">
        <v>44</v>
      </c>
      <c r="AB151" t="s">
        <v>45</v>
      </c>
    </row>
    <row r="152" spans="1:28" hidden="1" x14ac:dyDescent="0.2">
      <c r="A152" s="1">
        <v>45938</v>
      </c>
      <c r="B152" s="1">
        <v>45938</v>
      </c>
      <c r="C152" t="s">
        <v>244</v>
      </c>
      <c r="D152" t="s">
        <v>354</v>
      </c>
      <c r="E152">
        <v>-76.722899999999996</v>
      </c>
      <c r="F152" s="2" t="s">
        <v>355</v>
      </c>
      <c r="G152">
        <v>2117</v>
      </c>
      <c r="I152">
        <v>2025</v>
      </c>
      <c r="J152">
        <v>25</v>
      </c>
      <c r="K152">
        <v>20</v>
      </c>
      <c r="M152" t="s">
        <v>247</v>
      </c>
      <c r="N152" t="s">
        <v>31</v>
      </c>
      <c r="O152" t="s">
        <v>40</v>
      </c>
      <c r="P152" t="s">
        <v>280</v>
      </c>
      <c r="Q152" t="s">
        <v>34</v>
      </c>
      <c r="R152" t="s">
        <v>35</v>
      </c>
      <c r="T152" t="s">
        <v>54</v>
      </c>
      <c r="U152" t="s">
        <v>316</v>
      </c>
      <c r="V152">
        <v>1</v>
      </c>
      <c r="W152" t="s">
        <v>255</v>
      </c>
      <c r="Z152" t="s">
        <v>36</v>
      </c>
      <c r="AA152" t="s">
        <v>44</v>
      </c>
      <c r="AB152" t="s">
        <v>45</v>
      </c>
    </row>
    <row r="153" spans="1:28" hidden="1" x14ac:dyDescent="0.2">
      <c r="A153" s="1">
        <v>45938</v>
      </c>
      <c r="B153" s="1">
        <v>45938</v>
      </c>
      <c r="C153" t="s">
        <v>244</v>
      </c>
      <c r="D153" t="s">
        <v>354</v>
      </c>
      <c r="E153">
        <v>-76.722899999999996</v>
      </c>
      <c r="F153" s="2" t="s">
        <v>355</v>
      </c>
      <c r="G153">
        <v>2117</v>
      </c>
      <c r="I153">
        <v>2025</v>
      </c>
      <c r="J153">
        <v>25</v>
      </c>
      <c r="K153">
        <v>20</v>
      </c>
      <c r="M153" t="s">
        <v>247</v>
      </c>
      <c r="N153" t="s">
        <v>31</v>
      </c>
      <c r="O153" t="s">
        <v>40</v>
      </c>
      <c r="P153" t="s">
        <v>280</v>
      </c>
      <c r="Q153" t="s">
        <v>34</v>
      </c>
      <c r="R153" t="s">
        <v>35</v>
      </c>
      <c r="S153" t="s">
        <v>48</v>
      </c>
      <c r="T153" t="s">
        <v>91</v>
      </c>
      <c r="U153" t="s">
        <v>88</v>
      </c>
      <c r="V153">
        <v>3</v>
      </c>
      <c r="Z153" t="s">
        <v>36</v>
      </c>
      <c r="AA153" t="s">
        <v>44</v>
      </c>
      <c r="AB153" t="s">
        <v>45</v>
      </c>
    </row>
    <row r="154" spans="1:28" hidden="1" x14ac:dyDescent="0.2">
      <c r="A154" s="1">
        <v>45938</v>
      </c>
      <c r="B154" s="1">
        <v>45938</v>
      </c>
      <c r="C154" t="s">
        <v>244</v>
      </c>
      <c r="D154" t="s">
        <v>356</v>
      </c>
      <c r="E154">
        <v>-76.722803333333303</v>
      </c>
      <c r="F154" s="2" t="s">
        <v>357</v>
      </c>
      <c r="G154">
        <v>2117</v>
      </c>
      <c r="I154">
        <v>2025</v>
      </c>
      <c r="J154">
        <v>25</v>
      </c>
      <c r="K154">
        <v>20</v>
      </c>
      <c r="M154" t="s">
        <v>247</v>
      </c>
      <c r="N154" t="s">
        <v>31</v>
      </c>
      <c r="O154" t="s">
        <v>40</v>
      </c>
      <c r="P154" t="s">
        <v>280</v>
      </c>
      <c r="Q154" t="s">
        <v>86</v>
      </c>
      <c r="R154" t="s">
        <v>35</v>
      </c>
      <c r="T154" t="s">
        <v>91</v>
      </c>
      <c r="U154" t="s">
        <v>88</v>
      </c>
      <c r="V154">
        <v>1</v>
      </c>
      <c r="W154" t="s">
        <v>249</v>
      </c>
      <c r="Z154" t="s">
        <v>36</v>
      </c>
      <c r="AA154" t="s">
        <v>44</v>
      </c>
      <c r="AB154" t="s">
        <v>45</v>
      </c>
    </row>
    <row r="155" spans="1:28" hidden="1" x14ac:dyDescent="0.2">
      <c r="A155" s="1">
        <v>45938</v>
      </c>
      <c r="B155" s="1">
        <v>45938</v>
      </c>
      <c r="C155" t="s">
        <v>244</v>
      </c>
      <c r="D155" t="s">
        <v>356</v>
      </c>
      <c r="E155">
        <v>-76.722803333333303</v>
      </c>
      <c r="F155" s="2" t="s">
        <v>357</v>
      </c>
      <c r="G155">
        <v>2117</v>
      </c>
      <c r="I155">
        <v>2025</v>
      </c>
      <c r="J155">
        <v>25</v>
      </c>
      <c r="K155">
        <v>20</v>
      </c>
      <c r="M155" t="s">
        <v>247</v>
      </c>
      <c r="N155" t="s">
        <v>31</v>
      </c>
      <c r="O155" t="s">
        <v>40</v>
      </c>
      <c r="P155" t="s">
        <v>280</v>
      </c>
      <c r="Q155" t="s">
        <v>86</v>
      </c>
      <c r="R155" t="s">
        <v>35</v>
      </c>
      <c r="T155" t="s">
        <v>91</v>
      </c>
      <c r="U155" t="s">
        <v>36</v>
      </c>
      <c r="V155">
        <v>1</v>
      </c>
      <c r="W155" t="s">
        <v>249</v>
      </c>
      <c r="Z155" t="s">
        <v>36</v>
      </c>
      <c r="AA155" t="s">
        <v>44</v>
      </c>
      <c r="AB155" t="s">
        <v>45</v>
      </c>
    </row>
    <row r="156" spans="1:28" hidden="1" x14ac:dyDescent="0.2">
      <c r="A156" s="1">
        <v>45938</v>
      </c>
      <c r="B156" s="1">
        <v>45938</v>
      </c>
      <c r="C156" t="s">
        <v>244</v>
      </c>
      <c r="D156" t="s">
        <v>358</v>
      </c>
      <c r="E156">
        <v>-76.722821666666604</v>
      </c>
      <c r="F156" s="2" t="s">
        <v>359</v>
      </c>
      <c r="G156">
        <v>2117</v>
      </c>
      <c r="I156">
        <v>2025</v>
      </c>
      <c r="J156">
        <v>25</v>
      </c>
      <c r="K156">
        <v>20</v>
      </c>
      <c r="M156" t="s">
        <v>247</v>
      </c>
      <c r="N156" t="s">
        <v>31</v>
      </c>
      <c r="O156" t="s">
        <v>40</v>
      </c>
      <c r="P156" t="s">
        <v>280</v>
      </c>
      <c r="Q156" t="s">
        <v>86</v>
      </c>
      <c r="R156" t="s">
        <v>35</v>
      </c>
      <c r="S156" t="s">
        <v>48</v>
      </c>
      <c r="T156" t="s">
        <v>42</v>
      </c>
      <c r="U156" t="s">
        <v>270</v>
      </c>
      <c r="V156">
        <v>1</v>
      </c>
      <c r="Z156" t="s">
        <v>36</v>
      </c>
      <c r="AA156" t="s">
        <v>44</v>
      </c>
      <c r="AB156" t="s">
        <v>45</v>
      </c>
    </row>
    <row r="157" spans="1:28" hidden="1" x14ac:dyDescent="0.2">
      <c r="A157" s="1">
        <v>45938</v>
      </c>
      <c r="B157" s="1">
        <v>45938</v>
      </c>
      <c r="C157" t="s">
        <v>244</v>
      </c>
      <c r="D157" t="s">
        <v>360</v>
      </c>
      <c r="E157">
        <v>-76.722740000000002</v>
      </c>
      <c r="F157" s="2" t="s">
        <v>361</v>
      </c>
      <c r="G157">
        <v>2117</v>
      </c>
      <c r="I157">
        <v>2025</v>
      </c>
      <c r="J157">
        <v>25</v>
      </c>
      <c r="K157">
        <v>20</v>
      </c>
      <c r="M157" t="s">
        <v>247</v>
      </c>
      <c r="N157" t="s">
        <v>31</v>
      </c>
      <c r="O157" t="s">
        <v>40</v>
      </c>
      <c r="P157" t="s">
        <v>280</v>
      </c>
      <c r="Q157" t="s">
        <v>86</v>
      </c>
      <c r="R157" t="s">
        <v>35</v>
      </c>
      <c r="T157" t="s">
        <v>54</v>
      </c>
      <c r="U157" t="s">
        <v>238</v>
      </c>
      <c r="V157">
        <v>1</v>
      </c>
      <c r="W157" t="s">
        <v>249</v>
      </c>
      <c r="Z157" t="s">
        <v>36</v>
      </c>
      <c r="AA157" t="s">
        <v>44</v>
      </c>
      <c r="AB157" t="s">
        <v>45</v>
      </c>
    </row>
    <row r="158" spans="1:28" hidden="1" x14ac:dyDescent="0.2">
      <c r="A158" s="1">
        <v>45938</v>
      </c>
      <c r="B158" s="1">
        <v>45938</v>
      </c>
      <c r="C158" t="s">
        <v>244</v>
      </c>
      <c r="D158" t="s">
        <v>360</v>
      </c>
      <c r="E158">
        <v>-76.722740000000002</v>
      </c>
      <c r="F158" s="2" t="s">
        <v>361</v>
      </c>
      <c r="G158">
        <v>2117</v>
      </c>
      <c r="I158">
        <v>2025</v>
      </c>
      <c r="J158">
        <v>25</v>
      </c>
      <c r="K158">
        <v>20</v>
      </c>
      <c r="M158" t="s">
        <v>247</v>
      </c>
      <c r="N158" t="s">
        <v>31</v>
      </c>
      <c r="O158" t="s">
        <v>40</v>
      </c>
      <c r="P158" t="s">
        <v>280</v>
      </c>
      <c r="Q158" t="s">
        <v>86</v>
      </c>
      <c r="R158" t="s">
        <v>35</v>
      </c>
      <c r="T158" t="s">
        <v>54</v>
      </c>
      <c r="U158" t="s">
        <v>88</v>
      </c>
      <c r="V158">
        <v>1</v>
      </c>
      <c r="W158" t="s">
        <v>255</v>
      </c>
      <c r="Z158" t="s">
        <v>36</v>
      </c>
      <c r="AA158" t="s">
        <v>44</v>
      </c>
      <c r="AB158" t="s">
        <v>45</v>
      </c>
    </row>
    <row r="159" spans="1:28" hidden="1" x14ac:dyDescent="0.2">
      <c r="A159" s="1">
        <v>45938</v>
      </c>
      <c r="B159" s="1">
        <v>45938</v>
      </c>
      <c r="C159" t="s">
        <v>244</v>
      </c>
      <c r="D159" t="s">
        <v>362</v>
      </c>
      <c r="E159">
        <v>-76.722816666666603</v>
      </c>
      <c r="F159" s="2" t="s">
        <v>363</v>
      </c>
      <c r="G159">
        <v>2117</v>
      </c>
      <c r="I159">
        <v>2025</v>
      </c>
      <c r="J159">
        <v>25</v>
      </c>
      <c r="K159">
        <v>20</v>
      </c>
      <c r="M159" t="s">
        <v>247</v>
      </c>
      <c r="N159" t="s">
        <v>31</v>
      </c>
      <c r="O159" t="s">
        <v>40</v>
      </c>
      <c r="P159" t="s">
        <v>280</v>
      </c>
      <c r="Q159" t="s">
        <v>86</v>
      </c>
      <c r="R159" t="s">
        <v>35</v>
      </c>
      <c r="T159" t="s">
        <v>54</v>
      </c>
      <c r="U159" t="s">
        <v>36</v>
      </c>
      <c r="V159">
        <v>1</v>
      </c>
      <c r="W159" t="s">
        <v>249</v>
      </c>
      <c r="Z159" t="s">
        <v>36</v>
      </c>
      <c r="AA159" t="s">
        <v>44</v>
      </c>
      <c r="AB159" t="s">
        <v>45</v>
      </c>
    </row>
    <row r="160" spans="1:28" hidden="1" x14ac:dyDescent="0.2">
      <c r="A160" s="1">
        <v>45938</v>
      </c>
      <c r="B160" s="1">
        <v>45938</v>
      </c>
      <c r="C160" t="s">
        <v>244</v>
      </c>
      <c r="D160" t="s">
        <v>364</v>
      </c>
      <c r="E160">
        <v>-76.722776666666604</v>
      </c>
      <c r="F160" s="2" t="s">
        <v>365</v>
      </c>
      <c r="G160">
        <v>2117</v>
      </c>
      <c r="I160">
        <v>2025</v>
      </c>
      <c r="J160">
        <v>25</v>
      </c>
      <c r="K160">
        <v>20</v>
      </c>
      <c r="M160" t="s">
        <v>247</v>
      </c>
      <c r="N160" t="s">
        <v>31</v>
      </c>
      <c r="O160" t="s">
        <v>40</v>
      </c>
      <c r="P160" t="s">
        <v>280</v>
      </c>
      <c r="Q160" t="s">
        <v>86</v>
      </c>
      <c r="R160" t="s">
        <v>35</v>
      </c>
      <c r="T160" t="s">
        <v>54</v>
      </c>
      <c r="U160" t="s">
        <v>313</v>
      </c>
      <c r="V160">
        <v>1</v>
      </c>
      <c r="W160" t="s">
        <v>255</v>
      </c>
      <c r="Z160" t="s">
        <v>36</v>
      </c>
      <c r="AA160" t="s">
        <v>44</v>
      </c>
    </row>
    <row r="161" spans="1:28" hidden="1" x14ac:dyDescent="0.2">
      <c r="A161" s="1">
        <v>45938</v>
      </c>
      <c r="B161" s="1">
        <v>45938</v>
      </c>
      <c r="C161" t="s">
        <v>244</v>
      </c>
      <c r="D161" t="s">
        <v>366</v>
      </c>
      <c r="E161">
        <v>-76.722743333333298</v>
      </c>
      <c r="F161">
        <v>3.47817</v>
      </c>
      <c r="G161">
        <v>2117</v>
      </c>
      <c r="I161">
        <v>2025</v>
      </c>
      <c r="J161">
        <v>25</v>
      </c>
      <c r="K161">
        <v>20</v>
      </c>
      <c r="M161" t="s">
        <v>247</v>
      </c>
      <c r="N161" t="s">
        <v>31</v>
      </c>
      <c r="O161" t="s">
        <v>40</v>
      </c>
      <c r="P161" t="s">
        <v>280</v>
      </c>
      <c r="Q161" t="s">
        <v>86</v>
      </c>
      <c r="R161" t="s">
        <v>35</v>
      </c>
      <c r="S161" t="s">
        <v>281</v>
      </c>
      <c r="T161" t="s">
        <v>91</v>
      </c>
      <c r="U161" t="s">
        <v>296</v>
      </c>
      <c r="V161">
        <v>1</v>
      </c>
      <c r="Z161" t="s">
        <v>36</v>
      </c>
      <c r="AA161" t="s">
        <v>44</v>
      </c>
      <c r="AB161" t="s">
        <v>45</v>
      </c>
    </row>
    <row r="162" spans="1:28" hidden="1" x14ac:dyDescent="0.2">
      <c r="A162" s="1">
        <v>45938</v>
      </c>
      <c r="B162" s="1">
        <v>45938</v>
      </c>
      <c r="C162" t="s">
        <v>244</v>
      </c>
      <c r="D162" t="s">
        <v>367</v>
      </c>
      <c r="E162">
        <v>-76.722768333333306</v>
      </c>
      <c r="F162" s="2" t="s">
        <v>368</v>
      </c>
      <c r="G162">
        <v>2117</v>
      </c>
      <c r="I162">
        <v>2025</v>
      </c>
      <c r="J162">
        <v>25</v>
      </c>
      <c r="K162">
        <v>20</v>
      </c>
      <c r="M162" t="s">
        <v>247</v>
      </c>
      <c r="N162" t="s">
        <v>31</v>
      </c>
      <c r="O162" t="s">
        <v>40</v>
      </c>
      <c r="P162" t="s">
        <v>280</v>
      </c>
      <c r="Q162" t="s">
        <v>86</v>
      </c>
      <c r="R162" t="s">
        <v>35</v>
      </c>
      <c r="S162" t="s">
        <v>48</v>
      </c>
      <c r="T162" t="s">
        <v>54</v>
      </c>
      <c r="U162" t="s">
        <v>88</v>
      </c>
      <c r="V162">
        <v>1</v>
      </c>
      <c r="Z162" t="s">
        <v>36</v>
      </c>
      <c r="AA162" t="s">
        <v>44</v>
      </c>
      <c r="AB162" t="s">
        <v>45</v>
      </c>
    </row>
    <row r="163" spans="1:28" hidden="1" x14ac:dyDescent="0.2">
      <c r="A163" s="1">
        <v>45938</v>
      </c>
      <c r="B163" s="1">
        <v>45938</v>
      </c>
      <c r="C163" t="s">
        <v>244</v>
      </c>
      <c r="D163" t="s">
        <v>369</v>
      </c>
      <c r="E163">
        <v>-76.7227933333333</v>
      </c>
      <c r="F163" s="2" t="s">
        <v>370</v>
      </c>
      <c r="G163">
        <v>2117</v>
      </c>
      <c r="I163">
        <v>2025</v>
      </c>
      <c r="J163">
        <v>25</v>
      </c>
      <c r="K163">
        <v>20</v>
      </c>
      <c r="M163" t="s">
        <v>247</v>
      </c>
      <c r="N163" t="s">
        <v>31</v>
      </c>
      <c r="O163" t="s">
        <v>40</v>
      </c>
      <c r="P163" t="s">
        <v>280</v>
      </c>
      <c r="Q163" t="s">
        <v>86</v>
      </c>
      <c r="R163" t="s">
        <v>35</v>
      </c>
      <c r="T163" t="s">
        <v>42</v>
      </c>
      <c r="U163" t="s">
        <v>270</v>
      </c>
      <c r="V163">
        <v>1</v>
      </c>
      <c r="W163" t="s">
        <v>249</v>
      </c>
      <c r="Z163" t="s">
        <v>36</v>
      </c>
      <c r="AA163" t="s">
        <v>44</v>
      </c>
      <c r="AB163" t="s">
        <v>45</v>
      </c>
    </row>
    <row r="164" spans="1:28" hidden="1" x14ac:dyDescent="0.2">
      <c r="A164" s="1">
        <v>45938</v>
      </c>
      <c r="B164" s="1">
        <v>45938</v>
      </c>
      <c r="C164" t="s">
        <v>244</v>
      </c>
      <c r="D164" t="s">
        <v>369</v>
      </c>
      <c r="E164">
        <v>-76.7227933333333</v>
      </c>
      <c r="F164" s="2" t="s">
        <v>370</v>
      </c>
      <c r="G164">
        <v>2117</v>
      </c>
      <c r="I164">
        <v>2025</v>
      </c>
      <c r="J164">
        <v>25</v>
      </c>
      <c r="K164">
        <v>20</v>
      </c>
      <c r="M164" t="s">
        <v>247</v>
      </c>
      <c r="N164" t="s">
        <v>31</v>
      </c>
      <c r="O164" t="s">
        <v>40</v>
      </c>
      <c r="P164" t="s">
        <v>280</v>
      </c>
      <c r="Q164" t="s">
        <v>86</v>
      </c>
      <c r="R164" t="s">
        <v>35</v>
      </c>
      <c r="T164" t="s">
        <v>54</v>
      </c>
      <c r="U164" t="s">
        <v>371</v>
      </c>
      <c r="V164">
        <v>1</v>
      </c>
      <c r="W164" t="s">
        <v>255</v>
      </c>
      <c r="Z164" t="s">
        <v>36</v>
      </c>
      <c r="AA164" t="s">
        <v>44</v>
      </c>
      <c r="AB164" t="s">
        <v>45</v>
      </c>
    </row>
    <row r="165" spans="1:28" hidden="1" x14ac:dyDescent="0.2">
      <c r="A165" s="1">
        <v>45938</v>
      </c>
      <c r="B165" s="1">
        <v>45938</v>
      </c>
      <c r="C165" t="s">
        <v>244</v>
      </c>
      <c r="D165" t="s">
        <v>372</v>
      </c>
      <c r="E165">
        <v>-76.722785000000002</v>
      </c>
      <c r="F165" s="2" t="s">
        <v>373</v>
      </c>
      <c r="G165">
        <v>2117</v>
      </c>
      <c r="I165">
        <v>2025</v>
      </c>
      <c r="J165">
        <v>25</v>
      </c>
      <c r="K165">
        <v>20</v>
      </c>
      <c r="M165" t="s">
        <v>247</v>
      </c>
      <c r="N165" t="s">
        <v>31</v>
      </c>
      <c r="O165" t="s">
        <v>40</v>
      </c>
      <c r="P165" t="s">
        <v>280</v>
      </c>
      <c r="Q165" t="s">
        <v>86</v>
      </c>
      <c r="R165" t="s">
        <v>35</v>
      </c>
      <c r="S165" t="s">
        <v>48</v>
      </c>
      <c r="T165" t="s">
        <v>54</v>
      </c>
      <c r="U165" t="s">
        <v>316</v>
      </c>
      <c r="V165">
        <v>1</v>
      </c>
      <c r="Z165" t="s">
        <v>36</v>
      </c>
      <c r="AA165" t="s">
        <v>44</v>
      </c>
      <c r="AB165" t="s">
        <v>45</v>
      </c>
    </row>
    <row r="166" spans="1:28" hidden="1" x14ac:dyDescent="0.2">
      <c r="A166" s="1">
        <v>45937</v>
      </c>
      <c r="B166" s="1">
        <v>45937</v>
      </c>
      <c r="C166" t="s">
        <v>244</v>
      </c>
      <c r="D166" t="s">
        <v>374</v>
      </c>
      <c r="E166">
        <v>-76.726858333333297</v>
      </c>
      <c r="F166" s="2" t="s">
        <v>375</v>
      </c>
      <c r="G166">
        <v>1794</v>
      </c>
      <c r="I166">
        <v>2025</v>
      </c>
      <c r="J166">
        <v>25</v>
      </c>
      <c r="K166">
        <v>15</v>
      </c>
      <c r="M166" t="s">
        <v>247</v>
      </c>
      <c r="N166" t="s">
        <v>31</v>
      </c>
      <c r="O166" t="s">
        <v>32</v>
      </c>
      <c r="P166" t="s">
        <v>340</v>
      </c>
      <c r="Q166" t="s">
        <v>341</v>
      </c>
      <c r="R166" t="s">
        <v>258</v>
      </c>
      <c r="T166" t="s">
        <v>42</v>
      </c>
      <c r="U166" t="s">
        <v>36</v>
      </c>
      <c r="V166">
        <v>2</v>
      </c>
      <c r="W166" t="s">
        <v>376</v>
      </c>
      <c r="Z166" t="s">
        <v>259</v>
      </c>
      <c r="AA166" t="s">
        <v>44</v>
      </c>
      <c r="AB166" t="s">
        <v>66</v>
      </c>
    </row>
    <row r="167" spans="1:28" hidden="1" x14ac:dyDescent="0.2">
      <c r="A167" s="1">
        <v>45937</v>
      </c>
      <c r="B167" s="1">
        <v>45937</v>
      </c>
      <c r="C167" t="s">
        <v>244</v>
      </c>
      <c r="D167" t="s">
        <v>377</v>
      </c>
      <c r="E167">
        <v>-76.726839999999996</v>
      </c>
      <c r="F167" s="2" t="s">
        <v>378</v>
      </c>
      <c r="G167">
        <v>1794</v>
      </c>
      <c r="I167">
        <v>2025</v>
      </c>
      <c r="J167">
        <v>25</v>
      </c>
      <c r="K167">
        <v>15</v>
      </c>
      <c r="M167" t="s">
        <v>247</v>
      </c>
      <c r="N167" t="s">
        <v>31</v>
      </c>
      <c r="O167" t="s">
        <v>32</v>
      </c>
      <c r="P167" t="s">
        <v>340</v>
      </c>
      <c r="Q167" t="s">
        <v>341</v>
      </c>
      <c r="R167" t="s">
        <v>105</v>
      </c>
      <c r="T167" t="s">
        <v>91</v>
      </c>
      <c r="U167" t="s">
        <v>68</v>
      </c>
      <c r="V167">
        <v>1</v>
      </c>
      <c r="W167" t="s">
        <v>255</v>
      </c>
      <c r="Z167" t="s">
        <v>259</v>
      </c>
      <c r="AA167" t="s">
        <v>44</v>
      </c>
      <c r="AB167" t="s">
        <v>45</v>
      </c>
    </row>
    <row r="168" spans="1:28" hidden="1" x14ac:dyDescent="0.2">
      <c r="A168" s="1">
        <v>45937</v>
      </c>
      <c r="B168" s="1">
        <v>45937</v>
      </c>
      <c r="C168" t="s">
        <v>244</v>
      </c>
      <c r="D168" t="s">
        <v>379</v>
      </c>
      <c r="E168">
        <v>-76.726264999999998</v>
      </c>
      <c r="F168" s="2" t="s">
        <v>380</v>
      </c>
      <c r="G168">
        <v>1794</v>
      </c>
      <c r="I168">
        <v>2025</v>
      </c>
      <c r="J168">
        <v>25</v>
      </c>
      <c r="K168">
        <v>15</v>
      </c>
      <c r="M168" t="s">
        <v>247</v>
      </c>
      <c r="N168" t="s">
        <v>31</v>
      </c>
      <c r="O168" t="s">
        <v>32</v>
      </c>
      <c r="P168" t="s">
        <v>340</v>
      </c>
      <c r="Q168" t="s">
        <v>381</v>
      </c>
      <c r="R168" t="s">
        <v>105</v>
      </c>
      <c r="T168" t="s">
        <v>54</v>
      </c>
      <c r="U168" t="s">
        <v>252</v>
      </c>
      <c r="V168">
        <v>1</v>
      </c>
      <c r="W168" t="s">
        <v>249</v>
      </c>
      <c r="AA168" t="s">
        <v>160</v>
      </c>
      <c r="AB168" t="s">
        <v>45</v>
      </c>
    </row>
    <row r="169" spans="1:28" hidden="1" x14ac:dyDescent="0.2">
      <c r="A169" s="1">
        <v>45937</v>
      </c>
      <c r="B169" s="1">
        <v>45937</v>
      </c>
      <c r="C169" t="s">
        <v>244</v>
      </c>
      <c r="D169" t="s">
        <v>382</v>
      </c>
      <c r="E169">
        <v>-76.725785000000002</v>
      </c>
      <c r="F169" s="2" t="s">
        <v>383</v>
      </c>
      <c r="G169">
        <v>1788</v>
      </c>
      <c r="I169">
        <v>2025</v>
      </c>
      <c r="J169">
        <v>8</v>
      </c>
      <c r="K169">
        <v>40</v>
      </c>
      <c r="M169" t="s">
        <v>247</v>
      </c>
      <c r="N169" t="s">
        <v>31</v>
      </c>
      <c r="O169" t="s">
        <v>40</v>
      </c>
      <c r="P169" t="s">
        <v>340</v>
      </c>
      <c r="Q169" t="s">
        <v>341</v>
      </c>
      <c r="R169" t="s">
        <v>258</v>
      </c>
      <c r="T169" t="s">
        <v>54</v>
      </c>
      <c r="U169" t="s">
        <v>296</v>
      </c>
      <c r="V169">
        <v>1</v>
      </c>
      <c r="W169" t="s">
        <v>249</v>
      </c>
      <c r="Z169" t="s">
        <v>36</v>
      </c>
      <c r="AA169" t="s">
        <v>44</v>
      </c>
      <c r="AB169" t="s">
        <v>45</v>
      </c>
    </row>
    <row r="170" spans="1:28" hidden="1" x14ac:dyDescent="0.2">
      <c r="A170" s="1">
        <v>45937</v>
      </c>
      <c r="B170" s="1">
        <v>45937</v>
      </c>
      <c r="C170" t="s">
        <v>244</v>
      </c>
      <c r="D170" t="s">
        <v>384</v>
      </c>
      <c r="E170">
        <v>-76.725484999999907</v>
      </c>
      <c r="F170" s="2" t="s">
        <v>385</v>
      </c>
      <c r="G170">
        <v>1788</v>
      </c>
      <c r="I170">
        <v>2025</v>
      </c>
      <c r="J170">
        <v>8</v>
      </c>
      <c r="K170">
        <v>40</v>
      </c>
      <c r="M170" t="s">
        <v>247</v>
      </c>
      <c r="N170" t="s">
        <v>31</v>
      </c>
      <c r="O170" t="s">
        <v>40</v>
      </c>
      <c r="P170" t="s">
        <v>340</v>
      </c>
      <c r="Q170" t="s">
        <v>341</v>
      </c>
      <c r="S170" t="s">
        <v>48</v>
      </c>
      <c r="T170" t="s">
        <v>91</v>
      </c>
      <c r="U170" t="s">
        <v>232</v>
      </c>
      <c r="V170">
        <v>1</v>
      </c>
      <c r="W170" t="s">
        <v>386</v>
      </c>
      <c r="Z170" t="s">
        <v>36</v>
      </c>
      <c r="AA170" t="s">
        <v>44</v>
      </c>
      <c r="AB170" t="s">
        <v>45</v>
      </c>
    </row>
    <row r="171" spans="1:28" hidden="1" x14ac:dyDescent="0.2">
      <c r="A171" s="1">
        <v>45937</v>
      </c>
      <c r="B171" s="1">
        <v>45937</v>
      </c>
      <c r="C171" t="s">
        <v>244</v>
      </c>
      <c r="D171" t="s">
        <v>387</v>
      </c>
      <c r="E171">
        <v>-76.725473333333298</v>
      </c>
      <c r="F171" s="2" t="s">
        <v>388</v>
      </c>
      <c r="G171">
        <v>1788</v>
      </c>
      <c r="I171">
        <v>2025</v>
      </c>
      <c r="J171">
        <v>8</v>
      </c>
      <c r="K171">
        <v>40</v>
      </c>
      <c r="M171" t="s">
        <v>247</v>
      </c>
      <c r="N171" t="s">
        <v>31</v>
      </c>
      <c r="O171" t="s">
        <v>40</v>
      </c>
      <c r="P171" t="s">
        <v>340</v>
      </c>
      <c r="Q171" t="s">
        <v>341</v>
      </c>
      <c r="R171" t="s">
        <v>258</v>
      </c>
      <c r="S171" t="s">
        <v>389</v>
      </c>
      <c r="T171" t="s">
        <v>54</v>
      </c>
      <c r="U171" t="s">
        <v>252</v>
      </c>
      <c r="V171">
        <v>1</v>
      </c>
      <c r="W171" t="s">
        <v>390</v>
      </c>
      <c r="Z171" t="s">
        <v>36</v>
      </c>
      <c r="AA171" t="s">
        <v>44</v>
      </c>
      <c r="AB171" t="s">
        <v>45</v>
      </c>
    </row>
    <row r="172" spans="1:28" hidden="1" x14ac:dyDescent="0.2">
      <c r="A172" s="1">
        <v>45937</v>
      </c>
      <c r="B172" s="1">
        <v>45937</v>
      </c>
      <c r="C172" t="s">
        <v>244</v>
      </c>
      <c r="D172" t="s">
        <v>391</v>
      </c>
      <c r="E172">
        <v>-76.725431666666594</v>
      </c>
      <c r="F172" s="2" t="s">
        <v>388</v>
      </c>
      <c r="G172">
        <v>1788</v>
      </c>
      <c r="I172">
        <v>2025</v>
      </c>
      <c r="J172">
        <v>8</v>
      </c>
      <c r="K172">
        <v>40</v>
      </c>
      <c r="M172" t="s">
        <v>247</v>
      </c>
      <c r="N172" t="s">
        <v>31</v>
      </c>
      <c r="O172" t="s">
        <v>40</v>
      </c>
      <c r="P172" t="s">
        <v>340</v>
      </c>
      <c r="Q172" t="s">
        <v>341</v>
      </c>
      <c r="R172" t="s">
        <v>258</v>
      </c>
      <c r="T172" t="s">
        <v>42</v>
      </c>
      <c r="U172" t="s">
        <v>252</v>
      </c>
      <c r="V172">
        <v>1</v>
      </c>
      <c r="W172" t="s">
        <v>392</v>
      </c>
      <c r="Z172" t="s">
        <v>36</v>
      </c>
      <c r="AA172" t="s">
        <v>65</v>
      </c>
      <c r="AB172" t="s">
        <v>45</v>
      </c>
    </row>
    <row r="173" spans="1:28" hidden="1" x14ac:dyDescent="0.2">
      <c r="A173" s="1">
        <v>45937</v>
      </c>
      <c r="B173" s="1">
        <v>45937</v>
      </c>
      <c r="C173" t="s">
        <v>244</v>
      </c>
      <c r="D173" t="s">
        <v>393</v>
      </c>
      <c r="E173">
        <v>-76.726204999999993</v>
      </c>
      <c r="F173">
        <v>3.4997099999999999</v>
      </c>
      <c r="G173">
        <v>1806</v>
      </c>
      <c r="H173">
        <v>3</v>
      </c>
      <c r="I173">
        <v>2025</v>
      </c>
      <c r="J173">
        <v>25</v>
      </c>
      <c r="K173">
        <v>10</v>
      </c>
      <c r="M173" t="s">
        <v>247</v>
      </c>
      <c r="N173" t="s">
        <v>31</v>
      </c>
      <c r="O173" t="s">
        <v>38</v>
      </c>
      <c r="P173" t="s">
        <v>340</v>
      </c>
      <c r="Q173" t="s">
        <v>341</v>
      </c>
      <c r="R173" t="s">
        <v>105</v>
      </c>
      <c r="S173" t="s">
        <v>48</v>
      </c>
      <c r="T173" t="s">
        <v>54</v>
      </c>
      <c r="U173" t="s">
        <v>88</v>
      </c>
      <c r="V173">
        <v>1</v>
      </c>
      <c r="AA173" t="s">
        <v>44</v>
      </c>
      <c r="AB173" t="s">
        <v>45</v>
      </c>
    </row>
    <row r="174" spans="1:28" hidden="1" x14ac:dyDescent="0.2">
      <c r="A174" s="1">
        <v>45937</v>
      </c>
      <c r="B174" s="1">
        <v>45937</v>
      </c>
      <c r="C174" t="s">
        <v>244</v>
      </c>
      <c r="D174" t="s">
        <v>394</v>
      </c>
      <c r="E174">
        <v>-76.726174999999998</v>
      </c>
      <c r="F174" s="2" t="s">
        <v>395</v>
      </c>
      <c r="G174">
        <v>1806</v>
      </c>
      <c r="H174">
        <v>3</v>
      </c>
      <c r="I174">
        <v>2025</v>
      </c>
      <c r="J174">
        <v>25</v>
      </c>
      <c r="K174">
        <v>10</v>
      </c>
      <c r="M174" t="s">
        <v>247</v>
      </c>
      <c r="N174" t="s">
        <v>31</v>
      </c>
      <c r="O174" t="s">
        <v>38</v>
      </c>
      <c r="P174" t="s">
        <v>340</v>
      </c>
      <c r="Q174" t="s">
        <v>341</v>
      </c>
      <c r="R174" t="s">
        <v>53</v>
      </c>
      <c r="S174" t="s">
        <v>48</v>
      </c>
      <c r="T174" t="s">
        <v>54</v>
      </c>
      <c r="U174" t="s">
        <v>88</v>
      </c>
      <c r="V174">
        <v>1</v>
      </c>
      <c r="Z174" t="s">
        <v>36</v>
      </c>
      <c r="AA174" t="s">
        <v>44</v>
      </c>
      <c r="AB174" t="s">
        <v>45</v>
      </c>
    </row>
    <row r="175" spans="1:28" hidden="1" x14ac:dyDescent="0.2">
      <c r="A175" s="1">
        <v>45937</v>
      </c>
      <c r="B175" s="1">
        <v>45937</v>
      </c>
      <c r="C175" t="s">
        <v>244</v>
      </c>
      <c r="D175" t="s">
        <v>396</v>
      </c>
      <c r="E175">
        <v>-76.726050000000001</v>
      </c>
      <c r="F175" s="2" t="s">
        <v>397</v>
      </c>
      <c r="G175">
        <v>1806</v>
      </c>
      <c r="H175">
        <v>3</v>
      </c>
      <c r="I175">
        <v>2025</v>
      </c>
      <c r="J175">
        <v>25</v>
      </c>
      <c r="K175">
        <v>10</v>
      </c>
      <c r="M175" t="s">
        <v>247</v>
      </c>
      <c r="N175" t="s">
        <v>31</v>
      </c>
      <c r="O175" t="s">
        <v>38</v>
      </c>
      <c r="P175" t="s">
        <v>340</v>
      </c>
      <c r="Q175" t="s">
        <v>74</v>
      </c>
      <c r="R175" t="s">
        <v>105</v>
      </c>
      <c r="T175" t="s">
        <v>91</v>
      </c>
      <c r="U175" t="s">
        <v>68</v>
      </c>
      <c r="V175">
        <v>2</v>
      </c>
      <c r="W175" t="s">
        <v>249</v>
      </c>
      <c r="Z175" t="s">
        <v>36</v>
      </c>
      <c r="AA175" t="s">
        <v>44</v>
      </c>
      <c r="AB175" t="s">
        <v>66</v>
      </c>
    </row>
    <row r="176" spans="1:28" hidden="1" x14ac:dyDescent="0.2">
      <c r="A176" s="1">
        <v>45937</v>
      </c>
      <c r="B176" s="1">
        <v>45937</v>
      </c>
      <c r="C176" t="s">
        <v>244</v>
      </c>
      <c r="D176" t="s">
        <v>398</v>
      </c>
      <c r="E176">
        <v>-76.722468333333296</v>
      </c>
      <c r="F176" s="2" t="s">
        <v>399</v>
      </c>
      <c r="G176">
        <v>1823</v>
      </c>
      <c r="I176">
        <v>2025</v>
      </c>
      <c r="J176">
        <v>8</v>
      </c>
      <c r="K176">
        <v>5</v>
      </c>
      <c r="M176" t="s">
        <v>247</v>
      </c>
      <c r="N176" t="s">
        <v>31</v>
      </c>
      <c r="O176" t="s">
        <v>40</v>
      </c>
      <c r="P176" t="s">
        <v>340</v>
      </c>
      <c r="Q176" t="s">
        <v>341</v>
      </c>
      <c r="R176" t="s">
        <v>273</v>
      </c>
      <c r="S176" t="s">
        <v>281</v>
      </c>
      <c r="T176" t="s">
        <v>42</v>
      </c>
      <c r="U176" t="s">
        <v>36</v>
      </c>
      <c r="V176">
        <v>1</v>
      </c>
      <c r="Z176" t="s">
        <v>259</v>
      </c>
      <c r="AA176" t="s">
        <v>44</v>
      </c>
      <c r="AB176" t="s">
        <v>66</v>
      </c>
    </row>
    <row r="177" spans="1:28" hidden="1" x14ac:dyDescent="0.2">
      <c r="A177" s="1">
        <v>45937</v>
      </c>
      <c r="B177" s="1">
        <v>45938</v>
      </c>
      <c r="C177" t="s">
        <v>244</v>
      </c>
      <c r="D177" t="s">
        <v>400</v>
      </c>
      <c r="E177">
        <v>-76.722380000000001</v>
      </c>
      <c r="F177" s="2" t="s">
        <v>401</v>
      </c>
      <c r="G177">
        <v>1815</v>
      </c>
      <c r="I177">
        <v>2025</v>
      </c>
      <c r="J177">
        <v>7</v>
      </c>
      <c r="K177">
        <v>15</v>
      </c>
      <c r="M177" t="s">
        <v>247</v>
      </c>
      <c r="N177" t="s">
        <v>31</v>
      </c>
      <c r="O177" t="s">
        <v>38</v>
      </c>
      <c r="P177" t="s">
        <v>340</v>
      </c>
      <c r="Q177" t="s">
        <v>341</v>
      </c>
      <c r="R177" t="s">
        <v>273</v>
      </c>
      <c r="S177" t="s">
        <v>281</v>
      </c>
      <c r="T177" t="s">
        <v>42</v>
      </c>
      <c r="U177" t="s">
        <v>36</v>
      </c>
      <c r="V177">
        <v>1</v>
      </c>
      <c r="Z177" t="s">
        <v>259</v>
      </c>
      <c r="AA177" t="s">
        <v>44</v>
      </c>
      <c r="AB177" t="s">
        <v>45</v>
      </c>
    </row>
    <row r="178" spans="1:28" hidden="1" x14ac:dyDescent="0.2">
      <c r="A178" s="1">
        <v>45619</v>
      </c>
      <c r="B178" s="1">
        <v>45619</v>
      </c>
      <c r="C178" t="s">
        <v>41</v>
      </c>
      <c r="D178" t="s">
        <v>402</v>
      </c>
      <c r="E178">
        <v>-76.877534999999995</v>
      </c>
      <c r="F178">
        <v>3.5431750000000002</v>
      </c>
      <c r="G178">
        <v>481</v>
      </c>
      <c r="I178">
        <v>2024</v>
      </c>
      <c r="J178">
        <v>25</v>
      </c>
      <c r="K178">
        <v>15</v>
      </c>
      <c r="M178" t="s">
        <v>30</v>
      </c>
      <c r="N178" t="s">
        <v>31</v>
      </c>
      <c r="O178" t="s">
        <v>38</v>
      </c>
      <c r="P178" t="s">
        <v>111</v>
      </c>
      <c r="Q178" t="s">
        <v>86</v>
      </c>
      <c r="R178" t="s">
        <v>105</v>
      </c>
      <c r="S178" t="s">
        <v>41</v>
      </c>
      <c r="T178" t="s">
        <v>42</v>
      </c>
      <c r="U178" t="s">
        <v>224</v>
      </c>
      <c r="V178">
        <v>1</v>
      </c>
      <c r="Z178" t="s">
        <v>36</v>
      </c>
      <c r="AA178" t="s">
        <v>44</v>
      </c>
      <c r="AB178" t="s">
        <v>45</v>
      </c>
    </row>
    <row r="179" spans="1:28" hidden="1" x14ac:dyDescent="0.2">
      <c r="A179" s="1">
        <v>45619</v>
      </c>
      <c r="B179" s="1">
        <v>45619</v>
      </c>
      <c r="C179" t="s">
        <v>41</v>
      </c>
      <c r="D179" t="s">
        <v>403</v>
      </c>
      <c r="E179">
        <v>-76.877526666666597</v>
      </c>
      <c r="F179" s="2" t="s">
        <v>404</v>
      </c>
      <c r="G179">
        <v>481</v>
      </c>
      <c r="I179">
        <v>2024</v>
      </c>
      <c r="J179">
        <v>25</v>
      </c>
      <c r="K179">
        <v>15</v>
      </c>
      <c r="M179" t="s">
        <v>30</v>
      </c>
      <c r="N179" t="s">
        <v>31</v>
      </c>
      <c r="O179" t="s">
        <v>38</v>
      </c>
      <c r="P179" t="s">
        <v>111</v>
      </c>
      <c r="Q179" t="s">
        <v>86</v>
      </c>
      <c r="R179" t="s">
        <v>105</v>
      </c>
      <c r="S179" t="s">
        <v>41</v>
      </c>
      <c r="T179" t="s">
        <v>42</v>
      </c>
      <c r="U179" t="s">
        <v>84</v>
      </c>
      <c r="V179">
        <v>1</v>
      </c>
      <c r="Z179" t="s">
        <v>50</v>
      </c>
      <c r="AA179" t="s">
        <v>44</v>
      </c>
      <c r="AB179" t="s">
        <v>45</v>
      </c>
    </row>
    <row r="180" spans="1:28" hidden="1" x14ac:dyDescent="0.2">
      <c r="A180" s="1">
        <v>45619</v>
      </c>
      <c r="B180" s="1">
        <v>45619</v>
      </c>
      <c r="C180" t="s">
        <v>41</v>
      </c>
      <c r="D180" t="s">
        <v>405</v>
      </c>
      <c r="E180">
        <v>-76.877538333333305</v>
      </c>
      <c r="F180" s="2" t="s">
        <v>406</v>
      </c>
      <c r="G180">
        <v>481</v>
      </c>
      <c r="I180">
        <v>2024</v>
      </c>
      <c r="J180">
        <v>25</v>
      </c>
      <c r="K180">
        <v>15</v>
      </c>
      <c r="M180" t="s">
        <v>30</v>
      </c>
      <c r="N180" t="s">
        <v>31</v>
      </c>
      <c r="O180" t="s">
        <v>38</v>
      </c>
      <c r="P180" t="s">
        <v>111</v>
      </c>
      <c r="Q180" t="s">
        <v>86</v>
      </c>
      <c r="R180" t="s">
        <v>105</v>
      </c>
      <c r="S180" t="s">
        <v>41</v>
      </c>
      <c r="T180" t="s">
        <v>42</v>
      </c>
      <c r="U180" t="s">
        <v>112</v>
      </c>
      <c r="V180">
        <v>3</v>
      </c>
      <c r="Z180" t="s">
        <v>50</v>
      </c>
      <c r="AA180" t="s">
        <v>44</v>
      </c>
      <c r="AB180" t="s">
        <v>45</v>
      </c>
    </row>
    <row r="181" spans="1:28" hidden="1" x14ac:dyDescent="0.2">
      <c r="A181" s="1">
        <v>45619</v>
      </c>
      <c r="B181" s="1">
        <v>45619</v>
      </c>
      <c r="C181" t="s">
        <v>41</v>
      </c>
      <c r="D181" t="s">
        <v>407</v>
      </c>
      <c r="E181">
        <v>-76.877918333333298</v>
      </c>
      <c r="F181" s="2" t="s">
        <v>408</v>
      </c>
      <c r="G181">
        <v>481</v>
      </c>
      <c r="I181">
        <v>2024</v>
      </c>
      <c r="J181">
        <v>25</v>
      </c>
      <c r="K181">
        <v>15</v>
      </c>
      <c r="M181" t="s">
        <v>30</v>
      </c>
      <c r="N181" t="s">
        <v>31</v>
      </c>
      <c r="O181" t="s">
        <v>38</v>
      </c>
      <c r="P181" t="s">
        <v>111</v>
      </c>
      <c r="Q181" t="s">
        <v>86</v>
      </c>
      <c r="R181" t="s">
        <v>105</v>
      </c>
      <c r="T181" t="s">
        <v>42</v>
      </c>
      <c r="U181" t="s">
        <v>116</v>
      </c>
      <c r="V181">
        <v>2</v>
      </c>
      <c r="W181" t="s">
        <v>409</v>
      </c>
      <c r="Z181" t="s">
        <v>50</v>
      </c>
      <c r="AA181" t="s">
        <v>44</v>
      </c>
      <c r="AB181" t="s">
        <v>45</v>
      </c>
    </row>
    <row r="182" spans="1:28" hidden="1" x14ac:dyDescent="0.2">
      <c r="A182" s="1">
        <v>45619</v>
      </c>
      <c r="B182" s="1">
        <v>45619</v>
      </c>
      <c r="C182" t="s">
        <v>41</v>
      </c>
      <c r="D182" t="s">
        <v>410</v>
      </c>
      <c r="E182">
        <v>-76.880696666666594</v>
      </c>
      <c r="F182" s="2" t="s">
        <v>411</v>
      </c>
      <c r="G182">
        <v>745</v>
      </c>
      <c r="I182">
        <v>2024</v>
      </c>
      <c r="J182">
        <v>20</v>
      </c>
      <c r="K182">
        <v>30</v>
      </c>
      <c r="M182" t="s">
        <v>30</v>
      </c>
      <c r="N182" t="s">
        <v>31</v>
      </c>
      <c r="O182" t="s">
        <v>47</v>
      </c>
      <c r="P182" t="s">
        <v>98</v>
      </c>
      <c r="Q182" t="s">
        <v>86</v>
      </c>
      <c r="R182" t="s">
        <v>412</v>
      </c>
      <c r="S182" t="s">
        <v>41</v>
      </c>
      <c r="T182" t="s">
        <v>42</v>
      </c>
      <c r="U182" t="s">
        <v>43</v>
      </c>
      <c r="V182">
        <v>7</v>
      </c>
      <c r="Z182" t="s">
        <v>36</v>
      </c>
      <c r="AA182" t="s">
        <v>65</v>
      </c>
      <c r="AB182" t="s">
        <v>66</v>
      </c>
    </row>
    <row r="183" spans="1:28" hidden="1" x14ac:dyDescent="0.2">
      <c r="A183" s="1">
        <v>45619</v>
      </c>
      <c r="B183" s="1">
        <v>45619</v>
      </c>
      <c r="C183" t="s">
        <v>41</v>
      </c>
      <c r="D183" t="s">
        <v>413</v>
      </c>
      <c r="E183">
        <v>-76.880865</v>
      </c>
      <c r="F183" s="2" t="s">
        <v>414</v>
      </c>
      <c r="G183">
        <v>664</v>
      </c>
      <c r="I183">
        <v>2024</v>
      </c>
      <c r="J183">
        <v>12</v>
      </c>
      <c r="K183">
        <v>20</v>
      </c>
      <c r="M183" t="s">
        <v>30</v>
      </c>
      <c r="N183" t="s">
        <v>31</v>
      </c>
      <c r="O183" t="s">
        <v>40</v>
      </c>
      <c r="P183" t="s">
        <v>98</v>
      </c>
      <c r="Q183" t="s">
        <v>86</v>
      </c>
      <c r="R183" t="s">
        <v>412</v>
      </c>
      <c r="U183" t="s">
        <v>36</v>
      </c>
      <c r="W183" t="s">
        <v>415</v>
      </c>
    </row>
    <row r="184" spans="1:28" hidden="1" x14ac:dyDescent="0.2">
      <c r="A184" s="1">
        <v>45619</v>
      </c>
      <c r="B184" s="1">
        <v>45619</v>
      </c>
      <c r="C184" t="s">
        <v>41</v>
      </c>
      <c r="D184" t="s">
        <v>416</v>
      </c>
      <c r="E184">
        <v>-76.880789999999905</v>
      </c>
      <c r="F184" s="2" t="s">
        <v>417</v>
      </c>
      <c r="G184">
        <v>591</v>
      </c>
      <c r="I184">
        <v>2024</v>
      </c>
      <c r="J184">
        <v>15</v>
      </c>
      <c r="K184">
        <v>10</v>
      </c>
      <c r="M184" t="s">
        <v>30</v>
      </c>
      <c r="N184" t="s">
        <v>31</v>
      </c>
      <c r="O184" t="s">
        <v>40</v>
      </c>
      <c r="P184" t="s">
        <v>98</v>
      </c>
      <c r="Q184" t="s">
        <v>86</v>
      </c>
      <c r="R184" t="s">
        <v>412</v>
      </c>
      <c r="U184" t="s">
        <v>36</v>
      </c>
      <c r="W184" t="s">
        <v>418</v>
      </c>
    </row>
    <row r="185" spans="1:28" hidden="1" x14ac:dyDescent="0.2">
      <c r="A185" s="1">
        <v>45619</v>
      </c>
      <c r="B185" s="1">
        <v>45619</v>
      </c>
      <c r="C185" t="s">
        <v>41</v>
      </c>
      <c r="D185" t="s">
        <v>419</v>
      </c>
      <c r="E185">
        <v>-76.880975000000007</v>
      </c>
      <c r="F185" s="2" t="s">
        <v>420</v>
      </c>
      <c r="G185">
        <v>565</v>
      </c>
      <c r="I185">
        <v>2024</v>
      </c>
      <c r="J185">
        <v>12</v>
      </c>
      <c r="K185">
        <v>10</v>
      </c>
      <c r="M185" t="s">
        <v>30</v>
      </c>
      <c r="N185" t="s">
        <v>31</v>
      </c>
      <c r="O185" t="s">
        <v>32</v>
      </c>
      <c r="P185" t="s">
        <v>98</v>
      </c>
      <c r="Q185" t="s">
        <v>64</v>
      </c>
      <c r="R185" t="s">
        <v>412</v>
      </c>
      <c r="S185" t="s">
        <v>41</v>
      </c>
      <c r="T185" t="s">
        <v>42</v>
      </c>
      <c r="U185" t="s">
        <v>43</v>
      </c>
      <c r="V185">
        <v>2</v>
      </c>
      <c r="Z185" t="s">
        <v>50</v>
      </c>
      <c r="AA185" t="s">
        <v>65</v>
      </c>
      <c r="AB185" t="s">
        <v>66</v>
      </c>
    </row>
    <row r="186" spans="1:28" hidden="1" x14ac:dyDescent="0.2">
      <c r="A186" s="1">
        <v>45618</v>
      </c>
      <c r="B186" s="1">
        <v>45618</v>
      </c>
      <c r="C186" t="s">
        <v>41</v>
      </c>
      <c r="D186" t="s">
        <v>421</v>
      </c>
      <c r="E186">
        <v>-76.882838333333297</v>
      </c>
      <c r="F186" s="2" t="s">
        <v>422</v>
      </c>
      <c r="G186">
        <v>589</v>
      </c>
      <c r="H186">
        <v>2</v>
      </c>
      <c r="I186">
        <v>2024</v>
      </c>
      <c r="J186">
        <v>15</v>
      </c>
      <c r="K186">
        <v>30</v>
      </c>
      <c r="M186" t="s">
        <v>30</v>
      </c>
      <c r="N186" t="s">
        <v>31</v>
      </c>
      <c r="O186" t="s">
        <v>38</v>
      </c>
      <c r="P186" t="s">
        <v>52</v>
      </c>
      <c r="Q186" t="s">
        <v>34</v>
      </c>
      <c r="R186" t="s">
        <v>105</v>
      </c>
      <c r="S186" t="s">
        <v>41</v>
      </c>
      <c r="T186" t="s">
        <v>42</v>
      </c>
      <c r="U186" t="s">
        <v>92</v>
      </c>
      <c r="V186">
        <v>1</v>
      </c>
      <c r="Z186" t="s">
        <v>36</v>
      </c>
      <c r="AA186" t="s">
        <v>65</v>
      </c>
      <c r="AB186" t="s">
        <v>45</v>
      </c>
    </row>
    <row r="187" spans="1:28" hidden="1" x14ac:dyDescent="0.2">
      <c r="A187" s="1">
        <v>45618</v>
      </c>
      <c r="B187" s="1">
        <v>45618</v>
      </c>
      <c r="C187" t="s">
        <v>41</v>
      </c>
      <c r="D187" t="s">
        <v>423</v>
      </c>
      <c r="E187">
        <v>-76.878643333333301</v>
      </c>
      <c r="F187" s="2" t="s">
        <v>424</v>
      </c>
      <c r="G187">
        <v>542</v>
      </c>
      <c r="H187">
        <v>3</v>
      </c>
      <c r="I187">
        <v>2024</v>
      </c>
      <c r="J187">
        <v>10</v>
      </c>
      <c r="K187">
        <v>15</v>
      </c>
      <c r="M187" t="s">
        <v>30</v>
      </c>
      <c r="N187" t="s">
        <v>31</v>
      </c>
      <c r="O187" t="s">
        <v>32</v>
      </c>
      <c r="P187" t="s">
        <v>111</v>
      </c>
      <c r="Q187" t="s">
        <v>34</v>
      </c>
      <c r="R187" t="s">
        <v>105</v>
      </c>
      <c r="T187" t="s">
        <v>42</v>
      </c>
      <c r="U187" t="s">
        <v>84</v>
      </c>
      <c r="V187">
        <v>2</v>
      </c>
      <c r="W187" t="s">
        <v>425</v>
      </c>
      <c r="Z187" t="s">
        <v>36</v>
      </c>
      <c r="AA187" t="s">
        <v>44</v>
      </c>
      <c r="AB187" t="s">
        <v>45</v>
      </c>
    </row>
    <row r="188" spans="1:28" hidden="1" x14ac:dyDescent="0.2">
      <c r="A188" s="1">
        <v>45618</v>
      </c>
      <c r="B188" s="1">
        <v>45618</v>
      </c>
      <c r="C188" t="s">
        <v>41</v>
      </c>
      <c r="D188" t="s">
        <v>426</v>
      </c>
      <c r="E188">
        <v>-76.878309999999999</v>
      </c>
      <c r="F188" s="2" t="s">
        <v>427</v>
      </c>
      <c r="G188">
        <v>542</v>
      </c>
      <c r="H188">
        <v>3</v>
      </c>
      <c r="I188">
        <v>2024</v>
      </c>
      <c r="J188">
        <v>10</v>
      </c>
      <c r="K188">
        <v>15</v>
      </c>
      <c r="M188" t="s">
        <v>30</v>
      </c>
      <c r="N188" t="s">
        <v>31</v>
      </c>
      <c r="O188" t="s">
        <v>32</v>
      </c>
      <c r="P188" t="s">
        <v>111</v>
      </c>
      <c r="Q188" t="s">
        <v>34</v>
      </c>
      <c r="R188" t="s">
        <v>105</v>
      </c>
      <c r="S188" t="s">
        <v>428</v>
      </c>
      <c r="T188" t="s">
        <v>42</v>
      </c>
      <c r="U188" t="s">
        <v>112</v>
      </c>
      <c r="V188">
        <v>1</v>
      </c>
      <c r="Z188" t="s">
        <v>36</v>
      </c>
      <c r="AA188" t="s">
        <v>44</v>
      </c>
      <c r="AB188" t="s">
        <v>45</v>
      </c>
    </row>
    <row r="189" spans="1:28" hidden="1" x14ac:dyDescent="0.2">
      <c r="A189" s="1">
        <v>45618</v>
      </c>
      <c r="B189" s="1">
        <v>45618</v>
      </c>
      <c r="C189" t="s">
        <v>41</v>
      </c>
      <c r="D189" t="s">
        <v>429</v>
      </c>
      <c r="E189">
        <v>-76.877534999999995</v>
      </c>
      <c r="F189" s="2" t="s">
        <v>430</v>
      </c>
      <c r="G189">
        <v>558</v>
      </c>
      <c r="I189">
        <v>2024</v>
      </c>
      <c r="J189">
        <v>10</v>
      </c>
      <c r="K189">
        <v>12</v>
      </c>
      <c r="M189" t="s">
        <v>30</v>
      </c>
      <c r="N189" t="s">
        <v>31</v>
      </c>
      <c r="O189" t="s">
        <v>38</v>
      </c>
      <c r="P189" t="s">
        <v>111</v>
      </c>
      <c r="Q189" t="s">
        <v>34</v>
      </c>
      <c r="R189" t="s">
        <v>105</v>
      </c>
      <c r="U189" t="s">
        <v>36</v>
      </c>
      <c r="W189" t="s">
        <v>431</v>
      </c>
    </row>
    <row r="190" spans="1:28" hidden="1" x14ac:dyDescent="0.2">
      <c r="A190" s="1">
        <v>45618</v>
      </c>
      <c r="B190" s="1">
        <v>45618</v>
      </c>
      <c r="C190" t="s">
        <v>41</v>
      </c>
      <c r="D190" t="s">
        <v>432</v>
      </c>
      <c r="E190">
        <v>-76.890538333333296</v>
      </c>
      <c r="F190" s="2" t="s">
        <v>433</v>
      </c>
      <c r="G190">
        <v>613</v>
      </c>
      <c r="H190">
        <v>12</v>
      </c>
      <c r="I190">
        <v>2024</v>
      </c>
      <c r="J190">
        <v>15</v>
      </c>
      <c r="K190">
        <v>20</v>
      </c>
      <c r="M190" t="s">
        <v>30</v>
      </c>
      <c r="N190" t="s">
        <v>31</v>
      </c>
      <c r="O190" t="s">
        <v>32</v>
      </c>
      <c r="P190" t="s">
        <v>119</v>
      </c>
      <c r="Q190" t="s">
        <v>34</v>
      </c>
      <c r="R190" t="s">
        <v>105</v>
      </c>
      <c r="U190" t="s">
        <v>36</v>
      </c>
      <c r="W190" t="s">
        <v>434</v>
      </c>
    </row>
    <row r="191" spans="1:28" hidden="1" x14ac:dyDescent="0.2">
      <c r="A191" s="1">
        <v>45618</v>
      </c>
      <c r="B191" s="1">
        <v>45618</v>
      </c>
      <c r="C191" t="s">
        <v>41</v>
      </c>
      <c r="D191" t="s">
        <v>435</v>
      </c>
      <c r="E191">
        <v>-76.890433333333306</v>
      </c>
      <c r="F191" s="2" t="s">
        <v>436</v>
      </c>
      <c r="G191">
        <v>613</v>
      </c>
      <c r="H191">
        <v>12</v>
      </c>
      <c r="I191">
        <v>2024</v>
      </c>
      <c r="J191">
        <v>15</v>
      </c>
      <c r="K191">
        <v>20</v>
      </c>
      <c r="M191" t="s">
        <v>30</v>
      </c>
      <c r="N191" t="s">
        <v>31</v>
      </c>
      <c r="O191" t="s">
        <v>32</v>
      </c>
      <c r="P191" t="s">
        <v>119</v>
      </c>
      <c r="Q191" t="s">
        <v>86</v>
      </c>
      <c r="R191" t="s">
        <v>105</v>
      </c>
      <c r="T191" t="s">
        <v>42</v>
      </c>
      <c r="U191" t="s">
        <v>112</v>
      </c>
      <c r="V191">
        <v>3</v>
      </c>
      <c r="Z191" t="s">
        <v>36</v>
      </c>
      <c r="AA191" t="s">
        <v>44</v>
      </c>
      <c r="AB191" t="s">
        <v>45</v>
      </c>
    </row>
    <row r="192" spans="1:28" hidden="1" x14ac:dyDescent="0.2">
      <c r="A192" s="1">
        <v>45618</v>
      </c>
      <c r="B192" s="1">
        <v>45618</v>
      </c>
      <c r="C192" t="s">
        <v>41</v>
      </c>
      <c r="D192" t="s">
        <v>437</v>
      </c>
      <c r="E192">
        <v>-76.890306666666604</v>
      </c>
      <c r="F192" s="2" t="s">
        <v>438</v>
      </c>
      <c r="G192">
        <v>613</v>
      </c>
      <c r="H192">
        <v>12</v>
      </c>
      <c r="I192">
        <v>2024</v>
      </c>
      <c r="J192">
        <v>15</v>
      </c>
      <c r="K192">
        <v>20</v>
      </c>
      <c r="M192" t="s">
        <v>30</v>
      </c>
      <c r="N192" t="s">
        <v>31</v>
      </c>
      <c r="O192" t="s">
        <v>32</v>
      </c>
      <c r="P192" t="s">
        <v>119</v>
      </c>
      <c r="R192" t="s">
        <v>105</v>
      </c>
      <c r="S192" t="s">
        <v>41</v>
      </c>
      <c r="T192" t="s">
        <v>42</v>
      </c>
      <c r="U192" t="s">
        <v>112</v>
      </c>
      <c r="V192">
        <v>3</v>
      </c>
      <c r="Z192" t="s">
        <v>36</v>
      </c>
      <c r="AA192" t="s">
        <v>44</v>
      </c>
      <c r="AB192" t="s">
        <v>45</v>
      </c>
    </row>
    <row r="193" spans="1:28" hidden="1" x14ac:dyDescent="0.2">
      <c r="A193" s="1">
        <v>45618</v>
      </c>
      <c r="B193" s="1">
        <v>45618</v>
      </c>
      <c r="C193" t="s">
        <v>41</v>
      </c>
      <c r="D193" t="s">
        <v>439</v>
      </c>
      <c r="E193">
        <v>-76.888944999999893</v>
      </c>
      <c r="F193" s="2" t="s">
        <v>440</v>
      </c>
      <c r="G193">
        <v>680</v>
      </c>
      <c r="I193">
        <v>2024</v>
      </c>
      <c r="J193">
        <v>20</v>
      </c>
      <c r="K193">
        <v>10</v>
      </c>
      <c r="M193" t="s">
        <v>30</v>
      </c>
      <c r="N193" t="s">
        <v>31</v>
      </c>
      <c r="O193" t="s">
        <v>38</v>
      </c>
      <c r="P193" t="s">
        <v>119</v>
      </c>
      <c r="Q193" t="s">
        <v>86</v>
      </c>
      <c r="R193" t="s">
        <v>258</v>
      </c>
      <c r="T193" t="s">
        <v>42</v>
      </c>
      <c r="U193" t="s">
        <v>112</v>
      </c>
      <c r="V193">
        <v>12</v>
      </c>
      <c r="Z193" t="s">
        <v>50</v>
      </c>
      <c r="AA193" t="s">
        <v>44</v>
      </c>
      <c r="AB193" t="s">
        <v>45</v>
      </c>
    </row>
    <row r="194" spans="1:28" hidden="1" x14ac:dyDescent="0.2">
      <c r="A194" s="1">
        <v>45618</v>
      </c>
      <c r="B194" s="1">
        <v>45618</v>
      </c>
      <c r="C194" t="s">
        <v>41</v>
      </c>
      <c r="D194" t="s">
        <v>441</v>
      </c>
      <c r="E194">
        <v>-76.889808333333306</v>
      </c>
      <c r="F194" s="2" t="s">
        <v>442</v>
      </c>
      <c r="G194">
        <v>680</v>
      </c>
      <c r="I194">
        <v>2024</v>
      </c>
      <c r="J194">
        <v>20</v>
      </c>
      <c r="K194">
        <v>10</v>
      </c>
      <c r="M194" t="s">
        <v>30</v>
      </c>
      <c r="N194" t="s">
        <v>31</v>
      </c>
      <c r="O194" t="s">
        <v>38</v>
      </c>
      <c r="P194" t="s">
        <v>119</v>
      </c>
      <c r="Q194" t="s">
        <v>86</v>
      </c>
      <c r="R194" t="s">
        <v>258</v>
      </c>
      <c r="S194" t="s">
        <v>41</v>
      </c>
      <c r="T194" t="s">
        <v>42</v>
      </c>
      <c r="U194" t="s">
        <v>92</v>
      </c>
      <c r="V194">
        <v>1</v>
      </c>
      <c r="Z194" t="s">
        <v>50</v>
      </c>
      <c r="AA194" t="s">
        <v>44</v>
      </c>
      <c r="AB194" t="s">
        <v>45</v>
      </c>
    </row>
    <row r="195" spans="1:28" hidden="1" x14ac:dyDescent="0.2">
      <c r="A195" s="1">
        <v>45618</v>
      </c>
      <c r="B195" s="1">
        <v>45618</v>
      </c>
      <c r="C195" t="s">
        <v>41</v>
      </c>
      <c r="D195" t="s">
        <v>443</v>
      </c>
      <c r="E195">
        <v>-76.890135000000001</v>
      </c>
      <c r="F195" s="2" t="s">
        <v>444</v>
      </c>
      <c r="G195">
        <v>680</v>
      </c>
      <c r="I195">
        <v>2024</v>
      </c>
      <c r="J195">
        <v>20</v>
      </c>
      <c r="K195">
        <v>10</v>
      </c>
      <c r="M195" t="s">
        <v>30</v>
      </c>
      <c r="N195" t="s">
        <v>31</v>
      </c>
      <c r="O195" t="s">
        <v>38</v>
      </c>
      <c r="P195" t="s">
        <v>119</v>
      </c>
      <c r="Q195" t="s">
        <v>86</v>
      </c>
      <c r="R195" t="s">
        <v>258</v>
      </c>
      <c r="T195" t="s">
        <v>42</v>
      </c>
      <c r="U195" t="s">
        <v>116</v>
      </c>
      <c r="V195">
        <v>1</v>
      </c>
      <c r="Z195" t="s">
        <v>50</v>
      </c>
      <c r="AA195" t="s">
        <v>44</v>
      </c>
      <c r="AB195" t="s">
        <v>45</v>
      </c>
    </row>
    <row r="196" spans="1:28" hidden="1" x14ac:dyDescent="0.2">
      <c r="A196" s="1">
        <v>45618</v>
      </c>
      <c r="B196" s="1">
        <v>45618</v>
      </c>
      <c r="C196" t="s">
        <v>41</v>
      </c>
      <c r="D196" t="s">
        <v>445</v>
      </c>
      <c r="E196">
        <v>-76.890243333333302</v>
      </c>
      <c r="F196" s="2" t="s">
        <v>446</v>
      </c>
      <c r="G196">
        <v>680</v>
      </c>
      <c r="I196">
        <v>2024</v>
      </c>
      <c r="J196">
        <v>20</v>
      </c>
      <c r="K196">
        <v>10</v>
      </c>
      <c r="M196" t="s">
        <v>30</v>
      </c>
      <c r="N196" t="s">
        <v>31</v>
      </c>
      <c r="O196" t="s">
        <v>38</v>
      </c>
      <c r="P196" t="s">
        <v>119</v>
      </c>
      <c r="Q196" t="s">
        <v>86</v>
      </c>
      <c r="R196" t="s">
        <v>105</v>
      </c>
      <c r="T196" t="s">
        <v>42</v>
      </c>
      <c r="U196" t="s">
        <v>112</v>
      </c>
      <c r="V196">
        <v>6</v>
      </c>
      <c r="Z196" t="s">
        <v>36</v>
      </c>
      <c r="AA196" t="s">
        <v>44</v>
      </c>
      <c r="AB196" t="s">
        <v>45</v>
      </c>
    </row>
    <row r="197" spans="1:28" hidden="1" x14ac:dyDescent="0.2">
      <c r="A197" s="1">
        <v>45618</v>
      </c>
      <c r="B197" s="1">
        <v>45618</v>
      </c>
      <c r="C197" t="s">
        <v>41</v>
      </c>
      <c r="D197" t="s">
        <v>447</v>
      </c>
      <c r="E197">
        <v>-76.888316666666597</v>
      </c>
      <c r="F197" s="2" t="s">
        <v>448</v>
      </c>
      <c r="G197">
        <v>663</v>
      </c>
      <c r="I197">
        <v>2024</v>
      </c>
      <c r="J197">
        <v>20</v>
      </c>
      <c r="K197">
        <v>10</v>
      </c>
      <c r="M197" t="s">
        <v>30</v>
      </c>
      <c r="N197" t="s">
        <v>31</v>
      </c>
      <c r="O197" t="s">
        <v>40</v>
      </c>
      <c r="P197" t="s">
        <v>119</v>
      </c>
      <c r="Q197" t="s">
        <v>86</v>
      </c>
      <c r="R197" t="s">
        <v>258</v>
      </c>
      <c r="S197" t="s">
        <v>41</v>
      </c>
      <c r="U197" t="s">
        <v>935</v>
      </c>
      <c r="V197">
        <v>1</v>
      </c>
      <c r="W197" t="s">
        <v>49</v>
      </c>
      <c r="Z197" t="s">
        <v>50</v>
      </c>
      <c r="AA197" t="s">
        <v>44</v>
      </c>
      <c r="AB197" t="s">
        <v>45</v>
      </c>
    </row>
    <row r="198" spans="1:28" hidden="1" x14ac:dyDescent="0.2">
      <c r="A198" s="1">
        <v>45618</v>
      </c>
      <c r="B198" s="1">
        <v>45618</v>
      </c>
      <c r="C198" t="s">
        <v>41</v>
      </c>
      <c r="D198" t="s">
        <v>449</v>
      </c>
      <c r="E198">
        <v>-76.888665000000003</v>
      </c>
      <c r="F198" s="2" t="s">
        <v>450</v>
      </c>
      <c r="G198">
        <v>663</v>
      </c>
      <c r="I198">
        <v>2024</v>
      </c>
      <c r="J198">
        <v>20</v>
      </c>
      <c r="K198">
        <v>10</v>
      </c>
      <c r="M198" t="s">
        <v>30</v>
      </c>
      <c r="N198" t="s">
        <v>31</v>
      </c>
      <c r="O198" t="s">
        <v>40</v>
      </c>
      <c r="P198" t="s">
        <v>119</v>
      </c>
      <c r="Q198" t="s">
        <v>86</v>
      </c>
      <c r="R198" t="s">
        <v>258</v>
      </c>
      <c r="S198" t="s">
        <v>41</v>
      </c>
      <c r="T198" t="s">
        <v>91</v>
      </c>
      <c r="U198" t="s">
        <v>935</v>
      </c>
      <c r="V198">
        <v>1</v>
      </c>
      <c r="Z198" t="s">
        <v>50</v>
      </c>
      <c r="AA198" t="s">
        <v>44</v>
      </c>
      <c r="AB198" t="s">
        <v>45</v>
      </c>
    </row>
    <row r="199" spans="1:28" hidden="1" x14ac:dyDescent="0.2">
      <c r="A199" s="1">
        <v>45618</v>
      </c>
      <c r="B199" s="1">
        <v>45618</v>
      </c>
      <c r="C199" t="s">
        <v>41</v>
      </c>
      <c r="D199" t="s">
        <v>451</v>
      </c>
      <c r="E199">
        <v>-76.882615000000001</v>
      </c>
      <c r="F199" s="2" t="s">
        <v>452</v>
      </c>
      <c r="G199">
        <v>606</v>
      </c>
      <c r="I199">
        <v>2024</v>
      </c>
      <c r="J199">
        <v>15</v>
      </c>
      <c r="K199">
        <v>10</v>
      </c>
      <c r="M199" t="s">
        <v>30</v>
      </c>
      <c r="N199" t="s">
        <v>31</v>
      </c>
      <c r="O199" t="s">
        <v>40</v>
      </c>
      <c r="P199" t="s">
        <v>130</v>
      </c>
      <c r="Q199" t="s">
        <v>86</v>
      </c>
      <c r="R199" t="s">
        <v>412</v>
      </c>
      <c r="T199" t="s">
        <v>42</v>
      </c>
      <c r="U199" t="s">
        <v>112</v>
      </c>
      <c r="V199">
        <v>4</v>
      </c>
      <c r="Z199" t="s">
        <v>50</v>
      </c>
      <c r="AA199" t="s">
        <v>44</v>
      </c>
      <c r="AB199" t="s">
        <v>45</v>
      </c>
    </row>
    <row r="200" spans="1:28" hidden="1" x14ac:dyDescent="0.2">
      <c r="A200" s="1">
        <v>45618</v>
      </c>
      <c r="B200" s="1">
        <v>45618</v>
      </c>
      <c r="C200" t="s">
        <v>41</v>
      </c>
      <c r="D200" t="s">
        <v>453</v>
      </c>
      <c r="E200">
        <v>-76.883033333333302</v>
      </c>
      <c r="F200" s="2" t="s">
        <v>454</v>
      </c>
      <c r="G200">
        <v>606</v>
      </c>
      <c r="I200">
        <v>2024</v>
      </c>
      <c r="J200">
        <v>15</v>
      </c>
      <c r="K200">
        <v>10</v>
      </c>
      <c r="M200" t="s">
        <v>30</v>
      </c>
      <c r="N200" t="s">
        <v>31</v>
      </c>
      <c r="O200" t="s">
        <v>40</v>
      </c>
      <c r="P200" t="s">
        <v>130</v>
      </c>
      <c r="Q200" t="s">
        <v>86</v>
      </c>
      <c r="R200" t="s">
        <v>412</v>
      </c>
      <c r="S200" t="s">
        <v>41</v>
      </c>
      <c r="T200" t="s">
        <v>42</v>
      </c>
      <c r="U200" t="s">
        <v>112</v>
      </c>
      <c r="V200">
        <v>3</v>
      </c>
      <c r="Z200" t="s">
        <v>50</v>
      </c>
      <c r="AA200" t="s">
        <v>44</v>
      </c>
      <c r="AB200" t="s">
        <v>45</v>
      </c>
    </row>
    <row r="201" spans="1:28" hidden="1" x14ac:dyDescent="0.2">
      <c r="A201" s="1">
        <v>45618</v>
      </c>
      <c r="B201" s="1">
        <v>45618</v>
      </c>
      <c r="C201" t="s">
        <v>41</v>
      </c>
      <c r="D201" t="s">
        <v>455</v>
      </c>
      <c r="E201">
        <v>-76.882424999999998</v>
      </c>
      <c r="F201" s="2" t="s">
        <v>456</v>
      </c>
      <c r="G201">
        <v>663</v>
      </c>
      <c r="I201">
        <v>2024</v>
      </c>
      <c r="J201">
        <v>20</v>
      </c>
      <c r="K201">
        <v>10</v>
      </c>
      <c r="M201" t="s">
        <v>30</v>
      </c>
      <c r="N201" t="s">
        <v>31</v>
      </c>
      <c r="O201" t="s">
        <v>47</v>
      </c>
      <c r="P201" t="s">
        <v>130</v>
      </c>
      <c r="Q201" t="s">
        <v>86</v>
      </c>
      <c r="R201" t="s">
        <v>412</v>
      </c>
      <c r="U201" t="s">
        <v>36</v>
      </c>
      <c r="W201" t="s">
        <v>457</v>
      </c>
    </row>
    <row r="202" spans="1:28" hidden="1" x14ac:dyDescent="0.2">
      <c r="A202" s="1">
        <v>45618</v>
      </c>
      <c r="B202" s="1">
        <v>45618</v>
      </c>
      <c r="C202" t="s">
        <v>41</v>
      </c>
      <c r="D202" t="s">
        <v>458</v>
      </c>
      <c r="E202">
        <v>-76.881813333333298</v>
      </c>
      <c r="F202" s="2" t="s">
        <v>459</v>
      </c>
      <c r="G202">
        <v>663</v>
      </c>
      <c r="I202">
        <v>2024</v>
      </c>
      <c r="J202">
        <v>20</v>
      </c>
      <c r="K202">
        <v>10</v>
      </c>
      <c r="M202" t="s">
        <v>30</v>
      </c>
      <c r="N202" t="s">
        <v>31</v>
      </c>
      <c r="O202" t="s">
        <v>32</v>
      </c>
      <c r="P202" t="s">
        <v>130</v>
      </c>
      <c r="Q202" t="s">
        <v>86</v>
      </c>
      <c r="R202" t="s">
        <v>412</v>
      </c>
      <c r="U202" t="s">
        <v>36</v>
      </c>
      <c r="W202" t="s">
        <v>415</v>
      </c>
    </row>
    <row r="203" spans="1:28" hidden="1" x14ac:dyDescent="0.2">
      <c r="A203" s="1">
        <v>45618</v>
      </c>
      <c r="B203" s="1">
        <v>45618</v>
      </c>
      <c r="C203" t="s">
        <v>41</v>
      </c>
      <c r="D203" t="s">
        <v>460</v>
      </c>
      <c r="E203">
        <v>-76.880595</v>
      </c>
      <c r="F203">
        <v>3.5529350000000002</v>
      </c>
      <c r="G203">
        <v>663</v>
      </c>
      <c r="I203">
        <v>2024</v>
      </c>
      <c r="J203">
        <v>15</v>
      </c>
      <c r="K203">
        <v>10</v>
      </c>
      <c r="M203" t="s">
        <v>30</v>
      </c>
      <c r="N203" t="s">
        <v>31</v>
      </c>
      <c r="O203" t="s">
        <v>32</v>
      </c>
      <c r="P203" t="s">
        <v>130</v>
      </c>
      <c r="Q203" t="s">
        <v>86</v>
      </c>
      <c r="R203" t="s">
        <v>53</v>
      </c>
      <c r="S203" t="s">
        <v>41</v>
      </c>
      <c r="T203" t="s">
        <v>42</v>
      </c>
      <c r="U203" t="s">
        <v>461</v>
      </c>
      <c r="V203">
        <v>3</v>
      </c>
      <c r="Z203" t="s">
        <v>50</v>
      </c>
      <c r="AA203" t="s">
        <v>44</v>
      </c>
      <c r="AB203" t="s">
        <v>45</v>
      </c>
    </row>
    <row r="204" spans="1:28" hidden="1" x14ac:dyDescent="0.2">
      <c r="A204" s="1">
        <v>45618</v>
      </c>
      <c r="B204" s="1">
        <v>45618</v>
      </c>
      <c r="C204" t="s">
        <v>41</v>
      </c>
      <c r="D204" t="s">
        <v>462</v>
      </c>
      <c r="E204">
        <v>-76.890603333333303</v>
      </c>
      <c r="F204" s="2" t="s">
        <v>463</v>
      </c>
      <c r="G204">
        <v>684</v>
      </c>
      <c r="H204">
        <v>12</v>
      </c>
      <c r="I204">
        <v>2024</v>
      </c>
      <c r="J204">
        <v>25</v>
      </c>
      <c r="K204">
        <v>20</v>
      </c>
      <c r="M204" t="s">
        <v>30</v>
      </c>
      <c r="N204" t="s">
        <v>31</v>
      </c>
      <c r="O204" t="s">
        <v>32</v>
      </c>
      <c r="P204" t="s">
        <v>119</v>
      </c>
      <c r="Q204" t="s">
        <v>86</v>
      </c>
      <c r="R204" t="s">
        <v>105</v>
      </c>
      <c r="S204" t="s">
        <v>41</v>
      </c>
      <c r="U204" t="s">
        <v>178</v>
      </c>
      <c r="V204">
        <v>1</v>
      </c>
      <c r="Z204" t="s">
        <v>36</v>
      </c>
      <c r="AA204" t="s">
        <v>44</v>
      </c>
      <c r="AB204" t="s">
        <v>45</v>
      </c>
    </row>
    <row r="205" spans="1:28" hidden="1" x14ac:dyDescent="0.2">
      <c r="A205" s="1">
        <v>45618</v>
      </c>
      <c r="B205" s="1">
        <v>45618</v>
      </c>
      <c r="C205" t="s">
        <v>41</v>
      </c>
      <c r="D205" t="s">
        <v>464</v>
      </c>
      <c r="E205">
        <v>-76.890401666666605</v>
      </c>
      <c r="F205" s="2" t="s">
        <v>465</v>
      </c>
      <c r="G205">
        <v>684</v>
      </c>
      <c r="H205">
        <v>12</v>
      </c>
      <c r="I205">
        <v>2024</v>
      </c>
      <c r="J205">
        <v>25</v>
      </c>
      <c r="K205">
        <v>20</v>
      </c>
      <c r="M205" t="s">
        <v>30</v>
      </c>
      <c r="N205" t="s">
        <v>31</v>
      </c>
      <c r="O205" t="s">
        <v>32</v>
      </c>
      <c r="P205" t="s">
        <v>119</v>
      </c>
      <c r="Q205" t="s">
        <v>86</v>
      </c>
      <c r="R205" t="s">
        <v>105</v>
      </c>
      <c r="T205" t="s">
        <v>91</v>
      </c>
      <c r="U205" t="s">
        <v>178</v>
      </c>
      <c r="V205">
        <v>1</v>
      </c>
      <c r="W205" t="s">
        <v>425</v>
      </c>
      <c r="Z205" t="s">
        <v>36</v>
      </c>
      <c r="AA205" t="s">
        <v>44</v>
      </c>
      <c r="AB205" t="s">
        <v>45</v>
      </c>
    </row>
    <row r="206" spans="1:28" hidden="1" x14ac:dyDescent="0.2">
      <c r="A206" s="1">
        <v>45618</v>
      </c>
      <c r="B206" s="1">
        <v>45618</v>
      </c>
      <c r="C206" t="s">
        <v>41</v>
      </c>
      <c r="D206" t="s">
        <v>466</v>
      </c>
      <c r="E206">
        <v>-76.890379999999993</v>
      </c>
      <c r="F206" s="2" t="s">
        <v>467</v>
      </c>
      <c r="G206">
        <v>684</v>
      </c>
      <c r="H206">
        <v>12</v>
      </c>
      <c r="I206">
        <v>2024</v>
      </c>
      <c r="J206">
        <v>25</v>
      </c>
      <c r="K206">
        <v>20</v>
      </c>
      <c r="M206" t="s">
        <v>30</v>
      </c>
      <c r="N206" t="s">
        <v>31</v>
      </c>
      <c r="O206" t="s">
        <v>32</v>
      </c>
      <c r="P206" t="s">
        <v>119</v>
      </c>
      <c r="Q206" t="s">
        <v>86</v>
      </c>
      <c r="R206" t="s">
        <v>105</v>
      </c>
      <c r="S206" t="s">
        <v>428</v>
      </c>
      <c r="T206" t="s">
        <v>91</v>
      </c>
      <c r="U206" t="s">
        <v>178</v>
      </c>
      <c r="V206">
        <v>1</v>
      </c>
      <c r="Z206" t="s">
        <v>36</v>
      </c>
      <c r="AA206" t="s">
        <v>65</v>
      </c>
      <c r="AB206" t="s">
        <v>45</v>
      </c>
    </row>
    <row r="207" spans="1:28" hidden="1" x14ac:dyDescent="0.2">
      <c r="A207" s="1">
        <v>45618</v>
      </c>
      <c r="B207" s="1">
        <v>45618</v>
      </c>
      <c r="C207" t="s">
        <v>41</v>
      </c>
      <c r="D207" t="s">
        <v>468</v>
      </c>
      <c r="E207">
        <v>-76.89076</v>
      </c>
      <c r="F207" s="2" t="s">
        <v>469</v>
      </c>
      <c r="G207">
        <v>684</v>
      </c>
      <c r="H207">
        <v>12</v>
      </c>
      <c r="I207">
        <v>2024</v>
      </c>
      <c r="J207">
        <v>25</v>
      </c>
      <c r="K207">
        <v>20</v>
      </c>
      <c r="M207" t="s">
        <v>30</v>
      </c>
      <c r="N207" t="s">
        <v>31</v>
      </c>
      <c r="O207" t="s">
        <v>32</v>
      </c>
      <c r="P207" t="s">
        <v>119</v>
      </c>
      <c r="Q207" t="s">
        <v>86</v>
      </c>
      <c r="R207" t="s">
        <v>105</v>
      </c>
      <c r="S207" t="s">
        <v>41</v>
      </c>
      <c r="T207" t="s">
        <v>42</v>
      </c>
      <c r="U207" t="s">
        <v>178</v>
      </c>
      <c r="V207">
        <v>1</v>
      </c>
      <c r="Z207" t="s">
        <v>36</v>
      </c>
      <c r="AA207" t="s">
        <v>44</v>
      </c>
      <c r="AB207" t="s">
        <v>45</v>
      </c>
    </row>
    <row r="208" spans="1:28" hidden="1" x14ac:dyDescent="0.2">
      <c r="A208" s="1">
        <v>45618</v>
      </c>
      <c r="B208" s="1">
        <v>45618</v>
      </c>
      <c r="C208" t="s">
        <v>41</v>
      </c>
      <c r="D208" t="s">
        <v>470</v>
      </c>
      <c r="E208">
        <v>-76.890703333333306</v>
      </c>
      <c r="F208" s="2" t="s">
        <v>471</v>
      </c>
      <c r="G208">
        <v>684</v>
      </c>
      <c r="H208">
        <v>12</v>
      </c>
      <c r="I208">
        <v>2024</v>
      </c>
      <c r="J208">
        <v>25</v>
      </c>
      <c r="K208">
        <v>20</v>
      </c>
      <c r="M208" t="s">
        <v>30</v>
      </c>
      <c r="N208" t="s">
        <v>31</v>
      </c>
      <c r="O208" t="s">
        <v>32</v>
      </c>
      <c r="P208" t="s">
        <v>119</v>
      </c>
      <c r="Q208" t="s">
        <v>86</v>
      </c>
      <c r="R208" t="s">
        <v>105</v>
      </c>
      <c r="T208" t="s">
        <v>42</v>
      </c>
      <c r="U208" t="s">
        <v>178</v>
      </c>
      <c r="V208">
        <v>1</v>
      </c>
      <c r="W208" t="s">
        <v>472</v>
      </c>
      <c r="Z208" t="s">
        <v>36</v>
      </c>
      <c r="AA208" t="s">
        <v>44</v>
      </c>
      <c r="AB208" t="s">
        <v>45</v>
      </c>
    </row>
    <row r="209" spans="1:28" hidden="1" x14ac:dyDescent="0.2">
      <c r="A209" s="1">
        <v>45618</v>
      </c>
      <c r="B209" s="1">
        <v>45618</v>
      </c>
      <c r="C209" t="s">
        <v>41</v>
      </c>
      <c r="D209" t="s">
        <v>473</v>
      </c>
      <c r="E209">
        <v>-76.890373333333301</v>
      </c>
      <c r="F209" s="2" t="s">
        <v>474</v>
      </c>
      <c r="G209">
        <v>684</v>
      </c>
      <c r="H209">
        <v>12</v>
      </c>
      <c r="I209">
        <v>2024</v>
      </c>
      <c r="J209">
        <v>25</v>
      </c>
      <c r="K209">
        <v>20</v>
      </c>
      <c r="M209" t="s">
        <v>30</v>
      </c>
      <c r="N209" t="s">
        <v>31</v>
      </c>
      <c r="O209" t="s">
        <v>32</v>
      </c>
      <c r="P209" t="s">
        <v>119</v>
      </c>
      <c r="Q209" t="s">
        <v>86</v>
      </c>
      <c r="R209" t="s">
        <v>105</v>
      </c>
      <c r="T209" t="s">
        <v>42</v>
      </c>
      <c r="U209" t="s">
        <v>178</v>
      </c>
      <c r="V209">
        <v>1</v>
      </c>
      <c r="Z209" t="s">
        <v>36</v>
      </c>
      <c r="AA209" t="s">
        <v>44</v>
      </c>
      <c r="AB209" t="s">
        <v>45</v>
      </c>
    </row>
    <row r="210" spans="1:28" hidden="1" x14ac:dyDescent="0.2">
      <c r="A210" s="1">
        <v>45618</v>
      </c>
      <c r="B210" s="1">
        <v>45618</v>
      </c>
      <c r="C210" t="s">
        <v>41</v>
      </c>
      <c r="D210" t="s">
        <v>475</v>
      </c>
      <c r="E210">
        <v>-76.8910116666666</v>
      </c>
      <c r="F210" s="2" t="s">
        <v>476</v>
      </c>
      <c r="G210">
        <v>684</v>
      </c>
      <c r="H210">
        <v>12</v>
      </c>
      <c r="I210">
        <v>2024</v>
      </c>
      <c r="J210">
        <v>25</v>
      </c>
      <c r="K210">
        <v>20</v>
      </c>
      <c r="M210" t="s">
        <v>30</v>
      </c>
      <c r="N210" t="s">
        <v>31</v>
      </c>
      <c r="O210" t="s">
        <v>32</v>
      </c>
      <c r="P210" t="s">
        <v>119</v>
      </c>
      <c r="Q210" t="s">
        <v>86</v>
      </c>
      <c r="R210" t="s">
        <v>105</v>
      </c>
      <c r="S210" t="s">
        <v>41</v>
      </c>
      <c r="T210" t="s">
        <v>42</v>
      </c>
      <c r="U210" t="s">
        <v>178</v>
      </c>
      <c r="V210">
        <v>1</v>
      </c>
      <c r="Z210" t="s">
        <v>36</v>
      </c>
      <c r="AA210" t="s">
        <v>160</v>
      </c>
      <c r="AB210" t="s">
        <v>45</v>
      </c>
    </row>
    <row r="211" spans="1:28" hidden="1" x14ac:dyDescent="0.2">
      <c r="A211" s="1">
        <v>45618</v>
      </c>
      <c r="B211" s="1">
        <v>45618</v>
      </c>
      <c r="C211" t="s">
        <v>41</v>
      </c>
      <c r="D211" t="s">
        <v>477</v>
      </c>
      <c r="E211">
        <v>-76.890678333333298</v>
      </c>
      <c r="F211" s="2" t="s">
        <v>478</v>
      </c>
      <c r="G211">
        <v>684</v>
      </c>
      <c r="H211">
        <v>12</v>
      </c>
      <c r="I211">
        <v>2024</v>
      </c>
      <c r="J211">
        <v>25</v>
      </c>
      <c r="K211">
        <v>20</v>
      </c>
      <c r="M211" t="s">
        <v>30</v>
      </c>
      <c r="N211" t="s">
        <v>31</v>
      </c>
      <c r="O211" t="s">
        <v>32</v>
      </c>
      <c r="P211" t="s">
        <v>119</v>
      </c>
      <c r="Q211" t="s">
        <v>86</v>
      </c>
      <c r="R211" t="s">
        <v>105</v>
      </c>
      <c r="T211" t="s">
        <v>42</v>
      </c>
      <c r="U211" t="s">
        <v>84</v>
      </c>
      <c r="V211">
        <v>1</v>
      </c>
      <c r="W211" t="s">
        <v>81</v>
      </c>
      <c r="Z211" t="s">
        <v>36</v>
      </c>
      <c r="AA211" t="s">
        <v>44</v>
      </c>
      <c r="AB211" t="s">
        <v>45</v>
      </c>
    </row>
    <row r="212" spans="1:28" hidden="1" x14ac:dyDescent="0.2">
      <c r="A212" s="1">
        <v>45618</v>
      </c>
      <c r="B212" s="1">
        <v>45618</v>
      </c>
      <c r="C212" t="s">
        <v>41</v>
      </c>
      <c r="D212" t="s">
        <v>479</v>
      </c>
      <c r="E212">
        <v>-76.890851666666606</v>
      </c>
      <c r="F212" s="2" t="s">
        <v>480</v>
      </c>
      <c r="G212">
        <v>684</v>
      </c>
      <c r="H212">
        <v>12</v>
      </c>
      <c r="I212">
        <v>2024</v>
      </c>
      <c r="J212">
        <v>25</v>
      </c>
      <c r="K212">
        <v>20</v>
      </c>
      <c r="M212" t="s">
        <v>30</v>
      </c>
      <c r="N212" t="s">
        <v>31</v>
      </c>
      <c r="O212" t="s">
        <v>32</v>
      </c>
      <c r="P212" t="s">
        <v>119</v>
      </c>
      <c r="Q212" t="s">
        <v>34</v>
      </c>
      <c r="R212" t="s">
        <v>105</v>
      </c>
      <c r="T212" t="s">
        <v>42</v>
      </c>
      <c r="U212" t="s">
        <v>112</v>
      </c>
      <c r="V212">
        <v>1</v>
      </c>
      <c r="W212" t="s">
        <v>472</v>
      </c>
      <c r="Z212" t="s">
        <v>36</v>
      </c>
      <c r="AA212" t="s">
        <v>44</v>
      </c>
      <c r="AB212" t="s">
        <v>45</v>
      </c>
    </row>
    <row r="213" spans="1:28" hidden="1" x14ac:dyDescent="0.2">
      <c r="A213" s="1">
        <v>45618</v>
      </c>
      <c r="B213" s="1">
        <v>45618</v>
      </c>
      <c r="C213" t="s">
        <v>41</v>
      </c>
      <c r="D213" t="s">
        <v>481</v>
      </c>
      <c r="E213">
        <v>-76.88964</v>
      </c>
      <c r="F213" s="2" t="s">
        <v>482</v>
      </c>
      <c r="G213">
        <v>597</v>
      </c>
      <c r="H213">
        <v>15</v>
      </c>
      <c r="I213">
        <v>2024</v>
      </c>
      <c r="K213">
        <v>10</v>
      </c>
      <c r="M213" t="s">
        <v>30</v>
      </c>
      <c r="N213" t="s">
        <v>31</v>
      </c>
      <c r="O213" t="s">
        <v>38</v>
      </c>
      <c r="P213" t="s">
        <v>119</v>
      </c>
      <c r="Q213" t="s">
        <v>34</v>
      </c>
      <c r="R213" t="s">
        <v>258</v>
      </c>
      <c r="S213" t="s">
        <v>41</v>
      </c>
      <c r="T213" t="s">
        <v>42</v>
      </c>
      <c r="U213" t="s">
        <v>84</v>
      </c>
      <c r="V213">
        <v>1</v>
      </c>
      <c r="Z213" t="s">
        <v>50</v>
      </c>
      <c r="AA213" t="s">
        <v>44</v>
      </c>
      <c r="AB213" t="s">
        <v>45</v>
      </c>
    </row>
    <row r="214" spans="1:28" hidden="1" x14ac:dyDescent="0.2">
      <c r="A214" s="1">
        <v>45618</v>
      </c>
      <c r="B214" s="1">
        <v>45618</v>
      </c>
      <c r="C214" t="s">
        <v>41</v>
      </c>
      <c r="D214" t="s">
        <v>483</v>
      </c>
      <c r="E214">
        <v>-76.889511666666607</v>
      </c>
      <c r="F214">
        <v>3.5514199999999998</v>
      </c>
      <c r="G214">
        <v>597</v>
      </c>
      <c r="H214">
        <v>15</v>
      </c>
      <c r="I214">
        <v>2024</v>
      </c>
      <c r="K214">
        <v>10</v>
      </c>
      <c r="M214" t="s">
        <v>30</v>
      </c>
      <c r="N214" t="s">
        <v>31</v>
      </c>
      <c r="O214" t="s">
        <v>38</v>
      </c>
      <c r="P214" t="s">
        <v>119</v>
      </c>
      <c r="Q214" t="s">
        <v>34</v>
      </c>
      <c r="R214" t="s">
        <v>258</v>
      </c>
      <c r="S214" t="s">
        <v>41</v>
      </c>
      <c r="T214" t="s">
        <v>91</v>
      </c>
      <c r="U214" t="s">
        <v>92</v>
      </c>
      <c r="V214">
        <v>2</v>
      </c>
      <c r="Z214" t="s">
        <v>50</v>
      </c>
      <c r="AA214" t="s">
        <v>44</v>
      </c>
      <c r="AB214" t="s">
        <v>45</v>
      </c>
    </row>
    <row r="215" spans="1:28" hidden="1" x14ac:dyDescent="0.2">
      <c r="A215" s="1">
        <v>45618</v>
      </c>
      <c r="B215" s="1">
        <v>45618</v>
      </c>
      <c r="C215" t="s">
        <v>41</v>
      </c>
      <c r="D215" t="s">
        <v>484</v>
      </c>
      <c r="E215">
        <v>-76.889778333333297</v>
      </c>
      <c r="F215" s="2" t="s">
        <v>485</v>
      </c>
      <c r="G215">
        <v>597</v>
      </c>
      <c r="H215">
        <v>15</v>
      </c>
      <c r="I215">
        <v>2024</v>
      </c>
      <c r="K215">
        <v>10</v>
      </c>
      <c r="M215" t="s">
        <v>30</v>
      </c>
      <c r="N215" t="s">
        <v>31</v>
      </c>
      <c r="O215" t="s">
        <v>38</v>
      </c>
      <c r="P215" t="s">
        <v>119</v>
      </c>
      <c r="Q215" t="s">
        <v>34</v>
      </c>
      <c r="R215" t="s">
        <v>258</v>
      </c>
      <c r="T215" t="s">
        <v>42</v>
      </c>
      <c r="U215" t="s">
        <v>178</v>
      </c>
      <c r="V215">
        <v>26</v>
      </c>
      <c r="Z215" t="s">
        <v>50</v>
      </c>
      <c r="AA215" t="s">
        <v>44</v>
      </c>
      <c r="AB215" t="s">
        <v>45</v>
      </c>
    </row>
    <row r="216" spans="1:28" hidden="1" x14ac:dyDescent="0.2">
      <c r="A216" s="1">
        <v>45618</v>
      </c>
      <c r="B216" s="1">
        <v>45618</v>
      </c>
      <c r="C216" t="s">
        <v>41</v>
      </c>
      <c r="D216" t="s">
        <v>486</v>
      </c>
      <c r="E216">
        <v>-76.890028333333305</v>
      </c>
      <c r="F216" s="2" t="s">
        <v>487</v>
      </c>
      <c r="G216">
        <v>597</v>
      </c>
      <c r="H216">
        <v>15</v>
      </c>
      <c r="I216">
        <v>2024</v>
      </c>
      <c r="K216">
        <v>10</v>
      </c>
      <c r="M216" t="s">
        <v>30</v>
      </c>
      <c r="N216" t="s">
        <v>31</v>
      </c>
      <c r="O216" t="s">
        <v>38</v>
      </c>
      <c r="P216" t="s">
        <v>119</v>
      </c>
      <c r="Q216" t="s">
        <v>86</v>
      </c>
      <c r="R216" t="s">
        <v>258</v>
      </c>
      <c r="T216" t="s">
        <v>42</v>
      </c>
      <c r="U216" t="s">
        <v>178</v>
      </c>
      <c r="V216">
        <v>1</v>
      </c>
      <c r="Z216" t="s">
        <v>50</v>
      </c>
      <c r="AA216" t="s">
        <v>44</v>
      </c>
      <c r="AB216" t="s">
        <v>45</v>
      </c>
    </row>
    <row r="217" spans="1:28" hidden="1" x14ac:dyDescent="0.2">
      <c r="A217" s="1">
        <v>45618</v>
      </c>
      <c r="B217" s="1">
        <v>45618</v>
      </c>
      <c r="C217" t="s">
        <v>41</v>
      </c>
      <c r="D217" t="s">
        <v>488</v>
      </c>
      <c r="E217">
        <v>-76.890079999999998</v>
      </c>
      <c r="F217" s="2" t="s">
        <v>489</v>
      </c>
      <c r="G217">
        <v>597</v>
      </c>
      <c r="H217">
        <v>15</v>
      </c>
      <c r="I217">
        <v>2024</v>
      </c>
      <c r="K217">
        <v>10</v>
      </c>
      <c r="M217" t="s">
        <v>30</v>
      </c>
      <c r="N217" t="s">
        <v>31</v>
      </c>
      <c r="O217" t="s">
        <v>38</v>
      </c>
      <c r="P217" t="s">
        <v>119</v>
      </c>
      <c r="Q217" t="s">
        <v>86</v>
      </c>
      <c r="R217" t="s">
        <v>258</v>
      </c>
      <c r="T217" t="s">
        <v>42</v>
      </c>
      <c r="U217" t="s">
        <v>112</v>
      </c>
      <c r="V217">
        <v>3</v>
      </c>
      <c r="Z217" t="s">
        <v>50</v>
      </c>
      <c r="AA217" t="s">
        <v>44</v>
      </c>
      <c r="AB217" t="s">
        <v>45</v>
      </c>
    </row>
    <row r="218" spans="1:28" hidden="1" x14ac:dyDescent="0.2">
      <c r="A218" s="1">
        <v>45618</v>
      </c>
      <c r="B218" s="1">
        <v>45618</v>
      </c>
      <c r="C218" t="s">
        <v>41</v>
      </c>
      <c r="D218" t="s">
        <v>490</v>
      </c>
      <c r="E218">
        <v>-76.890100000000004</v>
      </c>
      <c r="F218">
        <v>3.5511650000000001</v>
      </c>
      <c r="G218">
        <v>597</v>
      </c>
      <c r="H218">
        <v>15</v>
      </c>
      <c r="I218">
        <v>2024</v>
      </c>
      <c r="K218">
        <v>10</v>
      </c>
      <c r="M218" t="s">
        <v>30</v>
      </c>
      <c r="N218" t="s">
        <v>31</v>
      </c>
      <c r="O218" t="s">
        <v>38</v>
      </c>
      <c r="P218" t="s">
        <v>119</v>
      </c>
      <c r="Q218" t="s">
        <v>86</v>
      </c>
      <c r="R218" t="s">
        <v>258</v>
      </c>
      <c r="S218" t="s">
        <v>491</v>
      </c>
      <c r="T218" t="s">
        <v>42</v>
      </c>
      <c r="U218" t="s">
        <v>84</v>
      </c>
      <c r="V218">
        <v>1</v>
      </c>
      <c r="Z218" t="s">
        <v>50</v>
      </c>
      <c r="AA218" t="s">
        <v>44</v>
      </c>
      <c r="AB218" t="s">
        <v>45</v>
      </c>
    </row>
    <row r="219" spans="1:28" hidden="1" x14ac:dyDescent="0.2">
      <c r="A219" s="1">
        <v>45618</v>
      </c>
      <c r="B219" s="1">
        <v>45618</v>
      </c>
      <c r="C219" t="s">
        <v>41</v>
      </c>
      <c r="D219" t="s">
        <v>492</v>
      </c>
      <c r="E219">
        <v>-76.888255000000001</v>
      </c>
      <c r="F219" s="2" t="s">
        <v>175</v>
      </c>
      <c r="I219">
        <v>2024</v>
      </c>
      <c r="J219">
        <v>20</v>
      </c>
      <c r="K219">
        <v>10</v>
      </c>
      <c r="M219" t="s">
        <v>30</v>
      </c>
      <c r="N219" t="s">
        <v>31</v>
      </c>
      <c r="O219" t="s">
        <v>40</v>
      </c>
      <c r="P219" t="s">
        <v>119</v>
      </c>
      <c r="Q219" t="s">
        <v>34</v>
      </c>
      <c r="R219" t="s">
        <v>412</v>
      </c>
      <c r="T219" t="s">
        <v>42</v>
      </c>
      <c r="U219" t="s">
        <v>116</v>
      </c>
      <c r="V219">
        <v>1</v>
      </c>
      <c r="W219" t="s">
        <v>81</v>
      </c>
      <c r="Z219" t="s">
        <v>50</v>
      </c>
      <c r="AA219" t="s">
        <v>44</v>
      </c>
      <c r="AB219" t="s">
        <v>45</v>
      </c>
    </row>
    <row r="220" spans="1:28" hidden="1" x14ac:dyDescent="0.2">
      <c r="A220" s="1">
        <v>45618</v>
      </c>
      <c r="B220" s="1">
        <v>45618</v>
      </c>
      <c r="C220" t="s">
        <v>41</v>
      </c>
      <c r="D220" t="s">
        <v>493</v>
      </c>
      <c r="E220">
        <v>-76.888305000000003</v>
      </c>
      <c r="F220" s="2" t="s">
        <v>494</v>
      </c>
      <c r="I220">
        <v>2024</v>
      </c>
      <c r="J220">
        <v>20</v>
      </c>
      <c r="K220">
        <v>10</v>
      </c>
      <c r="M220" t="s">
        <v>30</v>
      </c>
      <c r="N220" t="s">
        <v>31</v>
      </c>
      <c r="O220" t="s">
        <v>40</v>
      </c>
      <c r="P220" t="s">
        <v>119</v>
      </c>
      <c r="Q220" t="s">
        <v>34</v>
      </c>
      <c r="R220" t="s">
        <v>412</v>
      </c>
      <c r="T220" t="s">
        <v>42</v>
      </c>
      <c r="U220" t="s">
        <v>935</v>
      </c>
      <c r="V220">
        <v>2</v>
      </c>
      <c r="W220" t="s">
        <v>495</v>
      </c>
      <c r="Z220" t="s">
        <v>50</v>
      </c>
      <c r="AA220" t="s">
        <v>44</v>
      </c>
      <c r="AB220" t="s">
        <v>45</v>
      </c>
    </row>
    <row r="221" spans="1:28" hidden="1" x14ac:dyDescent="0.2">
      <c r="A221" s="1">
        <v>45618</v>
      </c>
      <c r="B221" s="1">
        <v>45618</v>
      </c>
      <c r="C221" t="s">
        <v>41</v>
      </c>
      <c r="D221" t="s">
        <v>496</v>
      </c>
      <c r="E221">
        <v>-76.888580000000005</v>
      </c>
      <c r="F221" s="2" t="s">
        <v>497</v>
      </c>
      <c r="I221">
        <v>2024</v>
      </c>
      <c r="J221">
        <v>20</v>
      </c>
      <c r="K221">
        <v>10</v>
      </c>
      <c r="M221" t="s">
        <v>30</v>
      </c>
      <c r="N221" t="s">
        <v>31</v>
      </c>
      <c r="O221" t="s">
        <v>40</v>
      </c>
      <c r="P221" t="s">
        <v>119</v>
      </c>
      <c r="Q221" t="s">
        <v>34</v>
      </c>
      <c r="R221" t="s">
        <v>412</v>
      </c>
      <c r="T221" t="s">
        <v>42</v>
      </c>
      <c r="U221" t="s">
        <v>116</v>
      </c>
      <c r="V221">
        <v>1</v>
      </c>
      <c r="W221" t="s">
        <v>498</v>
      </c>
      <c r="Z221" t="s">
        <v>50</v>
      </c>
      <c r="AA221" t="s">
        <v>44</v>
      </c>
      <c r="AB221" t="s">
        <v>45</v>
      </c>
    </row>
    <row r="222" spans="1:28" hidden="1" x14ac:dyDescent="0.2">
      <c r="A222" s="1">
        <v>45618</v>
      </c>
      <c r="B222" s="1">
        <v>45618</v>
      </c>
      <c r="C222" t="s">
        <v>41</v>
      </c>
      <c r="D222" t="s">
        <v>499</v>
      </c>
      <c r="E222">
        <v>-76.888583333333301</v>
      </c>
      <c r="F222" s="2" t="s">
        <v>500</v>
      </c>
      <c r="I222">
        <v>2024</v>
      </c>
      <c r="J222">
        <v>20</v>
      </c>
      <c r="K222">
        <v>10</v>
      </c>
      <c r="M222" t="s">
        <v>30</v>
      </c>
      <c r="N222" t="s">
        <v>31</v>
      </c>
      <c r="O222" t="s">
        <v>40</v>
      </c>
      <c r="P222" t="s">
        <v>119</v>
      </c>
      <c r="Q222" t="s">
        <v>34</v>
      </c>
      <c r="R222" t="s">
        <v>412</v>
      </c>
      <c r="S222" t="s">
        <v>41</v>
      </c>
      <c r="T222" t="s">
        <v>91</v>
      </c>
      <c r="U222" t="s">
        <v>178</v>
      </c>
      <c r="V222">
        <v>4</v>
      </c>
      <c r="Z222" t="s">
        <v>50</v>
      </c>
      <c r="AA222" t="s">
        <v>44</v>
      </c>
      <c r="AB222" t="s">
        <v>45</v>
      </c>
    </row>
    <row r="223" spans="1:28" hidden="1" x14ac:dyDescent="0.2">
      <c r="A223" s="1">
        <v>45618</v>
      </c>
      <c r="B223" s="1">
        <v>45618</v>
      </c>
      <c r="C223" t="s">
        <v>41</v>
      </c>
      <c r="D223" t="s">
        <v>501</v>
      </c>
      <c r="E223">
        <v>-76.8829966666666</v>
      </c>
      <c r="F223">
        <v>3.5526049999999998</v>
      </c>
      <c r="I223">
        <v>2024</v>
      </c>
      <c r="J223">
        <v>15</v>
      </c>
      <c r="K223">
        <v>10</v>
      </c>
      <c r="M223" t="s">
        <v>30</v>
      </c>
      <c r="N223" t="s">
        <v>31</v>
      </c>
      <c r="O223" t="s">
        <v>40</v>
      </c>
      <c r="P223" t="s">
        <v>130</v>
      </c>
      <c r="Q223" t="s">
        <v>34</v>
      </c>
      <c r="R223" t="s">
        <v>258</v>
      </c>
      <c r="T223" t="s">
        <v>42</v>
      </c>
      <c r="U223" t="s">
        <v>92</v>
      </c>
      <c r="V223">
        <v>1</v>
      </c>
      <c r="W223" t="s">
        <v>81</v>
      </c>
      <c r="Z223" t="s">
        <v>50</v>
      </c>
      <c r="AA223" t="s">
        <v>44</v>
      </c>
      <c r="AB223" t="s">
        <v>45</v>
      </c>
    </row>
    <row r="224" spans="1:28" hidden="1" x14ac:dyDescent="0.2">
      <c r="A224" s="1">
        <v>45618</v>
      </c>
      <c r="B224" s="1">
        <v>45618</v>
      </c>
      <c r="C224" t="s">
        <v>41</v>
      </c>
      <c r="D224" t="s">
        <v>502</v>
      </c>
      <c r="E224">
        <v>-76.883126666666598</v>
      </c>
      <c r="F224" s="2" t="s">
        <v>503</v>
      </c>
      <c r="I224">
        <v>2024</v>
      </c>
      <c r="J224">
        <v>15</v>
      </c>
      <c r="K224">
        <v>10</v>
      </c>
      <c r="M224" t="s">
        <v>30</v>
      </c>
      <c r="N224" t="s">
        <v>31</v>
      </c>
      <c r="O224" t="s">
        <v>40</v>
      </c>
      <c r="P224" t="s">
        <v>130</v>
      </c>
      <c r="Q224" t="s">
        <v>34</v>
      </c>
      <c r="R224" t="s">
        <v>258</v>
      </c>
      <c r="T224" t="s">
        <v>504</v>
      </c>
      <c r="U224" t="s">
        <v>935</v>
      </c>
      <c r="V224">
        <v>4</v>
      </c>
      <c r="W224" t="s">
        <v>505</v>
      </c>
      <c r="Z224" t="s">
        <v>50</v>
      </c>
      <c r="AA224" t="s">
        <v>44</v>
      </c>
      <c r="AB224" t="s">
        <v>45</v>
      </c>
    </row>
    <row r="225" spans="1:28" hidden="1" x14ac:dyDescent="0.2">
      <c r="A225" s="1">
        <v>45618</v>
      </c>
      <c r="B225" s="1">
        <v>45618</v>
      </c>
      <c r="C225" t="s">
        <v>41</v>
      </c>
      <c r="D225" t="s">
        <v>506</v>
      </c>
      <c r="E225">
        <v>-76.8832666666666</v>
      </c>
      <c r="F225" s="2" t="s">
        <v>196</v>
      </c>
      <c r="I225">
        <v>2024</v>
      </c>
      <c r="J225">
        <v>15</v>
      </c>
      <c r="K225">
        <v>10</v>
      </c>
      <c r="M225" t="s">
        <v>30</v>
      </c>
      <c r="N225" t="s">
        <v>31</v>
      </c>
      <c r="O225" t="s">
        <v>40</v>
      </c>
      <c r="P225" t="s">
        <v>130</v>
      </c>
      <c r="Q225" t="s">
        <v>34</v>
      </c>
      <c r="R225" t="s">
        <v>258</v>
      </c>
      <c r="T225" t="s">
        <v>42</v>
      </c>
      <c r="U225" t="s">
        <v>71</v>
      </c>
      <c r="V225">
        <v>1</v>
      </c>
      <c r="W225" t="s">
        <v>81</v>
      </c>
      <c r="Z225" t="s">
        <v>50</v>
      </c>
      <c r="AA225" t="s">
        <v>44</v>
      </c>
      <c r="AB225" t="s">
        <v>45</v>
      </c>
    </row>
    <row r="226" spans="1:28" hidden="1" x14ac:dyDescent="0.2">
      <c r="A226" s="1">
        <v>45618</v>
      </c>
      <c r="B226" s="1">
        <v>45618</v>
      </c>
      <c r="C226" t="s">
        <v>41</v>
      </c>
      <c r="D226" t="s">
        <v>507</v>
      </c>
      <c r="E226">
        <v>-76.882201666666603</v>
      </c>
      <c r="F226" s="2" t="s">
        <v>508</v>
      </c>
      <c r="G226">
        <v>505</v>
      </c>
      <c r="H226">
        <v>1</v>
      </c>
      <c r="I226">
        <v>2024</v>
      </c>
      <c r="J226">
        <v>15</v>
      </c>
      <c r="K226">
        <v>10</v>
      </c>
      <c r="M226" t="s">
        <v>30</v>
      </c>
      <c r="N226" t="s">
        <v>31</v>
      </c>
      <c r="O226" t="s">
        <v>47</v>
      </c>
      <c r="P226" t="s">
        <v>130</v>
      </c>
      <c r="Q226" t="s">
        <v>34</v>
      </c>
      <c r="R226" t="s">
        <v>105</v>
      </c>
      <c r="U226" t="s">
        <v>36</v>
      </c>
      <c r="W226" t="s">
        <v>509</v>
      </c>
    </row>
    <row r="227" spans="1:28" hidden="1" x14ac:dyDescent="0.2">
      <c r="A227" s="1">
        <v>45618</v>
      </c>
      <c r="B227" s="1">
        <v>45618</v>
      </c>
      <c r="C227" t="s">
        <v>41</v>
      </c>
      <c r="D227" t="s">
        <v>510</v>
      </c>
      <c r="E227">
        <v>-76.881813333333298</v>
      </c>
      <c r="F227" s="2" t="s">
        <v>511</v>
      </c>
      <c r="G227">
        <v>505</v>
      </c>
      <c r="I227">
        <v>2024</v>
      </c>
      <c r="J227">
        <v>15</v>
      </c>
      <c r="K227">
        <v>10</v>
      </c>
      <c r="M227" t="s">
        <v>30</v>
      </c>
      <c r="N227" t="s">
        <v>31</v>
      </c>
      <c r="O227" t="s">
        <v>38</v>
      </c>
      <c r="P227" t="s">
        <v>130</v>
      </c>
      <c r="Q227" t="s">
        <v>34</v>
      </c>
      <c r="R227" t="s">
        <v>412</v>
      </c>
      <c r="T227" t="s">
        <v>42</v>
      </c>
      <c r="U227" t="s">
        <v>935</v>
      </c>
      <c r="V227">
        <v>2</v>
      </c>
      <c r="W227" t="s">
        <v>409</v>
      </c>
      <c r="Z227" t="s">
        <v>50</v>
      </c>
      <c r="AA227" t="s">
        <v>44</v>
      </c>
      <c r="AB227" t="s">
        <v>45</v>
      </c>
    </row>
    <row r="228" spans="1:28" hidden="1" x14ac:dyDescent="0.2">
      <c r="A228" s="1">
        <v>45618</v>
      </c>
      <c r="B228" s="1">
        <v>45618</v>
      </c>
      <c r="C228" t="s">
        <v>41</v>
      </c>
      <c r="D228" t="s">
        <v>512</v>
      </c>
      <c r="E228">
        <v>-76.882021666666603</v>
      </c>
      <c r="F228" s="2" t="s">
        <v>513</v>
      </c>
      <c r="G228">
        <v>505</v>
      </c>
      <c r="I228">
        <v>2024</v>
      </c>
      <c r="J228">
        <v>15</v>
      </c>
      <c r="K228">
        <v>10</v>
      </c>
      <c r="M228" t="s">
        <v>30</v>
      </c>
      <c r="N228" t="s">
        <v>31</v>
      </c>
      <c r="O228" t="s">
        <v>38</v>
      </c>
      <c r="P228" t="s">
        <v>130</v>
      </c>
      <c r="Q228" t="s">
        <v>34</v>
      </c>
      <c r="R228" t="s">
        <v>412</v>
      </c>
      <c r="T228" t="s">
        <v>91</v>
      </c>
      <c r="U228" t="s">
        <v>75</v>
      </c>
      <c r="V228">
        <v>2</v>
      </c>
      <c r="W228" t="s">
        <v>81</v>
      </c>
      <c r="Z228" t="s">
        <v>50</v>
      </c>
      <c r="AA228" t="s">
        <v>44</v>
      </c>
      <c r="AB228" t="s">
        <v>45</v>
      </c>
    </row>
    <row r="229" spans="1:28" hidden="1" x14ac:dyDescent="0.2">
      <c r="A229" s="1">
        <v>45618</v>
      </c>
      <c r="B229" s="1">
        <v>45618</v>
      </c>
      <c r="C229" t="s">
        <v>41</v>
      </c>
      <c r="D229" t="s">
        <v>514</v>
      </c>
      <c r="E229">
        <v>-76.882360000000006</v>
      </c>
      <c r="F229" s="2" t="s">
        <v>515</v>
      </c>
      <c r="G229">
        <v>505</v>
      </c>
      <c r="I229">
        <v>2024</v>
      </c>
      <c r="J229">
        <v>15</v>
      </c>
      <c r="K229">
        <v>10</v>
      </c>
      <c r="M229" t="s">
        <v>30</v>
      </c>
      <c r="N229" t="s">
        <v>31</v>
      </c>
      <c r="O229" t="s">
        <v>38</v>
      </c>
      <c r="P229" t="s">
        <v>130</v>
      </c>
      <c r="Q229" t="s">
        <v>34</v>
      </c>
      <c r="R229" t="s">
        <v>258</v>
      </c>
      <c r="S229" t="s">
        <v>41</v>
      </c>
      <c r="T229" t="s">
        <v>42</v>
      </c>
      <c r="U229" t="s">
        <v>935</v>
      </c>
      <c r="V229">
        <v>3</v>
      </c>
      <c r="Z229" t="s">
        <v>50</v>
      </c>
      <c r="AA229" t="s">
        <v>44</v>
      </c>
      <c r="AB229" t="s">
        <v>45</v>
      </c>
    </row>
    <row r="230" spans="1:28" hidden="1" x14ac:dyDescent="0.2">
      <c r="A230" s="1">
        <v>45618</v>
      </c>
      <c r="B230" s="1">
        <v>45618</v>
      </c>
      <c r="C230" t="s">
        <v>41</v>
      </c>
      <c r="D230" t="s">
        <v>516</v>
      </c>
      <c r="E230">
        <v>-76.880773333333295</v>
      </c>
      <c r="F230" s="2" t="s">
        <v>517</v>
      </c>
      <c r="G230">
        <v>505</v>
      </c>
      <c r="I230">
        <v>2024</v>
      </c>
      <c r="J230">
        <v>15</v>
      </c>
      <c r="K230">
        <v>10</v>
      </c>
      <c r="M230" t="s">
        <v>30</v>
      </c>
      <c r="N230" t="s">
        <v>31</v>
      </c>
      <c r="O230" t="s">
        <v>32</v>
      </c>
      <c r="P230" t="s">
        <v>130</v>
      </c>
      <c r="Q230" t="s">
        <v>86</v>
      </c>
      <c r="R230" t="s">
        <v>258</v>
      </c>
      <c r="T230" t="s">
        <v>42</v>
      </c>
      <c r="U230" t="s">
        <v>178</v>
      </c>
      <c r="V230">
        <v>1</v>
      </c>
      <c r="Z230" t="s">
        <v>50</v>
      </c>
      <c r="AA230" t="s">
        <v>44</v>
      </c>
      <c r="AB230" t="s">
        <v>45</v>
      </c>
    </row>
    <row r="231" spans="1:28" hidden="1" x14ac:dyDescent="0.2">
      <c r="A231" s="1">
        <v>45618</v>
      </c>
      <c r="B231" s="1">
        <v>45618</v>
      </c>
      <c r="C231" t="s">
        <v>41</v>
      </c>
      <c r="D231" t="s">
        <v>518</v>
      </c>
      <c r="E231">
        <v>-76.881029999999996</v>
      </c>
      <c r="F231" s="2" t="s">
        <v>519</v>
      </c>
      <c r="G231">
        <v>505</v>
      </c>
      <c r="I231">
        <v>2024</v>
      </c>
      <c r="J231">
        <v>15</v>
      </c>
      <c r="K231">
        <v>10</v>
      </c>
      <c r="M231" t="s">
        <v>30</v>
      </c>
      <c r="N231" t="s">
        <v>31</v>
      </c>
      <c r="O231" t="s">
        <v>32</v>
      </c>
      <c r="P231" t="s">
        <v>130</v>
      </c>
      <c r="Q231" t="s">
        <v>34</v>
      </c>
      <c r="R231" t="s">
        <v>258</v>
      </c>
      <c r="T231" t="s">
        <v>42</v>
      </c>
      <c r="U231" t="s">
        <v>935</v>
      </c>
      <c r="V231">
        <v>3</v>
      </c>
      <c r="W231" t="s">
        <v>409</v>
      </c>
      <c r="Z231" t="s">
        <v>50</v>
      </c>
      <c r="AA231" t="s">
        <v>44</v>
      </c>
      <c r="AB231" t="s">
        <v>45</v>
      </c>
    </row>
    <row r="232" spans="1:28" hidden="1" x14ac:dyDescent="0.2">
      <c r="A232" s="1">
        <v>45618</v>
      </c>
      <c r="B232" s="1">
        <v>45619</v>
      </c>
      <c r="C232" t="s">
        <v>41</v>
      </c>
      <c r="D232" t="s">
        <v>520</v>
      </c>
      <c r="E232">
        <v>-76.878331666666597</v>
      </c>
      <c r="F232" s="2" t="s">
        <v>521</v>
      </c>
      <c r="G232">
        <v>569</v>
      </c>
      <c r="H232">
        <v>4</v>
      </c>
      <c r="I232">
        <v>2024</v>
      </c>
      <c r="J232">
        <v>20</v>
      </c>
      <c r="K232">
        <v>15</v>
      </c>
      <c r="M232" t="s">
        <v>30</v>
      </c>
      <c r="N232" t="s">
        <v>31</v>
      </c>
      <c r="O232" t="s">
        <v>32</v>
      </c>
      <c r="P232" t="s">
        <v>111</v>
      </c>
      <c r="Q232" t="s">
        <v>86</v>
      </c>
      <c r="R232" t="s">
        <v>105</v>
      </c>
      <c r="S232" t="s">
        <v>41</v>
      </c>
      <c r="T232" t="s">
        <v>42</v>
      </c>
      <c r="U232" t="s">
        <v>116</v>
      </c>
      <c r="V232">
        <v>1</v>
      </c>
      <c r="Z232" t="s">
        <v>36</v>
      </c>
      <c r="AA232" t="s">
        <v>44</v>
      </c>
      <c r="AB232" t="s">
        <v>45</v>
      </c>
    </row>
    <row r="233" spans="1:28" hidden="1" x14ac:dyDescent="0.2">
      <c r="A233" s="1">
        <v>45618</v>
      </c>
      <c r="B233" s="1">
        <v>45619</v>
      </c>
      <c r="C233" t="s">
        <v>41</v>
      </c>
      <c r="D233" t="s">
        <v>522</v>
      </c>
      <c r="E233">
        <v>-76.878555000000006</v>
      </c>
      <c r="F233" s="2" t="s">
        <v>523</v>
      </c>
      <c r="G233">
        <v>569</v>
      </c>
      <c r="H233">
        <v>4</v>
      </c>
      <c r="I233">
        <v>2024</v>
      </c>
      <c r="J233">
        <v>20</v>
      </c>
      <c r="K233">
        <v>15</v>
      </c>
      <c r="M233" t="s">
        <v>30</v>
      </c>
      <c r="N233" t="s">
        <v>31</v>
      </c>
      <c r="O233" t="s">
        <v>32</v>
      </c>
      <c r="P233" t="s">
        <v>111</v>
      </c>
      <c r="Q233" t="s">
        <v>86</v>
      </c>
      <c r="R233" t="s">
        <v>105</v>
      </c>
      <c r="S233" t="s">
        <v>41</v>
      </c>
      <c r="T233" t="s">
        <v>42</v>
      </c>
      <c r="U233" t="s">
        <v>178</v>
      </c>
      <c r="V233">
        <v>1</v>
      </c>
      <c r="Z233" t="s">
        <v>36</v>
      </c>
      <c r="AA233" t="s">
        <v>65</v>
      </c>
      <c r="AB233" t="s">
        <v>45</v>
      </c>
    </row>
    <row r="234" spans="1:28" hidden="1" x14ac:dyDescent="0.2">
      <c r="A234" s="1">
        <v>45618</v>
      </c>
      <c r="B234" s="1">
        <v>45619</v>
      </c>
      <c r="C234" t="s">
        <v>41</v>
      </c>
      <c r="D234" t="s">
        <v>524</v>
      </c>
      <c r="E234">
        <v>-76.878511666666597</v>
      </c>
      <c r="F234" s="2" t="s">
        <v>525</v>
      </c>
      <c r="G234">
        <v>569</v>
      </c>
      <c r="H234">
        <v>4</v>
      </c>
      <c r="I234">
        <v>2024</v>
      </c>
      <c r="J234">
        <v>20</v>
      </c>
      <c r="K234">
        <v>15</v>
      </c>
      <c r="M234" t="s">
        <v>30</v>
      </c>
      <c r="N234" t="s">
        <v>31</v>
      </c>
      <c r="O234" t="s">
        <v>32</v>
      </c>
      <c r="P234" t="s">
        <v>111</v>
      </c>
      <c r="Q234" t="s">
        <v>86</v>
      </c>
      <c r="R234" t="s">
        <v>412</v>
      </c>
      <c r="S234" t="s">
        <v>41</v>
      </c>
      <c r="T234" t="s">
        <v>42</v>
      </c>
      <c r="U234" t="s">
        <v>112</v>
      </c>
      <c r="V234">
        <v>2</v>
      </c>
      <c r="Z234" t="s">
        <v>36</v>
      </c>
      <c r="AA234" t="s">
        <v>44</v>
      </c>
      <c r="AB234" t="s">
        <v>45</v>
      </c>
    </row>
    <row r="235" spans="1:28" hidden="1" x14ac:dyDescent="0.2">
      <c r="A235" s="1">
        <v>45618</v>
      </c>
      <c r="B235" s="1">
        <v>45619</v>
      </c>
      <c r="C235" t="s">
        <v>41</v>
      </c>
      <c r="D235" t="s">
        <v>526</v>
      </c>
      <c r="E235">
        <v>-76.878111666666598</v>
      </c>
      <c r="F235" s="2" t="s">
        <v>527</v>
      </c>
      <c r="G235">
        <v>569</v>
      </c>
      <c r="H235">
        <v>4</v>
      </c>
      <c r="I235">
        <v>2024</v>
      </c>
      <c r="J235">
        <v>20</v>
      </c>
      <c r="K235">
        <v>15</v>
      </c>
      <c r="M235" t="s">
        <v>30</v>
      </c>
      <c r="N235" t="s">
        <v>31</v>
      </c>
      <c r="O235" t="s">
        <v>32</v>
      </c>
      <c r="P235" t="s">
        <v>111</v>
      </c>
      <c r="Q235" t="s">
        <v>86</v>
      </c>
      <c r="R235" t="s">
        <v>105</v>
      </c>
      <c r="S235" t="s">
        <v>41</v>
      </c>
      <c r="T235" t="s">
        <v>42</v>
      </c>
      <c r="U235" t="s">
        <v>92</v>
      </c>
      <c r="V235">
        <v>1</v>
      </c>
      <c r="Z235" t="s">
        <v>36</v>
      </c>
      <c r="AA235" t="s">
        <v>44</v>
      </c>
      <c r="AB235" t="s">
        <v>66</v>
      </c>
    </row>
    <row r="236" spans="1:28" hidden="1" x14ac:dyDescent="0.2">
      <c r="A236" s="1">
        <v>45617</v>
      </c>
      <c r="B236" s="1">
        <v>45617</v>
      </c>
      <c r="C236" t="s">
        <v>41</v>
      </c>
      <c r="D236" t="s">
        <v>528</v>
      </c>
      <c r="E236">
        <v>-76.892219999999995</v>
      </c>
      <c r="F236" s="2" t="s">
        <v>529</v>
      </c>
      <c r="G236">
        <v>500</v>
      </c>
      <c r="I236">
        <v>2024</v>
      </c>
      <c r="J236">
        <v>16</v>
      </c>
      <c r="K236">
        <v>20</v>
      </c>
      <c r="M236" t="s">
        <v>30</v>
      </c>
      <c r="N236" t="s">
        <v>31</v>
      </c>
      <c r="O236" t="s">
        <v>40</v>
      </c>
      <c r="P236" t="s">
        <v>33</v>
      </c>
      <c r="Q236" t="s">
        <v>34</v>
      </c>
      <c r="R236" t="s">
        <v>412</v>
      </c>
      <c r="S236" t="s">
        <v>41</v>
      </c>
      <c r="T236" t="s">
        <v>91</v>
      </c>
      <c r="U236" t="s">
        <v>43</v>
      </c>
      <c r="V236">
        <v>1</v>
      </c>
      <c r="Z236" t="s">
        <v>36</v>
      </c>
      <c r="AA236" t="s">
        <v>44</v>
      </c>
      <c r="AB236" t="s">
        <v>45</v>
      </c>
    </row>
    <row r="237" spans="1:28" hidden="1" x14ac:dyDescent="0.2">
      <c r="A237" s="1">
        <v>45617</v>
      </c>
      <c r="B237" s="1">
        <v>45617</v>
      </c>
      <c r="C237" t="s">
        <v>41</v>
      </c>
      <c r="D237" t="s">
        <v>530</v>
      </c>
      <c r="E237">
        <v>-76.892748333333302</v>
      </c>
      <c r="F237" s="2" t="s">
        <v>531</v>
      </c>
      <c r="G237">
        <v>500</v>
      </c>
      <c r="I237">
        <v>2024</v>
      </c>
      <c r="J237">
        <v>16</v>
      </c>
      <c r="K237">
        <v>20</v>
      </c>
      <c r="M237" t="s">
        <v>30</v>
      </c>
      <c r="N237" t="s">
        <v>31</v>
      </c>
      <c r="O237" t="s">
        <v>40</v>
      </c>
      <c r="P237" t="s">
        <v>33</v>
      </c>
      <c r="Q237" t="s">
        <v>34</v>
      </c>
      <c r="R237" t="s">
        <v>412</v>
      </c>
      <c r="S237" t="s">
        <v>41</v>
      </c>
      <c r="U237" t="s">
        <v>43</v>
      </c>
      <c r="V237">
        <v>1</v>
      </c>
      <c r="Z237" t="s">
        <v>36</v>
      </c>
      <c r="AA237" t="s">
        <v>44</v>
      </c>
      <c r="AB237" t="s">
        <v>66</v>
      </c>
    </row>
    <row r="238" spans="1:28" hidden="1" x14ac:dyDescent="0.2">
      <c r="A238" s="1">
        <v>45617</v>
      </c>
      <c r="B238" s="1">
        <v>45617</v>
      </c>
      <c r="C238" t="s">
        <v>41</v>
      </c>
      <c r="D238" t="s">
        <v>532</v>
      </c>
      <c r="E238">
        <v>-76.892233333333294</v>
      </c>
      <c r="F238" s="2" t="s">
        <v>533</v>
      </c>
      <c r="G238">
        <v>560</v>
      </c>
      <c r="I238">
        <v>2024</v>
      </c>
      <c r="K238">
        <v>20</v>
      </c>
      <c r="M238" t="s">
        <v>30</v>
      </c>
      <c r="N238" t="s">
        <v>31</v>
      </c>
      <c r="O238" t="s">
        <v>38</v>
      </c>
      <c r="P238" t="s">
        <v>33</v>
      </c>
      <c r="Q238" t="s">
        <v>34</v>
      </c>
      <c r="R238" t="s">
        <v>412</v>
      </c>
      <c r="U238" t="s">
        <v>36</v>
      </c>
      <c r="W238" t="s">
        <v>534</v>
      </c>
    </row>
    <row r="239" spans="1:28" hidden="1" x14ac:dyDescent="0.2">
      <c r="A239" s="1">
        <v>45617</v>
      </c>
      <c r="B239" s="1">
        <v>45617</v>
      </c>
      <c r="C239" t="s">
        <v>41</v>
      </c>
      <c r="D239" t="s">
        <v>535</v>
      </c>
      <c r="E239">
        <v>-76.891746666666606</v>
      </c>
      <c r="F239" s="2" t="s">
        <v>536</v>
      </c>
      <c r="G239">
        <v>564</v>
      </c>
      <c r="I239">
        <v>2024</v>
      </c>
      <c r="J239">
        <v>20</v>
      </c>
      <c r="K239">
        <v>12</v>
      </c>
      <c r="M239" t="s">
        <v>30</v>
      </c>
      <c r="N239" t="s">
        <v>31</v>
      </c>
      <c r="O239" t="s">
        <v>32</v>
      </c>
      <c r="P239" t="s">
        <v>33</v>
      </c>
      <c r="Q239" t="s">
        <v>34</v>
      </c>
      <c r="R239" t="s">
        <v>412</v>
      </c>
      <c r="U239" t="s">
        <v>36</v>
      </c>
      <c r="W239" t="s">
        <v>537</v>
      </c>
    </row>
    <row r="240" spans="1:28" hidden="1" x14ac:dyDescent="0.2">
      <c r="A240" s="1">
        <v>45617</v>
      </c>
      <c r="B240" s="1">
        <v>45617</v>
      </c>
      <c r="C240" t="s">
        <v>41</v>
      </c>
      <c r="D240" t="s">
        <v>538</v>
      </c>
      <c r="E240">
        <v>-76.888466666666602</v>
      </c>
      <c r="F240">
        <v>3.5980850000000002</v>
      </c>
      <c r="G240">
        <v>545</v>
      </c>
      <c r="I240">
        <v>2024</v>
      </c>
      <c r="J240">
        <v>15</v>
      </c>
      <c r="K240">
        <v>0</v>
      </c>
      <c r="M240" t="s">
        <v>30</v>
      </c>
      <c r="N240" t="s">
        <v>31</v>
      </c>
      <c r="O240" t="s">
        <v>47</v>
      </c>
      <c r="P240" t="s">
        <v>33</v>
      </c>
      <c r="Q240" t="s">
        <v>34</v>
      </c>
      <c r="R240" t="s">
        <v>412</v>
      </c>
      <c r="U240" t="s">
        <v>116</v>
      </c>
      <c r="V240">
        <v>1</v>
      </c>
      <c r="W240" t="s">
        <v>539</v>
      </c>
      <c r="Z240" t="s">
        <v>50</v>
      </c>
      <c r="AA240" t="s">
        <v>44</v>
      </c>
      <c r="AB240" t="s">
        <v>45</v>
      </c>
    </row>
    <row r="241" spans="1:28" hidden="1" x14ac:dyDescent="0.2">
      <c r="A241" s="1">
        <v>45617</v>
      </c>
      <c r="B241" s="1">
        <v>45617</v>
      </c>
      <c r="C241" t="s">
        <v>41</v>
      </c>
      <c r="D241" t="s">
        <v>540</v>
      </c>
      <c r="E241">
        <v>-76.888575000000003</v>
      </c>
      <c r="F241" s="2" t="s">
        <v>541</v>
      </c>
      <c r="G241">
        <v>545</v>
      </c>
      <c r="I241">
        <v>2024</v>
      </c>
      <c r="J241">
        <v>15</v>
      </c>
      <c r="K241">
        <v>0</v>
      </c>
      <c r="M241" t="s">
        <v>30</v>
      </c>
      <c r="N241" t="s">
        <v>31</v>
      </c>
      <c r="O241" t="s">
        <v>47</v>
      </c>
      <c r="P241" t="s">
        <v>33</v>
      </c>
      <c r="Q241" t="s">
        <v>34</v>
      </c>
      <c r="R241" t="s">
        <v>412</v>
      </c>
      <c r="T241" t="s">
        <v>42</v>
      </c>
      <c r="U241" t="s">
        <v>542</v>
      </c>
      <c r="V241">
        <v>8</v>
      </c>
      <c r="Z241" t="s">
        <v>50</v>
      </c>
      <c r="AA241" t="s">
        <v>44</v>
      </c>
      <c r="AB241" t="s">
        <v>45</v>
      </c>
    </row>
    <row r="242" spans="1:28" hidden="1" x14ac:dyDescent="0.2">
      <c r="A242" s="1">
        <v>45617</v>
      </c>
      <c r="B242" s="1">
        <v>45617</v>
      </c>
      <c r="C242" t="s">
        <v>41</v>
      </c>
      <c r="D242" t="s">
        <v>543</v>
      </c>
      <c r="E242">
        <v>-76.888445000000004</v>
      </c>
      <c r="F242">
        <v>3.5974599999999999</v>
      </c>
      <c r="G242">
        <v>545</v>
      </c>
      <c r="I242">
        <v>2024</v>
      </c>
      <c r="J242">
        <v>15</v>
      </c>
      <c r="K242">
        <v>0</v>
      </c>
      <c r="M242" t="s">
        <v>30</v>
      </c>
      <c r="N242" t="s">
        <v>31</v>
      </c>
      <c r="O242" t="s">
        <v>47</v>
      </c>
      <c r="P242" t="s">
        <v>33</v>
      </c>
      <c r="Q242" t="s">
        <v>34</v>
      </c>
      <c r="R242" t="s">
        <v>412</v>
      </c>
      <c r="T242" t="s">
        <v>42</v>
      </c>
      <c r="U242" t="s">
        <v>116</v>
      </c>
      <c r="V242">
        <v>1</v>
      </c>
      <c r="W242" t="s">
        <v>498</v>
      </c>
      <c r="Z242" t="s">
        <v>50</v>
      </c>
      <c r="AA242" t="s">
        <v>44</v>
      </c>
      <c r="AB242" t="s">
        <v>45</v>
      </c>
    </row>
    <row r="243" spans="1:28" hidden="1" x14ac:dyDescent="0.2">
      <c r="A243" s="1">
        <v>45617</v>
      </c>
      <c r="B243" s="1">
        <v>45617</v>
      </c>
      <c r="C243" t="s">
        <v>41</v>
      </c>
      <c r="D243" t="s">
        <v>544</v>
      </c>
      <c r="E243">
        <v>-76.888514999999998</v>
      </c>
      <c r="F243">
        <v>3.5975000000000001</v>
      </c>
      <c r="G243">
        <v>545</v>
      </c>
      <c r="I243">
        <v>2024</v>
      </c>
      <c r="J243">
        <v>15</v>
      </c>
      <c r="K243">
        <v>0</v>
      </c>
      <c r="M243" t="s">
        <v>30</v>
      </c>
      <c r="N243" t="s">
        <v>31</v>
      </c>
      <c r="O243" t="s">
        <v>47</v>
      </c>
      <c r="P243" t="s">
        <v>33</v>
      </c>
      <c r="Q243" t="s">
        <v>34</v>
      </c>
      <c r="R243" t="s">
        <v>412</v>
      </c>
      <c r="T243" t="s">
        <v>42</v>
      </c>
      <c r="U243" t="s">
        <v>116</v>
      </c>
      <c r="V243">
        <v>1</v>
      </c>
      <c r="W243" t="s">
        <v>81</v>
      </c>
      <c r="Z243" t="s">
        <v>50</v>
      </c>
      <c r="AA243" t="s">
        <v>44</v>
      </c>
      <c r="AB243" t="s">
        <v>45</v>
      </c>
    </row>
    <row r="244" spans="1:28" hidden="1" x14ac:dyDescent="0.2">
      <c r="A244" s="1">
        <v>45617</v>
      </c>
      <c r="B244" s="1">
        <v>45617</v>
      </c>
      <c r="C244" t="s">
        <v>41</v>
      </c>
      <c r="D244" t="s">
        <v>545</v>
      </c>
      <c r="E244">
        <v>-76.881146666666595</v>
      </c>
      <c r="F244" s="2" t="s">
        <v>546</v>
      </c>
      <c r="G244">
        <v>601</v>
      </c>
      <c r="I244">
        <v>2024</v>
      </c>
      <c r="J244">
        <v>20</v>
      </c>
      <c r="K244">
        <v>10</v>
      </c>
      <c r="M244" t="s">
        <v>30</v>
      </c>
      <c r="N244" t="s">
        <v>31</v>
      </c>
      <c r="O244" t="s">
        <v>58</v>
      </c>
      <c r="P244" t="s">
        <v>52</v>
      </c>
      <c r="Q244" t="s">
        <v>34</v>
      </c>
      <c r="R244" t="s">
        <v>412</v>
      </c>
      <c r="U244" t="s">
        <v>36</v>
      </c>
      <c r="W244" t="s">
        <v>415</v>
      </c>
    </row>
    <row r="245" spans="1:28" hidden="1" x14ac:dyDescent="0.2">
      <c r="A245" s="1">
        <v>45617</v>
      </c>
      <c r="B245" s="1">
        <v>45617</v>
      </c>
      <c r="C245" t="s">
        <v>41</v>
      </c>
      <c r="D245" t="s">
        <v>547</v>
      </c>
      <c r="E245">
        <v>-76.880746666666596</v>
      </c>
      <c r="F245" s="2" t="s">
        <v>548</v>
      </c>
      <c r="G245">
        <v>601</v>
      </c>
      <c r="I245">
        <v>2024</v>
      </c>
      <c r="J245">
        <v>20</v>
      </c>
      <c r="K245">
        <v>10</v>
      </c>
      <c r="M245" t="s">
        <v>30</v>
      </c>
      <c r="N245" t="s">
        <v>31</v>
      </c>
      <c r="O245" t="s">
        <v>58</v>
      </c>
      <c r="P245" t="s">
        <v>52</v>
      </c>
      <c r="U245" t="s">
        <v>36</v>
      </c>
    </row>
    <row r="246" spans="1:28" hidden="1" x14ac:dyDescent="0.2">
      <c r="A246" s="1">
        <v>45617</v>
      </c>
      <c r="B246" s="1">
        <v>45617</v>
      </c>
      <c r="C246" t="s">
        <v>41</v>
      </c>
      <c r="D246" t="s">
        <v>549</v>
      </c>
      <c r="E246">
        <v>-76.880851666666601</v>
      </c>
      <c r="F246" s="2" t="s">
        <v>550</v>
      </c>
      <c r="G246">
        <v>597</v>
      </c>
      <c r="H246">
        <v>3</v>
      </c>
      <c r="I246">
        <v>2024</v>
      </c>
      <c r="J246">
        <v>20</v>
      </c>
      <c r="K246">
        <v>15</v>
      </c>
      <c r="M246" t="s">
        <v>30</v>
      </c>
      <c r="N246" t="s">
        <v>31</v>
      </c>
      <c r="O246" t="s">
        <v>47</v>
      </c>
      <c r="P246" t="s">
        <v>52</v>
      </c>
      <c r="Q246" t="s">
        <v>34</v>
      </c>
      <c r="R246" t="s">
        <v>412</v>
      </c>
      <c r="S246" t="s">
        <v>41</v>
      </c>
      <c r="T246" t="s">
        <v>42</v>
      </c>
      <c r="U246" t="s">
        <v>551</v>
      </c>
      <c r="V246">
        <v>1</v>
      </c>
      <c r="Z246" t="s">
        <v>36</v>
      </c>
      <c r="AA246" t="s">
        <v>44</v>
      </c>
      <c r="AB246" t="s">
        <v>45</v>
      </c>
    </row>
    <row r="247" spans="1:28" hidden="1" x14ac:dyDescent="0.2">
      <c r="A247" s="1">
        <v>45617</v>
      </c>
      <c r="B247" s="1">
        <v>45617</v>
      </c>
      <c r="C247" t="s">
        <v>41</v>
      </c>
      <c r="D247" t="s">
        <v>552</v>
      </c>
      <c r="E247">
        <v>-76.882661666666607</v>
      </c>
      <c r="F247" s="2" t="s">
        <v>553</v>
      </c>
      <c r="G247">
        <v>622</v>
      </c>
      <c r="I247">
        <v>2024</v>
      </c>
      <c r="J247">
        <v>25</v>
      </c>
      <c r="K247">
        <v>60</v>
      </c>
      <c r="M247" t="s">
        <v>30</v>
      </c>
      <c r="N247" t="s">
        <v>31</v>
      </c>
      <c r="O247" t="s">
        <v>32</v>
      </c>
      <c r="P247" t="s">
        <v>52</v>
      </c>
      <c r="Q247" t="s">
        <v>34</v>
      </c>
      <c r="R247" t="s">
        <v>105</v>
      </c>
      <c r="S247" t="s">
        <v>428</v>
      </c>
      <c r="T247" t="s">
        <v>42</v>
      </c>
      <c r="U247" t="s">
        <v>542</v>
      </c>
      <c r="V247">
        <v>3</v>
      </c>
      <c r="Z247" t="s">
        <v>50</v>
      </c>
      <c r="AA247" t="s">
        <v>44</v>
      </c>
      <c r="AB247" t="s">
        <v>45</v>
      </c>
    </row>
    <row r="248" spans="1:28" hidden="1" x14ac:dyDescent="0.2">
      <c r="A248" s="1">
        <v>45617</v>
      </c>
      <c r="B248" s="1">
        <v>45617</v>
      </c>
      <c r="C248" t="s">
        <v>41</v>
      </c>
      <c r="D248" t="s">
        <v>554</v>
      </c>
      <c r="E248">
        <v>-76.892343333333301</v>
      </c>
      <c r="F248" s="2" t="s">
        <v>555</v>
      </c>
      <c r="G248">
        <v>607</v>
      </c>
      <c r="H248">
        <v>4</v>
      </c>
      <c r="I248">
        <v>2024</v>
      </c>
      <c r="J248">
        <v>20</v>
      </c>
      <c r="K248">
        <v>30</v>
      </c>
      <c r="M248" t="s">
        <v>30</v>
      </c>
      <c r="N248" t="s">
        <v>31</v>
      </c>
      <c r="O248" t="s">
        <v>40</v>
      </c>
      <c r="P248" t="s">
        <v>33</v>
      </c>
      <c r="Q248" t="s">
        <v>34</v>
      </c>
      <c r="R248" t="s">
        <v>412</v>
      </c>
      <c r="T248" t="s">
        <v>42</v>
      </c>
      <c r="U248" t="s">
        <v>71</v>
      </c>
      <c r="V248">
        <v>1</v>
      </c>
      <c r="W248" t="s">
        <v>556</v>
      </c>
      <c r="Z248" t="s">
        <v>36</v>
      </c>
      <c r="AA248" t="s">
        <v>44</v>
      </c>
      <c r="AB248" t="s">
        <v>45</v>
      </c>
    </row>
    <row r="249" spans="1:28" hidden="1" x14ac:dyDescent="0.2">
      <c r="A249" s="1">
        <v>45617</v>
      </c>
      <c r="B249" s="1">
        <v>45617</v>
      </c>
      <c r="C249" t="s">
        <v>41</v>
      </c>
      <c r="D249" t="s">
        <v>557</v>
      </c>
      <c r="E249">
        <v>-76.892358333333306</v>
      </c>
      <c r="F249">
        <v>3.5978300000000001</v>
      </c>
      <c r="G249">
        <v>607</v>
      </c>
      <c r="H249">
        <v>4</v>
      </c>
      <c r="I249">
        <v>2024</v>
      </c>
      <c r="J249">
        <v>20</v>
      </c>
      <c r="K249">
        <v>30</v>
      </c>
      <c r="M249" t="s">
        <v>30</v>
      </c>
      <c r="N249" t="s">
        <v>31</v>
      </c>
      <c r="O249" t="s">
        <v>40</v>
      </c>
      <c r="P249" t="s">
        <v>33</v>
      </c>
      <c r="Q249" t="s">
        <v>34</v>
      </c>
      <c r="R249" t="s">
        <v>412</v>
      </c>
      <c r="T249" t="s">
        <v>54</v>
      </c>
      <c r="U249" t="s">
        <v>238</v>
      </c>
      <c r="V249">
        <v>1</v>
      </c>
      <c r="W249" t="s">
        <v>81</v>
      </c>
      <c r="Z249" t="s">
        <v>36</v>
      </c>
      <c r="AA249" t="s">
        <v>44</v>
      </c>
      <c r="AB249" t="s">
        <v>45</v>
      </c>
    </row>
    <row r="250" spans="1:28" hidden="1" x14ac:dyDescent="0.2">
      <c r="A250" s="1">
        <v>45617</v>
      </c>
      <c r="B250" s="1">
        <v>45617</v>
      </c>
      <c r="C250" t="s">
        <v>41</v>
      </c>
      <c r="D250" t="s">
        <v>558</v>
      </c>
      <c r="E250">
        <v>-76.892313333333306</v>
      </c>
      <c r="F250">
        <v>3.5956600000000001</v>
      </c>
      <c r="G250">
        <v>589</v>
      </c>
      <c r="I250">
        <v>2024</v>
      </c>
      <c r="J250">
        <v>15</v>
      </c>
      <c r="K250">
        <v>20</v>
      </c>
      <c r="M250" t="s">
        <v>30</v>
      </c>
      <c r="N250" t="s">
        <v>31</v>
      </c>
      <c r="O250" t="s">
        <v>38</v>
      </c>
      <c r="P250" t="s">
        <v>33</v>
      </c>
      <c r="Q250" t="s">
        <v>64</v>
      </c>
      <c r="R250" t="s">
        <v>412</v>
      </c>
      <c r="S250" t="s">
        <v>41</v>
      </c>
      <c r="T250" t="s">
        <v>42</v>
      </c>
      <c r="U250" t="s">
        <v>43</v>
      </c>
      <c r="V250">
        <v>1</v>
      </c>
      <c r="Z250" t="s">
        <v>36</v>
      </c>
      <c r="AA250" t="s">
        <v>65</v>
      </c>
      <c r="AB250" t="s">
        <v>66</v>
      </c>
    </row>
    <row r="251" spans="1:28" hidden="1" x14ac:dyDescent="0.2">
      <c r="A251" s="1">
        <v>45617</v>
      </c>
      <c r="B251" s="1">
        <v>45617</v>
      </c>
      <c r="C251" t="s">
        <v>41</v>
      </c>
      <c r="D251" t="s">
        <v>559</v>
      </c>
      <c r="E251">
        <v>-76.892528333333303</v>
      </c>
      <c r="F251" s="2" t="s">
        <v>560</v>
      </c>
      <c r="G251">
        <v>589</v>
      </c>
      <c r="I251">
        <v>2024</v>
      </c>
      <c r="J251">
        <v>15</v>
      </c>
      <c r="K251">
        <v>20</v>
      </c>
      <c r="M251" t="s">
        <v>30</v>
      </c>
      <c r="N251" t="s">
        <v>31</v>
      </c>
      <c r="O251" t="s">
        <v>38</v>
      </c>
      <c r="P251" t="s">
        <v>33</v>
      </c>
      <c r="Q251" t="s">
        <v>34</v>
      </c>
      <c r="R251" t="s">
        <v>412</v>
      </c>
      <c r="S251" t="s">
        <v>41</v>
      </c>
      <c r="T251" t="s">
        <v>54</v>
      </c>
      <c r="U251" t="s">
        <v>43</v>
      </c>
      <c r="V251">
        <v>2</v>
      </c>
      <c r="W251" t="s">
        <v>498</v>
      </c>
      <c r="Z251" t="s">
        <v>36</v>
      </c>
      <c r="AA251" t="s">
        <v>65</v>
      </c>
      <c r="AB251" t="s">
        <v>66</v>
      </c>
    </row>
    <row r="252" spans="1:28" hidden="1" x14ac:dyDescent="0.2">
      <c r="A252" s="1">
        <v>45617</v>
      </c>
      <c r="B252" s="1">
        <v>45617</v>
      </c>
      <c r="C252" t="s">
        <v>41</v>
      </c>
      <c r="D252" t="s">
        <v>561</v>
      </c>
      <c r="E252">
        <v>-76.891639999999995</v>
      </c>
      <c r="F252" s="2" t="s">
        <v>562</v>
      </c>
      <c r="I252">
        <v>2024</v>
      </c>
      <c r="J252">
        <v>30</v>
      </c>
      <c r="K252">
        <v>16</v>
      </c>
      <c r="M252" t="s">
        <v>30</v>
      </c>
      <c r="N252" t="s">
        <v>31</v>
      </c>
      <c r="O252" t="s">
        <v>32</v>
      </c>
      <c r="P252" t="s">
        <v>33</v>
      </c>
      <c r="Q252" t="s">
        <v>86</v>
      </c>
      <c r="R252" t="s">
        <v>412</v>
      </c>
      <c r="S252" t="s">
        <v>41</v>
      </c>
      <c r="T252" t="s">
        <v>91</v>
      </c>
      <c r="U252" t="s">
        <v>238</v>
      </c>
      <c r="V252">
        <v>1</v>
      </c>
      <c r="Z252" t="s">
        <v>36</v>
      </c>
      <c r="AA252" t="s">
        <v>44</v>
      </c>
      <c r="AB252" t="s">
        <v>45</v>
      </c>
    </row>
    <row r="253" spans="1:28" hidden="1" x14ac:dyDescent="0.2">
      <c r="A253" s="1">
        <v>45617</v>
      </c>
      <c r="B253" s="1">
        <v>45617</v>
      </c>
      <c r="C253" t="s">
        <v>41</v>
      </c>
      <c r="D253" t="s">
        <v>563</v>
      </c>
      <c r="E253">
        <v>-76.892011666666605</v>
      </c>
      <c r="F253" s="2" t="s">
        <v>564</v>
      </c>
      <c r="I253">
        <v>2024</v>
      </c>
      <c r="J253">
        <v>30</v>
      </c>
      <c r="K253">
        <v>16</v>
      </c>
      <c r="M253" t="s">
        <v>30</v>
      </c>
      <c r="N253" t="s">
        <v>31</v>
      </c>
      <c r="O253" t="s">
        <v>32</v>
      </c>
      <c r="P253" t="s">
        <v>33</v>
      </c>
      <c r="Q253" t="s">
        <v>86</v>
      </c>
      <c r="R253" t="s">
        <v>412</v>
      </c>
      <c r="T253" t="s">
        <v>42</v>
      </c>
      <c r="U253" t="s">
        <v>116</v>
      </c>
      <c r="V253">
        <v>1</v>
      </c>
      <c r="W253" t="s">
        <v>565</v>
      </c>
      <c r="Z253" t="s">
        <v>36</v>
      </c>
      <c r="AA253" t="s">
        <v>44</v>
      </c>
      <c r="AB253" t="s">
        <v>45</v>
      </c>
    </row>
    <row r="254" spans="1:28" hidden="1" x14ac:dyDescent="0.2">
      <c r="A254" s="1">
        <v>45617</v>
      </c>
      <c r="B254" s="1">
        <v>45617</v>
      </c>
      <c r="C254" t="s">
        <v>41</v>
      </c>
      <c r="D254" t="s">
        <v>566</v>
      </c>
      <c r="E254">
        <v>-76.891658333333297</v>
      </c>
      <c r="F254" s="2" t="s">
        <v>567</v>
      </c>
      <c r="I254">
        <v>2024</v>
      </c>
      <c r="J254">
        <v>30</v>
      </c>
      <c r="K254">
        <v>16</v>
      </c>
      <c r="M254" t="s">
        <v>30</v>
      </c>
      <c r="N254" t="s">
        <v>31</v>
      </c>
      <c r="O254" t="s">
        <v>32</v>
      </c>
      <c r="P254" t="s">
        <v>33</v>
      </c>
      <c r="Q254" t="s">
        <v>86</v>
      </c>
      <c r="R254" t="s">
        <v>412</v>
      </c>
      <c r="T254" t="s">
        <v>42</v>
      </c>
      <c r="U254" t="s">
        <v>71</v>
      </c>
      <c r="V254">
        <v>1</v>
      </c>
      <c r="W254" t="s">
        <v>81</v>
      </c>
      <c r="Z254" t="s">
        <v>36</v>
      </c>
      <c r="AA254" t="s">
        <v>44</v>
      </c>
      <c r="AB254" t="s">
        <v>45</v>
      </c>
    </row>
    <row r="255" spans="1:28" hidden="1" x14ac:dyDescent="0.2">
      <c r="A255" s="1">
        <v>45617</v>
      </c>
      <c r="B255" s="1">
        <v>45617</v>
      </c>
      <c r="C255" t="s">
        <v>41</v>
      </c>
      <c r="D255" t="s">
        <v>568</v>
      </c>
      <c r="E255">
        <v>-76.891613333333297</v>
      </c>
      <c r="F255" s="2" t="s">
        <v>569</v>
      </c>
      <c r="I255">
        <v>2024</v>
      </c>
      <c r="J255">
        <v>30</v>
      </c>
      <c r="K255">
        <v>16</v>
      </c>
      <c r="M255" t="s">
        <v>30</v>
      </c>
      <c r="N255" t="s">
        <v>31</v>
      </c>
      <c r="O255" t="s">
        <v>32</v>
      </c>
      <c r="P255" t="s">
        <v>33</v>
      </c>
      <c r="Q255" t="s">
        <v>86</v>
      </c>
      <c r="R255" t="s">
        <v>412</v>
      </c>
      <c r="S255" t="s">
        <v>41</v>
      </c>
      <c r="T255" t="s">
        <v>42</v>
      </c>
      <c r="U255" t="s">
        <v>43</v>
      </c>
      <c r="V255">
        <v>1</v>
      </c>
      <c r="W255" t="s">
        <v>570</v>
      </c>
      <c r="Z255" t="s">
        <v>36</v>
      </c>
      <c r="AA255" t="s">
        <v>65</v>
      </c>
      <c r="AB255" t="s">
        <v>66</v>
      </c>
    </row>
    <row r="256" spans="1:28" hidden="1" x14ac:dyDescent="0.2">
      <c r="A256" s="1">
        <v>45617</v>
      </c>
      <c r="B256" s="1">
        <v>45617</v>
      </c>
      <c r="C256" t="s">
        <v>41</v>
      </c>
      <c r="D256" t="s">
        <v>571</v>
      </c>
      <c r="E256">
        <v>-76.888441666666594</v>
      </c>
      <c r="F256" s="2" t="s">
        <v>572</v>
      </c>
      <c r="G256">
        <v>545</v>
      </c>
      <c r="I256">
        <v>2024</v>
      </c>
      <c r="J256">
        <v>15</v>
      </c>
      <c r="K256">
        <v>10</v>
      </c>
      <c r="M256" t="s">
        <v>30</v>
      </c>
      <c r="N256" t="s">
        <v>31</v>
      </c>
      <c r="O256" t="s">
        <v>47</v>
      </c>
      <c r="P256" t="s">
        <v>33</v>
      </c>
      <c r="Q256" t="s">
        <v>86</v>
      </c>
      <c r="R256" t="s">
        <v>412</v>
      </c>
      <c r="S256" t="s">
        <v>41</v>
      </c>
      <c r="T256" t="s">
        <v>42</v>
      </c>
      <c r="U256" t="s">
        <v>84</v>
      </c>
      <c r="V256">
        <v>1</v>
      </c>
      <c r="Z256" t="s">
        <v>50</v>
      </c>
      <c r="AA256" t="s">
        <v>44</v>
      </c>
      <c r="AB256" t="s">
        <v>45</v>
      </c>
    </row>
    <row r="257" spans="1:28" hidden="1" x14ac:dyDescent="0.2">
      <c r="A257" s="1">
        <v>45617</v>
      </c>
      <c r="B257" s="1">
        <v>45617</v>
      </c>
      <c r="C257" t="s">
        <v>41</v>
      </c>
      <c r="D257" t="s">
        <v>573</v>
      </c>
      <c r="E257">
        <v>-76.888414999999995</v>
      </c>
      <c r="F257" s="2" t="s">
        <v>574</v>
      </c>
      <c r="G257">
        <v>545</v>
      </c>
      <c r="I257">
        <v>2024</v>
      </c>
      <c r="J257">
        <v>15</v>
      </c>
      <c r="K257">
        <v>10</v>
      </c>
      <c r="M257" t="s">
        <v>30</v>
      </c>
      <c r="N257" t="s">
        <v>31</v>
      </c>
      <c r="O257" t="s">
        <v>47</v>
      </c>
      <c r="P257" t="s">
        <v>33</v>
      </c>
      <c r="Q257" t="s">
        <v>86</v>
      </c>
      <c r="R257" t="s">
        <v>412</v>
      </c>
      <c r="T257" t="s">
        <v>42</v>
      </c>
      <c r="U257" t="s">
        <v>84</v>
      </c>
      <c r="V257">
        <v>1</v>
      </c>
      <c r="W257" t="s">
        <v>498</v>
      </c>
      <c r="Z257" t="s">
        <v>50</v>
      </c>
      <c r="AA257" t="s">
        <v>160</v>
      </c>
      <c r="AB257" t="s">
        <v>45</v>
      </c>
    </row>
    <row r="258" spans="1:28" hidden="1" x14ac:dyDescent="0.2">
      <c r="A258" s="1">
        <v>45617</v>
      </c>
      <c r="B258" s="1">
        <v>45617</v>
      </c>
      <c r="C258" t="s">
        <v>41</v>
      </c>
      <c r="D258" t="s">
        <v>575</v>
      </c>
      <c r="E258">
        <v>-76.888463333333306</v>
      </c>
      <c r="F258" s="2" t="s">
        <v>576</v>
      </c>
      <c r="G258">
        <v>545</v>
      </c>
      <c r="I258">
        <v>2024</v>
      </c>
      <c r="J258">
        <v>15</v>
      </c>
      <c r="K258">
        <v>10</v>
      </c>
      <c r="M258" t="s">
        <v>30</v>
      </c>
      <c r="N258" t="s">
        <v>31</v>
      </c>
      <c r="O258" t="s">
        <v>47</v>
      </c>
      <c r="P258" t="s">
        <v>33</v>
      </c>
      <c r="Q258" t="s">
        <v>86</v>
      </c>
      <c r="R258" t="s">
        <v>412</v>
      </c>
      <c r="T258" t="s">
        <v>42</v>
      </c>
      <c r="U258" t="s">
        <v>84</v>
      </c>
      <c r="V258">
        <v>1</v>
      </c>
      <c r="W258" t="s">
        <v>577</v>
      </c>
      <c r="Z258" t="s">
        <v>50</v>
      </c>
      <c r="AA258" t="s">
        <v>44</v>
      </c>
      <c r="AB258" t="s">
        <v>45</v>
      </c>
    </row>
    <row r="259" spans="1:28" hidden="1" x14ac:dyDescent="0.2">
      <c r="A259" s="1">
        <v>45617</v>
      </c>
      <c r="B259" s="1">
        <v>45617</v>
      </c>
      <c r="C259" t="s">
        <v>41</v>
      </c>
      <c r="D259" t="s">
        <v>578</v>
      </c>
      <c r="E259">
        <v>-76.888486666666594</v>
      </c>
      <c r="F259" s="2" t="s">
        <v>579</v>
      </c>
      <c r="G259">
        <v>545</v>
      </c>
      <c r="I259">
        <v>2024</v>
      </c>
      <c r="J259">
        <v>15</v>
      </c>
      <c r="K259">
        <v>10</v>
      </c>
      <c r="M259" t="s">
        <v>30</v>
      </c>
      <c r="N259" t="s">
        <v>31</v>
      </c>
      <c r="O259" t="s">
        <v>47</v>
      </c>
      <c r="P259" t="s">
        <v>33</v>
      </c>
      <c r="Q259" t="s">
        <v>86</v>
      </c>
      <c r="R259" t="s">
        <v>412</v>
      </c>
      <c r="T259" t="s">
        <v>42</v>
      </c>
      <c r="U259" t="s">
        <v>43</v>
      </c>
      <c r="V259">
        <v>1</v>
      </c>
      <c r="Z259" t="s">
        <v>50</v>
      </c>
      <c r="AA259" t="s">
        <v>65</v>
      </c>
      <c r="AB259" t="s">
        <v>66</v>
      </c>
    </row>
    <row r="260" spans="1:28" hidden="1" x14ac:dyDescent="0.2">
      <c r="A260" s="1">
        <v>45617</v>
      </c>
      <c r="B260" s="1">
        <v>45617</v>
      </c>
      <c r="C260" t="s">
        <v>41</v>
      </c>
      <c r="D260" t="s">
        <v>580</v>
      </c>
      <c r="E260">
        <v>-76.888511666666602</v>
      </c>
      <c r="F260" s="2" t="s">
        <v>581</v>
      </c>
      <c r="G260">
        <v>545</v>
      </c>
      <c r="I260">
        <v>2024</v>
      </c>
      <c r="J260">
        <v>15</v>
      </c>
      <c r="K260">
        <v>10</v>
      </c>
      <c r="M260" t="s">
        <v>30</v>
      </c>
      <c r="N260" t="s">
        <v>31</v>
      </c>
      <c r="O260" t="s">
        <v>47</v>
      </c>
      <c r="P260" t="s">
        <v>33</v>
      </c>
      <c r="Q260" t="s">
        <v>86</v>
      </c>
      <c r="R260" t="s">
        <v>412</v>
      </c>
      <c r="T260" t="s">
        <v>42</v>
      </c>
      <c r="U260" t="s">
        <v>84</v>
      </c>
      <c r="V260">
        <v>1</v>
      </c>
      <c r="W260" t="s">
        <v>81</v>
      </c>
      <c r="Z260" t="s">
        <v>50</v>
      </c>
      <c r="AA260" t="s">
        <v>44</v>
      </c>
      <c r="AB260" t="s">
        <v>45</v>
      </c>
    </row>
    <row r="261" spans="1:28" hidden="1" x14ac:dyDescent="0.2">
      <c r="A261" s="1">
        <v>45617</v>
      </c>
      <c r="B261" s="1">
        <v>45617</v>
      </c>
      <c r="C261" t="s">
        <v>41</v>
      </c>
      <c r="D261" t="s">
        <v>582</v>
      </c>
      <c r="E261">
        <v>-76.8807883333333</v>
      </c>
      <c r="F261" s="2" t="s">
        <v>583</v>
      </c>
      <c r="G261">
        <v>581</v>
      </c>
      <c r="I261">
        <v>2024</v>
      </c>
      <c r="J261">
        <v>20</v>
      </c>
      <c r="K261">
        <v>10</v>
      </c>
      <c r="M261" t="s">
        <v>30</v>
      </c>
      <c r="N261" t="s">
        <v>31</v>
      </c>
      <c r="O261" t="s">
        <v>47</v>
      </c>
      <c r="P261" t="s">
        <v>52</v>
      </c>
      <c r="Q261" t="s">
        <v>34</v>
      </c>
      <c r="R261" t="s">
        <v>412</v>
      </c>
      <c r="S261" t="s">
        <v>41</v>
      </c>
      <c r="T261" t="s">
        <v>91</v>
      </c>
      <c r="U261" t="s">
        <v>178</v>
      </c>
      <c r="V261">
        <v>1</v>
      </c>
      <c r="Z261" t="s">
        <v>36</v>
      </c>
      <c r="AA261" t="s">
        <v>65</v>
      </c>
      <c r="AB261" t="s">
        <v>45</v>
      </c>
    </row>
    <row r="262" spans="1:28" hidden="1" x14ac:dyDescent="0.2">
      <c r="A262" s="1">
        <v>45617</v>
      </c>
      <c r="B262" s="1">
        <v>45617</v>
      </c>
      <c r="C262" t="s">
        <v>41</v>
      </c>
      <c r="D262" t="s">
        <v>584</v>
      </c>
      <c r="E262">
        <v>-76.880645000000001</v>
      </c>
      <c r="F262" s="2" t="s">
        <v>585</v>
      </c>
      <c r="G262">
        <v>581</v>
      </c>
      <c r="I262">
        <v>2024</v>
      </c>
      <c r="J262">
        <v>20</v>
      </c>
      <c r="K262">
        <v>10</v>
      </c>
      <c r="M262" t="s">
        <v>30</v>
      </c>
      <c r="N262" t="s">
        <v>31</v>
      </c>
      <c r="O262" t="s">
        <v>47</v>
      </c>
      <c r="P262" t="s">
        <v>52</v>
      </c>
      <c r="Q262" t="s">
        <v>34</v>
      </c>
      <c r="R262" t="s">
        <v>412</v>
      </c>
      <c r="S262" t="s">
        <v>41</v>
      </c>
      <c r="T262" t="s">
        <v>42</v>
      </c>
      <c r="U262" t="s">
        <v>43</v>
      </c>
      <c r="V262">
        <v>1</v>
      </c>
      <c r="Z262" t="s">
        <v>36</v>
      </c>
      <c r="AA262" t="s">
        <v>65</v>
      </c>
      <c r="AB262" t="s">
        <v>66</v>
      </c>
    </row>
    <row r="263" spans="1:28" hidden="1" x14ac:dyDescent="0.2">
      <c r="A263" s="1">
        <v>45617</v>
      </c>
      <c r="B263" s="1">
        <v>45617</v>
      </c>
      <c r="C263" t="s">
        <v>41</v>
      </c>
      <c r="D263" t="s">
        <v>586</v>
      </c>
      <c r="E263">
        <v>-76.880706666666597</v>
      </c>
      <c r="F263">
        <v>3.5966149999999999</v>
      </c>
      <c r="G263">
        <v>581</v>
      </c>
      <c r="I263">
        <v>2024</v>
      </c>
      <c r="J263">
        <v>20</v>
      </c>
      <c r="K263">
        <v>10</v>
      </c>
      <c r="M263" t="s">
        <v>30</v>
      </c>
      <c r="N263" t="s">
        <v>31</v>
      </c>
      <c r="O263" t="s">
        <v>47</v>
      </c>
      <c r="P263" t="s">
        <v>52</v>
      </c>
      <c r="Q263" t="s">
        <v>34</v>
      </c>
      <c r="R263" t="s">
        <v>412</v>
      </c>
      <c r="S263" t="s">
        <v>41</v>
      </c>
      <c r="T263" t="s">
        <v>42</v>
      </c>
      <c r="U263" t="s">
        <v>587</v>
      </c>
      <c r="V263">
        <v>1</v>
      </c>
      <c r="Z263" t="s">
        <v>137</v>
      </c>
      <c r="AA263" t="s">
        <v>44</v>
      </c>
      <c r="AB263" t="s">
        <v>45</v>
      </c>
    </row>
    <row r="264" spans="1:28" hidden="1" x14ac:dyDescent="0.2">
      <c r="A264" s="1">
        <v>45617</v>
      </c>
      <c r="B264" s="1">
        <v>45617</v>
      </c>
      <c r="C264" t="s">
        <v>41</v>
      </c>
      <c r="D264" t="s">
        <v>588</v>
      </c>
      <c r="E264">
        <v>-76.881011666666595</v>
      </c>
      <c r="F264" s="2" t="s">
        <v>589</v>
      </c>
      <c r="G264">
        <v>689</v>
      </c>
      <c r="I264">
        <v>2024</v>
      </c>
      <c r="J264">
        <v>15</v>
      </c>
      <c r="K264">
        <v>10</v>
      </c>
      <c r="M264" t="s">
        <v>30</v>
      </c>
      <c r="N264" t="s">
        <v>31</v>
      </c>
      <c r="O264" t="s">
        <v>58</v>
      </c>
      <c r="P264" t="s">
        <v>52</v>
      </c>
      <c r="Q264" t="s">
        <v>34</v>
      </c>
      <c r="R264" t="s">
        <v>412</v>
      </c>
      <c r="S264" t="s">
        <v>41</v>
      </c>
      <c r="T264" t="s">
        <v>42</v>
      </c>
      <c r="U264" t="s">
        <v>84</v>
      </c>
      <c r="V264">
        <v>1</v>
      </c>
      <c r="Z264" t="s">
        <v>50</v>
      </c>
      <c r="AA264" t="s">
        <v>44</v>
      </c>
      <c r="AB264" t="s">
        <v>66</v>
      </c>
    </row>
    <row r="265" spans="1:28" hidden="1" x14ac:dyDescent="0.2">
      <c r="A265" s="1">
        <v>45617</v>
      </c>
      <c r="B265" s="1">
        <v>45617</v>
      </c>
      <c r="C265" t="s">
        <v>41</v>
      </c>
      <c r="D265" t="s">
        <v>590</v>
      </c>
      <c r="E265">
        <v>-76.880719999999997</v>
      </c>
      <c r="F265" s="2" t="s">
        <v>591</v>
      </c>
      <c r="G265">
        <v>689</v>
      </c>
      <c r="I265">
        <v>2024</v>
      </c>
      <c r="J265">
        <v>15</v>
      </c>
      <c r="K265">
        <v>10</v>
      </c>
      <c r="M265" t="s">
        <v>30</v>
      </c>
      <c r="N265" t="s">
        <v>31</v>
      </c>
      <c r="O265" t="s">
        <v>58</v>
      </c>
      <c r="P265" t="s">
        <v>52</v>
      </c>
      <c r="Q265" t="s">
        <v>34</v>
      </c>
      <c r="R265" t="s">
        <v>412</v>
      </c>
      <c r="S265" t="s">
        <v>41</v>
      </c>
      <c r="T265" t="s">
        <v>42</v>
      </c>
      <c r="U265" t="s">
        <v>43</v>
      </c>
      <c r="V265">
        <v>2</v>
      </c>
      <c r="Z265" t="s">
        <v>50</v>
      </c>
      <c r="AA265" t="s">
        <v>65</v>
      </c>
      <c r="AB265" t="s">
        <v>66</v>
      </c>
    </row>
    <row r="266" spans="1:28" hidden="1" x14ac:dyDescent="0.2">
      <c r="A266" s="1">
        <v>45617</v>
      </c>
      <c r="B266" s="1">
        <v>45617</v>
      </c>
      <c r="C266" t="s">
        <v>41</v>
      </c>
      <c r="D266" t="s">
        <v>592</v>
      </c>
      <c r="E266">
        <v>-76.882556666666602</v>
      </c>
      <c r="F266" s="2" t="s">
        <v>593</v>
      </c>
      <c r="H266">
        <v>1</v>
      </c>
      <c r="I266">
        <v>2024</v>
      </c>
      <c r="K266">
        <v>20</v>
      </c>
      <c r="M266" t="s">
        <v>30</v>
      </c>
      <c r="N266" t="s">
        <v>31</v>
      </c>
      <c r="O266" t="s">
        <v>32</v>
      </c>
      <c r="P266" t="s">
        <v>52</v>
      </c>
      <c r="Q266" t="s">
        <v>34</v>
      </c>
      <c r="R266" t="s">
        <v>412</v>
      </c>
      <c r="S266" t="s">
        <v>41</v>
      </c>
      <c r="T266" t="s">
        <v>42</v>
      </c>
      <c r="U266" t="s">
        <v>935</v>
      </c>
      <c r="V266">
        <v>2</v>
      </c>
      <c r="W266" t="s">
        <v>594</v>
      </c>
      <c r="Z266" t="s">
        <v>50</v>
      </c>
      <c r="AA266" t="s">
        <v>44</v>
      </c>
      <c r="AB266" t="s">
        <v>45</v>
      </c>
    </row>
    <row r="267" spans="1:28" hidden="1" x14ac:dyDescent="0.2">
      <c r="A267" s="1">
        <v>45616</v>
      </c>
      <c r="B267" s="1">
        <v>45616</v>
      </c>
      <c r="C267" t="s">
        <v>41</v>
      </c>
      <c r="D267" t="s">
        <v>595</v>
      </c>
      <c r="E267">
        <v>-76.880271666666602</v>
      </c>
      <c r="F267" s="2" t="s">
        <v>596</v>
      </c>
      <c r="G267">
        <v>655</v>
      </c>
      <c r="I267">
        <v>2024</v>
      </c>
      <c r="J267">
        <v>10</v>
      </c>
      <c r="K267">
        <v>0</v>
      </c>
      <c r="M267" t="s">
        <v>30</v>
      </c>
      <c r="N267" t="s">
        <v>31</v>
      </c>
      <c r="O267" t="s">
        <v>32</v>
      </c>
      <c r="P267" t="s">
        <v>98</v>
      </c>
      <c r="Q267" t="s">
        <v>34</v>
      </c>
      <c r="R267" t="s">
        <v>35</v>
      </c>
      <c r="T267" t="s">
        <v>42</v>
      </c>
      <c r="U267" t="s">
        <v>238</v>
      </c>
      <c r="V267">
        <v>1</v>
      </c>
      <c r="W267" t="s">
        <v>56</v>
      </c>
      <c r="Z267" t="s">
        <v>36</v>
      </c>
      <c r="AA267" t="s">
        <v>44</v>
      </c>
      <c r="AB267" t="s">
        <v>45</v>
      </c>
    </row>
    <row r="268" spans="1:28" hidden="1" x14ac:dyDescent="0.2">
      <c r="A268" s="1">
        <v>45616</v>
      </c>
      <c r="B268" s="1">
        <v>45616</v>
      </c>
      <c r="C268" t="s">
        <v>41</v>
      </c>
      <c r="D268" t="s">
        <v>597</v>
      </c>
      <c r="E268">
        <v>-76.880846666666599</v>
      </c>
      <c r="F268" s="2" t="s">
        <v>598</v>
      </c>
      <c r="G268">
        <v>650</v>
      </c>
      <c r="I268">
        <v>2024</v>
      </c>
      <c r="J268">
        <v>20</v>
      </c>
      <c r="K268">
        <v>0</v>
      </c>
      <c r="M268" t="s">
        <v>30</v>
      </c>
      <c r="N268" t="s">
        <v>31</v>
      </c>
      <c r="O268" t="s">
        <v>38</v>
      </c>
      <c r="P268" t="s">
        <v>98</v>
      </c>
      <c r="Q268" t="s">
        <v>86</v>
      </c>
      <c r="R268" t="s">
        <v>412</v>
      </c>
      <c r="S268" t="s">
        <v>41</v>
      </c>
      <c r="T268" t="s">
        <v>91</v>
      </c>
      <c r="U268" t="s">
        <v>75</v>
      </c>
      <c r="V268">
        <v>1</v>
      </c>
      <c r="Z268" t="s">
        <v>36</v>
      </c>
      <c r="AA268" t="s">
        <v>44</v>
      </c>
      <c r="AB268" t="s">
        <v>45</v>
      </c>
    </row>
    <row r="269" spans="1:28" s="11" customFormat="1" hidden="1" x14ac:dyDescent="0.2">
      <c r="A269" s="10">
        <v>45616</v>
      </c>
      <c r="B269" s="10">
        <v>45616</v>
      </c>
      <c r="C269" s="11" t="s">
        <v>41</v>
      </c>
      <c r="D269" s="11" t="s">
        <v>599</v>
      </c>
      <c r="E269" s="11">
        <v>-76.880898333333306</v>
      </c>
      <c r="F269" s="11">
        <v>3.5781550000000002</v>
      </c>
      <c r="G269" s="11">
        <v>650</v>
      </c>
      <c r="I269" s="11">
        <v>2024</v>
      </c>
      <c r="J269" s="11">
        <v>20</v>
      </c>
      <c r="K269" s="11">
        <v>0</v>
      </c>
      <c r="M269" s="11" t="s">
        <v>30</v>
      </c>
      <c r="N269" s="11" t="s">
        <v>31</v>
      </c>
      <c r="O269" s="11" t="s">
        <v>38</v>
      </c>
      <c r="P269" s="11" t="s">
        <v>98</v>
      </c>
      <c r="Q269" s="11" t="s">
        <v>34</v>
      </c>
      <c r="R269" s="11" t="s">
        <v>412</v>
      </c>
      <c r="S269" s="11" t="s">
        <v>41</v>
      </c>
      <c r="T269" s="11" t="s">
        <v>42</v>
      </c>
      <c r="U269" s="11" t="s">
        <v>137</v>
      </c>
      <c r="V269" s="11">
        <v>1</v>
      </c>
      <c r="W269" s="11" t="s">
        <v>600</v>
      </c>
      <c r="Z269" s="11" t="s">
        <v>36</v>
      </c>
      <c r="AA269" s="11" t="s">
        <v>44</v>
      </c>
      <c r="AB269" s="11" t="s">
        <v>45</v>
      </c>
    </row>
    <row r="270" spans="1:28" hidden="1" x14ac:dyDescent="0.2">
      <c r="A270" s="1">
        <v>45616</v>
      </c>
      <c r="B270" s="1">
        <v>45616</v>
      </c>
      <c r="C270" t="s">
        <v>41</v>
      </c>
      <c r="D270" t="s">
        <v>601</v>
      </c>
      <c r="E270">
        <v>-76.880976666666598</v>
      </c>
      <c r="F270" s="2" t="s">
        <v>602</v>
      </c>
      <c r="G270">
        <v>650</v>
      </c>
      <c r="I270">
        <v>2024</v>
      </c>
      <c r="J270">
        <v>20</v>
      </c>
      <c r="K270">
        <v>0</v>
      </c>
      <c r="M270" t="s">
        <v>30</v>
      </c>
      <c r="N270" t="s">
        <v>31</v>
      </c>
      <c r="O270" t="s">
        <v>38</v>
      </c>
      <c r="P270" t="s">
        <v>98</v>
      </c>
      <c r="Q270" t="s">
        <v>34</v>
      </c>
      <c r="R270" t="s">
        <v>412</v>
      </c>
      <c r="T270" t="s">
        <v>42</v>
      </c>
      <c r="U270" t="s">
        <v>252</v>
      </c>
      <c r="V270">
        <v>1</v>
      </c>
      <c r="W270" t="s">
        <v>56</v>
      </c>
      <c r="Z270" t="s">
        <v>36</v>
      </c>
      <c r="AA270" t="s">
        <v>44</v>
      </c>
      <c r="AB270" t="s">
        <v>45</v>
      </c>
    </row>
    <row r="271" spans="1:28" hidden="1" x14ac:dyDescent="0.2">
      <c r="A271" s="1">
        <v>45616</v>
      </c>
      <c r="B271" s="1">
        <v>45616</v>
      </c>
      <c r="C271" t="s">
        <v>41</v>
      </c>
      <c r="D271" t="s">
        <v>603</v>
      </c>
      <c r="E271">
        <v>-76.881408333333297</v>
      </c>
      <c r="F271">
        <v>3.5775100000000002</v>
      </c>
      <c r="G271">
        <v>650</v>
      </c>
      <c r="I271">
        <v>2024</v>
      </c>
      <c r="J271">
        <v>20</v>
      </c>
      <c r="K271">
        <v>0</v>
      </c>
      <c r="M271" t="s">
        <v>30</v>
      </c>
      <c r="N271" t="s">
        <v>31</v>
      </c>
      <c r="O271" t="s">
        <v>38</v>
      </c>
      <c r="P271" t="s">
        <v>98</v>
      </c>
      <c r="Q271" t="s">
        <v>34</v>
      </c>
      <c r="R271" t="s">
        <v>412</v>
      </c>
      <c r="T271" t="s">
        <v>42</v>
      </c>
      <c r="U271" t="s">
        <v>116</v>
      </c>
      <c r="V271">
        <v>1</v>
      </c>
      <c r="W271" t="s">
        <v>81</v>
      </c>
      <c r="Z271" t="s">
        <v>36</v>
      </c>
      <c r="AA271" t="s">
        <v>44</v>
      </c>
      <c r="AB271" t="s">
        <v>45</v>
      </c>
    </row>
    <row r="272" spans="1:28" hidden="1" x14ac:dyDescent="0.2">
      <c r="A272" s="1">
        <v>45616</v>
      </c>
      <c r="B272" s="1">
        <v>45616</v>
      </c>
      <c r="C272" t="s">
        <v>41</v>
      </c>
      <c r="D272" t="s">
        <v>604</v>
      </c>
      <c r="E272">
        <v>-76.880903333333293</v>
      </c>
      <c r="F272" s="2" t="s">
        <v>605</v>
      </c>
      <c r="G272">
        <v>650</v>
      </c>
      <c r="I272">
        <v>2024</v>
      </c>
      <c r="J272">
        <v>20</v>
      </c>
      <c r="K272">
        <v>0</v>
      </c>
      <c r="M272" t="s">
        <v>30</v>
      </c>
      <c r="N272" t="s">
        <v>31</v>
      </c>
      <c r="O272" t="s">
        <v>38</v>
      </c>
      <c r="P272" t="s">
        <v>98</v>
      </c>
      <c r="Q272" t="s">
        <v>86</v>
      </c>
      <c r="R272" t="s">
        <v>412</v>
      </c>
      <c r="S272" t="s">
        <v>41</v>
      </c>
      <c r="T272" t="s">
        <v>42</v>
      </c>
      <c r="U272" t="s">
        <v>116</v>
      </c>
      <c r="V272">
        <v>1</v>
      </c>
      <c r="Z272" t="s">
        <v>36</v>
      </c>
      <c r="AA272" t="s">
        <v>65</v>
      </c>
      <c r="AB272" t="s">
        <v>45</v>
      </c>
    </row>
    <row r="273" spans="1:28" hidden="1" x14ac:dyDescent="0.2">
      <c r="A273" s="1">
        <v>45616</v>
      </c>
      <c r="B273" s="1">
        <v>45616</v>
      </c>
      <c r="C273" t="s">
        <v>41</v>
      </c>
      <c r="D273" t="s">
        <v>606</v>
      </c>
      <c r="E273">
        <v>-76.880785000000003</v>
      </c>
      <c r="F273" s="2" t="s">
        <v>607</v>
      </c>
      <c r="G273">
        <v>650</v>
      </c>
      <c r="I273">
        <v>2024</v>
      </c>
      <c r="J273">
        <v>20</v>
      </c>
      <c r="K273">
        <v>0</v>
      </c>
      <c r="M273" t="s">
        <v>30</v>
      </c>
      <c r="N273" t="s">
        <v>31</v>
      </c>
      <c r="O273" t="s">
        <v>38</v>
      </c>
      <c r="P273" t="s">
        <v>98</v>
      </c>
      <c r="Q273" t="s">
        <v>86</v>
      </c>
      <c r="R273" t="s">
        <v>412</v>
      </c>
      <c r="S273" t="s">
        <v>41</v>
      </c>
      <c r="T273" t="s">
        <v>42</v>
      </c>
      <c r="U273" t="s">
        <v>238</v>
      </c>
      <c r="V273">
        <v>1</v>
      </c>
      <c r="Z273" t="s">
        <v>36</v>
      </c>
      <c r="AA273" t="s">
        <v>44</v>
      </c>
      <c r="AB273" t="s">
        <v>45</v>
      </c>
    </row>
    <row r="274" spans="1:28" hidden="1" x14ac:dyDescent="0.2">
      <c r="A274" s="1">
        <v>45616</v>
      </c>
      <c r="B274" s="1">
        <v>45616</v>
      </c>
      <c r="C274" t="s">
        <v>41</v>
      </c>
      <c r="D274" t="s">
        <v>608</v>
      </c>
      <c r="E274">
        <v>-76.880686666666605</v>
      </c>
      <c r="F274" s="2" t="s">
        <v>609</v>
      </c>
      <c r="G274">
        <v>650</v>
      </c>
      <c r="I274">
        <v>2024</v>
      </c>
      <c r="J274">
        <v>20</v>
      </c>
      <c r="K274">
        <v>0</v>
      </c>
      <c r="M274" t="s">
        <v>30</v>
      </c>
      <c r="N274" t="s">
        <v>31</v>
      </c>
      <c r="O274" t="s">
        <v>38</v>
      </c>
      <c r="P274" t="s">
        <v>98</v>
      </c>
      <c r="Q274" t="s">
        <v>34</v>
      </c>
      <c r="R274" t="s">
        <v>412</v>
      </c>
      <c r="T274" t="s">
        <v>42</v>
      </c>
      <c r="U274" t="s">
        <v>84</v>
      </c>
      <c r="V274">
        <v>1</v>
      </c>
      <c r="W274" t="s">
        <v>81</v>
      </c>
      <c r="Z274" t="s">
        <v>36</v>
      </c>
      <c r="AA274" t="s">
        <v>65</v>
      </c>
      <c r="AB274" t="s">
        <v>45</v>
      </c>
    </row>
    <row r="275" spans="1:28" hidden="1" x14ac:dyDescent="0.2">
      <c r="A275" s="1">
        <v>45616</v>
      </c>
      <c r="B275" s="1">
        <v>45616</v>
      </c>
      <c r="C275" t="s">
        <v>41</v>
      </c>
      <c r="D275" t="s">
        <v>610</v>
      </c>
      <c r="E275">
        <v>-76.880563333333299</v>
      </c>
      <c r="F275" s="2" t="s">
        <v>611</v>
      </c>
      <c r="G275">
        <v>650</v>
      </c>
      <c r="I275">
        <v>2024</v>
      </c>
      <c r="J275">
        <v>20</v>
      </c>
      <c r="K275">
        <v>0</v>
      </c>
      <c r="M275" t="s">
        <v>30</v>
      </c>
      <c r="N275" t="s">
        <v>31</v>
      </c>
      <c r="O275" t="s">
        <v>38</v>
      </c>
      <c r="P275" t="s">
        <v>98</v>
      </c>
      <c r="Q275" t="s">
        <v>34</v>
      </c>
      <c r="R275" t="s">
        <v>412</v>
      </c>
      <c r="S275" t="s">
        <v>41</v>
      </c>
      <c r="T275" t="s">
        <v>91</v>
      </c>
      <c r="U275" t="s">
        <v>224</v>
      </c>
      <c r="V275">
        <v>1</v>
      </c>
      <c r="Z275" t="s">
        <v>36</v>
      </c>
      <c r="AA275" t="s">
        <v>44</v>
      </c>
      <c r="AB275" t="s">
        <v>45</v>
      </c>
    </row>
    <row r="276" spans="1:28" s="11" customFormat="1" hidden="1" x14ac:dyDescent="0.2">
      <c r="A276" s="10">
        <v>45616</v>
      </c>
      <c r="B276" s="10">
        <v>45616</v>
      </c>
      <c r="C276" s="11" t="s">
        <v>41</v>
      </c>
      <c r="D276" s="11" t="s">
        <v>612</v>
      </c>
      <c r="E276" s="11">
        <v>-76.880435000000006</v>
      </c>
      <c r="F276" s="12">
        <v>3.5775999999999999</v>
      </c>
      <c r="G276" s="11">
        <v>650</v>
      </c>
      <c r="I276" s="11">
        <v>2024</v>
      </c>
      <c r="J276" s="11">
        <v>20</v>
      </c>
      <c r="K276" s="11">
        <v>0</v>
      </c>
      <c r="M276" s="11" t="s">
        <v>30</v>
      </c>
      <c r="N276" s="11" t="s">
        <v>31</v>
      </c>
      <c r="O276" s="11" t="s">
        <v>38</v>
      </c>
      <c r="P276" s="11" t="s">
        <v>98</v>
      </c>
      <c r="Q276" s="11" t="s">
        <v>34</v>
      </c>
      <c r="R276" s="11" t="s">
        <v>412</v>
      </c>
      <c r="S276" s="11" t="s">
        <v>41</v>
      </c>
      <c r="T276" s="11" t="s">
        <v>42</v>
      </c>
      <c r="U276" s="11" t="s">
        <v>137</v>
      </c>
      <c r="V276" s="11">
        <v>3</v>
      </c>
      <c r="W276" s="11" t="s">
        <v>613</v>
      </c>
      <c r="Z276" s="11" t="s">
        <v>36</v>
      </c>
      <c r="AA276" s="11" t="s">
        <v>44</v>
      </c>
      <c r="AB276" s="11" t="s">
        <v>45</v>
      </c>
    </row>
    <row r="277" spans="1:28" hidden="1" x14ac:dyDescent="0.2">
      <c r="A277" s="1">
        <v>45616</v>
      </c>
      <c r="B277" s="1">
        <v>45616</v>
      </c>
      <c r="C277" t="s">
        <v>41</v>
      </c>
      <c r="D277" t="s">
        <v>614</v>
      </c>
      <c r="E277">
        <v>-76.880561666666594</v>
      </c>
      <c r="F277">
        <v>3.5788600000000002</v>
      </c>
      <c r="G277">
        <v>687</v>
      </c>
      <c r="I277">
        <v>2024</v>
      </c>
      <c r="J277">
        <v>20</v>
      </c>
      <c r="K277">
        <v>60</v>
      </c>
      <c r="M277" t="s">
        <v>30</v>
      </c>
      <c r="N277" t="s">
        <v>31</v>
      </c>
      <c r="O277" t="s">
        <v>40</v>
      </c>
      <c r="P277" t="s">
        <v>98</v>
      </c>
      <c r="Q277" t="s">
        <v>86</v>
      </c>
      <c r="R277" t="s">
        <v>412</v>
      </c>
      <c r="S277" t="s">
        <v>41</v>
      </c>
      <c r="T277" t="s">
        <v>42</v>
      </c>
      <c r="U277" t="s">
        <v>43</v>
      </c>
      <c r="V277">
        <v>1</v>
      </c>
      <c r="Z277" t="s">
        <v>36</v>
      </c>
      <c r="AA277" t="s">
        <v>44</v>
      </c>
      <c r="AB277" t="s">
        <v>45</v>
      </c>
    </row>
    <row r="278" spans="1:28" hidden="1" x14ac:dyDescent="0.2">
      <c r="A278" s="1">
        <v>45616</v>
      </c>
      <c r="B278" s="1">
        <v>45616</v>
      </c>
      <c r="C278" t="s">
        <v>41</v>
      </c>
      <c r="D278" t="s">
        <v>615</v>
      </c>
      <c r="E278">
        <v>-76.880780000000001</v>
      </c>
      <c r="F278">
        <v>3.5786150000000001</v>
      </c>
      <c r="G278">
        <v>687</v>
      </c>
      <c r="I278">
        <v>2024</v>
      </c>
      <c r="J278">
        <v>20</v>
      </c>
      <c r="K278">
        <v>60</v>
      </c>
      <c r="M278" t="s">
        <v>30</v>
      </c>
      <c r="N278" t="s">
        <v>31</v>
      </c>
      <c r="O278" t="s">
        <v>40</v>
      </c>
      <c r="P278" t="s">
        <v>98</v>
      </c>
      <c r="Q278" t="s">
        <v>86</v>
      </c>
      <c r="R278" t="s">
        <v>412</v>
      </c>
      <c r="T278" t="s">
        <v>54</v>
      </c>
      <c r="U278" t="s">
        <v>43</v>
      </c>
      <c r="V278">
        <v>1</v>
      </c>
      <c r="W278" t="s">
        <v>81</v>
      </c>
      <c r="Z278" t="s">
        <v>36</v>
      </c>
      <c r="AA278" t="s">
        <v>44</v>
      </c>
      <c r="AB278" t="s">
        <v>45</v>
      </c>
    </row>
    <row r="279" spans="1:28" hidden="1" x14ac:dyDescent="0.2">
      <c r="A279" s="1">
        <v>45616</v>
      </c>
      <c r="B279" s="1">
        <v>45616</v>
      </c>
      <c r="C279" t="s">
        <v>41</v>
      </c>
      <c r="D279" t="s">
        <v>616</v>
      </c>
      <c r="E279">
        <v>-76.880911666666606</v>
      </c>
      <c r="F279" s="2" t="s">
        <v>617</v>
      </c>
      <c r="G279">
        <v>687</v>
      </c>
      <c r="I279">
        <v>2024</v>
      </c>
      <c r="J279">
        <v>20</v>
      </c>
      <c r="K279">
        <v>60</v>
      </c>
      <c r="M279" t="s">
        <v>30</v>
      </c>
      <c r="N279" t="s">
        <v>31</v>
      </c>
      <c r="O279" t="s">
        <v>40</v>
      </c>
      <c r="P279" t="s">
        <v>98</v>
      </c>
      <c r="Q279" t="s">
        <v>86</v>
      </c>
      <c r="R279" t="s">
        <v>412</v>
      </c>
      <c r="S279" t="s">
        <v>41</v>
      </c>
      <c r="T279" t="s">
        <v>42</v>
      </c>
      <c r="U279" t="s">
        <v>112</v>
      </c>
      <c r="V279">
        <v>1</v>
      </c>
      <c r="Z279" t="s">
        <v>36</v>
      </c>
      <c r="AA279" t="s">
        <v>44</v>
      </c>
      <c r="AB279" t="s">
        <v>45</v>
      </c>
    </row>
    <row r="280" spans="1:28" hidden="1" x14ac:dyDescent="0.2">
      <c r="A280" s="1">
        <v>45616</v>
      </c>
      <c r="B280" s="1">
        <v>45616</v>
      </c>
      <c r="C280" t="s">
        <v>41</v>
      </c>
      <c r="D280" t="s">
        <v>618</v>
      </c>
      <c r="E280">
        <v>-76.880601666666607</v>
      </c>
      <c r="F280">
        <v>3.5800450000000001</v>
      </c>
      <c r="G280">
        <v>702</v>
      </c>
      <c r="I280">
        <v>2024</v>
      </c>
      <c r="J280">
        <v>15</v>
      </c>
      <c r="K280">
        <v>30</v>
      </c>
      <c r="M280" t="s">
        <v>30</v>
      </c>
      <c r="N280" t="s">
        <v>31</v>
      </c>
      <c r="O280" t="s">
        <v>47</v>
      </c>
      <c r="P280" t="s">
        <v>98</v>
      </c>
      <c r="Q280" t="s">
        <v>86</v>
      </c>
      <c r="R280" t="s">
        <v>412</v>
      </c>
      <c r="U280" t="s">
        <v>36</v>
      </c>
      <c r="W280" t="s">
        <v>619</v>
      </c>
    </row>
    <row r="281" spans="1:28" hidden="1" x14ac:dyDescent="0.2">
      <c r="A281" s="1">
        <v>45616</v>
      </c>
      <c r="B281" s="1">
        <v>45616</v>
      </c>
      <c r="C281" t="s">
        <v>41</v>
      </c>
      <c r="D281" t="s">
        <v>620</v>
      </c>
      <c r="E281">
        <v>-76.8802983333333</v>
      </c>
      <c r="F281" s="2" t="s">
        <v>621</v>
      </c>
      <c r="G281">
        <v>702</v>
      </c>
      <c r="I281">
        <v>2024</v>
      </c>
      <c r="J281">
        <v>15</v>
      </c>
      <c r="K281">
        <v>30</v>
      </c>
      <c r="M281" t="s">
        <v>30</v>
      </c>
      <c r="N281" t="s">
        <v>31</v>
      </c>
      <c r="O281" t="s">
        <v>47</v>
      </c>
      <c r="P281" t="s">
        <v>98</v>
      </c>
      <c r="Q281" t="s">
        <v>86</v>
      </c>
      <c r="R281" t="s">
        <v>412</v>
      </c>
      <c r="T281" t="s">
        <v>42</v>
      </c>
      <c r="U281" t="s">
        <v>226</v>
      </c>
      <c r="V281">
        <v>1</v>
      </c>
      <c r="W281" t="s">
        <v>81</v>
      </c>
      <c r="Z281" t="s">
        <v>36</v>
      </c>
      <c r="AA281" t="s">
        <v>44</v>
      </c>
      <c r="AB281" t="s">
        <v>45</v>
      </c>
    </row>
    <row r="282" spans="1:28" hidden="1" x14ac:dyDescent="0.2">
      <c r="A282" s="1">
        <v>45583</v>
      </c>
      <c r="B282" s="1">
        <v>45583</v>
      </c>
      <c r="C282" t="s">
        <v>41</v>
      </c>
      <c r="D282" t="s">
        <v>622</v>
      </c>
      <c r="E282">
        <v>-76.644251666666605</v>
      </c>
      <c r="F282" s="2" t="s">
        <v>623</v>
      </c>
      <c r="G282">
        <v>2488</v>
      </c>
      <c r="I282">
        <v>2024</v>
      </c>
      <c r="J282">
        <v>20</v>
      </c>
      <c r="K282">
        <v>10</v>
      </c>
      <c r="M282" t="s">
        <v>624</v>
      </c>
      <c r="N282" t="s">
        <v>31</v>
      </c>
      <c r="O282" t="s">
        <v>32</v>
      </c>
      <c r="P282" t="s">
        <v>625</v>
      </c>
      <c r="Q282" t="s">
        <v>381</v>
      </c>
      <c r="R282" t="s">
        <v>35</v>
      </c>
      <c r="S282" t="s">
        <v>626</v>
      </c>
      <c r="T282" t="s">
        <v>54</v>
      </c>
      <c r="U282" t="s">
        <v>238</v>
      </c>
      <c r="V282">
        <v>1</v>
      </c>
      <c r="Z282" t="s">
        <v>36</v>
      </c>
      <c r="AA282" t="s">
        <v>44</v>
      </c>
      <c r="AB282" t="s">
        <v>45</v>
      </c>
    </row>
    <row r="283" spans="1:28" hidden="1" x14ac:dyDescent="0.2">
      <c r="A283" s="1">
        <v>45583</v>
      </c>
      <c r="B283" s="1">
        <v>45583</v>
      </c>
      <c r="C283" t="s">
        <v>41</v>
      </c>
      <c r="D283" t="s">
        <v>627</v>
      </c>
      <c r="E283">
        <v>-76.644196666666602</v>
      </c>
      <c r="F283" s="2" t="s">
        <v>628</v>
      </c>
      <c r="G283">
        <v>2488</v>
      </c>
      <c r="I283">
        <v>2024</v>
      </c>
      <c r="J283">
        <v>20</v>
      </c>
      <c r="K283">
        <v>10</v>
      </c>
      <c r="M283" t="s">
        <v>624</v>
      </c>
      <c r="N283" t="s">
        <v>31</v>
      </c>
      <c r="O283" t="s">
        <v>32</v>
      </c>
      <c r="P283" t="s">
        <v>625</v>
      </c>
      <c r="Q283" t="s">
        <v>381</v>
      </c>
      <c r="R283" t="s">
        <v>35</v>
      </c>
      <c r="S283" t="s">
        <v>626</v>
      </c>
      <c r="T283" t="s">
        <v>54</v>
      </c>
      <c r="U283" t="s">
        <v>238</v>
      </c>
      <c r="V283">
        <v>1</v>
      </c>
      <c r="Z283" t="s">
        <v>36</v>
      </c>
      <c r="AA283" t="s">
        <v>44</v>
      </c>
      <c r="AB283" t="s">
        <v>45</v>
      </c>
    </row>
    <row r="284" spans="1:28" hidden="1" x14ac:dyDescent="0.2">
      <c r="A284" s="1">
        <v>45583</v>
      </c>
      <c r="B284" s="1">
        <v>45583</v>
      </c>
      <c r="C284" t="s">
        <v>41</v>
      </c>
      <c r="D284" t="s">
        <v>627</v>
      </c>
      <c r="E284">
        <v>-76.644196666666602</v>
      </c>
      <c r="F284" s="2" t="s">
        <v>628</v>
      </c>
      <c r="G284">
        <v>2488</v>
      </c>
      <c r="I284">
        <v>2024</v>
      </c>
      <c r="J284">
        <v>20</v>
      </c>
      <c r="K284">
        <v>10</v>
      </c>
      <c r="M284" t="s">
        <v>624</v>
      </c>
      <c r="N284" t="s">
        <v>31</v>
      </c>
      <c r="O284" t="s">
        <v>32</v>
      </c>
      <c r="P284" t="s">
        <v>625</v>
      </c>
      <c r="Q284" t="s">
        <v>381</v>
      </c>
      <c r="R284" t="s">
        <v>35</v>
      </c>
      <c r="S284" t="s">
        <v>41</v>
      </c>
      <c r="T284" t="s">
        <v>54</v>
      </c>
      <c r="U284" t="s">
        <v>371</v>
      </c>
      <c r="V284">
        <v>1</v>
      </c>
      <c r="Z284" t="s">
        <v>36</v>
      </c>
      <c r="AA284" t="s">
        <v>44</v>
      </c>
      <c r="AB284" t="s">
        <v>66</v>
      </c>
    </row>
    <row r="285" spans="1:28" hidden="1" x14ac:dyDescent="0.2">
      <c r="A285" s="1">
        <v>45583</v>
      </c>
      <c r="B285" s="1">
        <v>45583</v>
      </c>
      <c r="C285" t="s">
        <v>41</v>
      </c>
      <c r="D285" t="s">
        <v>629</v>
      </c>
      <c r="E285">
        <v>-76.644103333333305</v>
      </c>
      <c r="F285" s="2" t="s">
        <v>630</v>
      </c>
      <c r="G285">
        <v>2488</v>
      </c>
      <c r="I285">
        <v>2024</v>
      </c>
      <c r="J285">
        <v>20</v>
      </c>
      <c r="K285">
        <v>10</v>
      </c>
      <c r="M285" t="s">
        <v>624</v>
      </c>
      <c r="N285" t="s">
        <v>31</v>
      </c>
      <c r="O285" t="s">
        <v>32</v>
      </c>
      <c r="P285" t="s">
        <v>625</v>
      </c>
      <c r="Q285" t="s">
        <v>381</v>
      </c>
      <c r="R285" t="s">
        <v>35</v>
      </c>
      <c r="S285" t="s">
        <v>626</v>
      </c>
      <c r="T285" t="s">
        <v>54</v>
      </c>
      <c r="U285" t="s">
        <v>238</v>
      </c>
      <c r="V285">
        <v>1</v>
      </c>
      <c r="Z285" t="s">
        <v>36</v>
      </c>
      <c r="AA285" t="s">
        <v>44</v>
      </c>
      <c r="AB285" t="s">
        <v>45</v>
      </c>
    </row>
    <row r="286" spans="1:28" hidden="1" x14ac:dyDescent="0.2">
      <c r="A286" s="1">
        <v>45583</v>
      </c>
      <c r="B286" s="1">
        <v>45583</v>
      </c>
      <c r="C286" t="s">
        <v>41</v>
      </c>
      <c r="D286" t="s">
        <v>631</v>
      </c>
      <c r="E286">
        <v>-76.644128333333299</v>
      </c>
      <c r="F286" s="2" t="s">
        <v>632</v>
      </c>
      <c r="G286">
        <v>2488</v>
      </c>
      <c r="I286">
        <v>2024</v>
      </c>
      <c r="J286">
        <v>20</v>
      </c>
      <c r="K286">
        <v>10</v>
      </c>
      <c r="M286" t="s">
        <v>624</v>
      </c>
      <c r="N286" t="s">
        <v>31</v>
      </c>
      <c r="O286" t="s">
        <v>32</v>
      </c>
      <c r="P286" t="s">
        <v>625</v>
      </c>
      <c r="Q286" t="s">
        <v>381</v>
      </c>
      <c r="R286" t="s">
        <v>35</v>
      </c>
      <c r="S286" t="s">
        <v>41</v>
      </c>
      <c r="T286" t="s">
        <v>54</v>
      </c>
      <c r="U286" t="s">
        <v>238</v>
      </c>
      <c r="V286">
        <v>1</v>
      </c>
      <c r="Z286" t="s">
        <v>36</v>
      </c>
      <c r="AA286" t="s">
        <v>44</v>
      </c>
      <c r="AB286" t="s">
        <v>45</v>
      </c>
    </row>
    <row r="287" spans="1:28" hidden="1" x14ac:dyDescent="0.2">
      <c r="A287" s="1">
        <v>45583</v>
      </c>
      <c r="B287" s="1">
        <v>45583</v>
      </c>
      <c r="C287" t="s">
        <v>41</v>
      </c>
      <c r="D287" t="s">
        <v>633</v>
      </c>
      <c r="E287">
        <v>-76.643784999999994</v>
      </c>
      <c r="F287" s="2" t="s">
        <v>634</v>
      </c>
      <c r="G287">
        <v>2488</v>
      </c>
      <c r="I287">
        <v>2024</v>
      </c>
      <c r="J287">
        <v>20</v>
      </c>
      <c r="K287">
        <v>10</v>
      </c>
      <c r="M287" t="s">
        <v>624</v>
      </c>
      <c r="N287" t="s">
        <v>31</v>
      </c>
      <c r="O287" t="s">
        <v>32</v>
      </c>
      <c r="P287" t="s">
        <v>625</v>
      </c>
      <c r="Q287" t="s">
        <v>381</v>
      </c>
      <c r="R287" t="s">
        <v>35</v>
      </c>
      <c r="S287" t="s">
        <v>635</v>
      </c>
      <c r="T287" t="s">
        <v>54</v>
      </c>
      <c r="U287" t="s">
        <v>238</v>
      </c>
      <c r="V287">
        <v>1</v>
      </c>
      <c r="Z287" t="s">
        <v>36</v>
      </c>
      <c r="AA287" t="s">
        <v>44</v>
      </c>
      <c r="AB287" t="s">
        <v>45</v>
      </c>
    </row>
    <row r="288" spans="1:28" hidden="1" x14ac:dyDescent="0.2">
      <c r="A288" s="1">
        <v>45583</v>
      </c>
      <c r="B288" s="1">
        <v>45583</v>
      </c>
      <c r="C288" t="s">
        <v>41</v>
      </c>
      <c r="D288" t="s">
        <v>637</v>
      </c>
      <c r="E288">
        <v>-76.643699999999995</v>
      </c>
      <c r="F288" s="2" t="s">
        <v>638</v>
      </c>
      <c r="G288">
        <v>2488</v>
      </c>
      <c r="I288">
        <v>2024</v>
      </c>
      <c r="J288">
        <v>20</v>
      </c>
      <c r="K288">
        <v>10</v>
      </c>
      <c r="M288" t="s">
        <v>624</v>
      </c>
      <c r="N288" t="s">
        <v>31</v>
      </c>
      <c r="O288" t="s">
        <v>32</v>
      </c>
      <c r="P288" t="s">
        <v>625</v>
      </c>
      <c r="Q288" t="s">
        <v>381</v>
      </c>
      <c r="R288" t="s">
        <v>35</v>
      </c>
      <c r="S288" t="s">
        <v>41</v>
      </c>
      <c r="T288" t="s">
        <v>54</v>
      </c>
      <c r="U288" t="s">
        <v>224</v>
      </c>
      <c r="V288">
        <v>1</v>
      </c>
      <c r="Z288" t="s">
        <v>36</v>
      </c>
      <c r="AA288" t="s">
        <v>44</v>
      </c>
      <c r="AB288" t="s">
        <v>45</v>
      </c>
    </row>
    <row r="289" spans="1:28" hidden="1" x14ac:dyDescent="0.2">
      <c r="A289" s="1">
        <v>45583</v>
      </c>
      <c r="B289" s="1">
        <v>45583</v>
      </c>
      <c r="C289" t="s">
        <v>41</v>
      </c>
      <c r="D289" t="s">
        <v>639</v>
      </c>
      <c r="E289">
        <v>-76.643546666666595</v>
      </c>
      <c r="F289" s="2" t="s">
        <v>640</v>
      </c>
      <c r="G289">
        <v>2488</v>
      </c>
      <c r="I289">
        <v>2024</v>
      </c>
      <c r="J289">
        <v>20</v>
      </c>
      <c r="K289">
        <v>10</v>
      </c>
      <c r="M289" t="s">
        <v>624</v>
      </c>
      <c r="N289" t="s">
        <v>31</v>
      </c>
      <c r="O289" t="s">
        <v>32</v>
      </c>
      <c r="P289" t="s">
        <v>625</v>
      </c>
      <c r="Q289" t="s">
        <v>381</v>
      </c>
      <c r="R289" t="s">
        <v>35</v>
      </c>
      <c r="S289" t="s">
        <v>635</v>
      </c>
      <c r="T289" t="s">
        <v>54</v>
      </c>
      <c r="U289" t="s">
        <v>238</v>
      </c>
      <c r="V289">
        <v>2</v>
      </c>
      <c r="Z289" t="s">
        <v>36</v>
      </c>
      <c r="AA289" t="s">
        <v>44</v>
      </c>
      <c r="AB289" t="s">
        <v>45</v>
      </c>
    </row>
    <row r="290" spans="1:28" hidden="1" x14ac:dyDescent="0.2">
      <c r="A290" s="1">
        <v>45583</v>
      </c>
      <c r="B290" s="1">
        <v>45583</v>
      </c>
      <c r="C290" t="s">
        <v>41</v>
      </c>
      <c r="D290" t="s">
        <v>641</v>
      </c>
      <c r="E290">
        <v>-76.645880000000005</v>
      </c>
      <c r="F290" s="2" t="s">
        <v>642</v>
      </c>
      <c r="G290">
        <v>2459</v>
      </c>
      <c r="I290">
        <v>2024</v>
      </c>
      <c r="J290">
        <v>6</v>
      </c>
      <c r="K290">
        <v>25</v>
      </c>
      <c r="M290" t="s">
        <v>624</v>
      </c>
      <c r="N290" t="s">
        <v>31</v>
      </c>
      <c r="O290" t="s">
        <v>40</v>
      </c>
      <c r="P290" t="s">
        <v>643</v>
      </c>
      <c r="Q290" t="s">
        <v>381</v>
      </c>
      <c r="R290" t="s">
        <v>35</v>
      </c>
      <c r="S290" t="s">
        <v>626</v>
      </c>
      <c r="T290" t="s">
        <v>54</v>
      </c>
      <c r="U290" t="s">
        <v>252</v>
      </c>
      <c r="V290">
        <v>2</v>
      </c>
      <c r="W290" t="s">
        <v>644</v>
      </c>
      <c r="Z290" t="s">
        <v>36</v>
      </c>
      <c r="AA290" t="s">
        <v>44</v>
      </c>
      <c r="AB290" t="s">
        <v>45</v>
      </c>
    </row>
    <row r="291" spans="1:28" hidden="1" x14ac:dyDescent="0.2">
      <c r="A291" s="1">
        <v>45583</v>
      </c>
      <c r="B291" s="1">
        <v>45583</v>
      </c>
      <c r="C291" t="s">
        <v>41</v>
      </c>
      <c r="D291" t="s">
        <v>645</v>
      </c>
      <c r="E291">
        <v>-76.644918333333294</v>
      </c>
      <c r="F291" s="2" t="s">
        <v>646</v>
      </c>
      <c r="G291">
        <v>2475</v>
      </c>
      <c r="I291">
        <v>2024</v>
      </c>
      <c r="J291">
        <v>10</v>
      </c>
      <c r="K291">
        <v>15</v>
      </c>
      <c r="M291" t="s">
        <v>624</v>
      </c>
      <c r="N291" t="s">
        <v>31</v>
      </c>
      <c r="O291" t="s">
        <v>47</v>
      </c>
      <c r="P291" t="s">
        <v>643</v>
      </c>
      <c r="Q291" t="s">
        <v>381</v>
      </c>
      <c r="R291" t="s">
        <v>35</v>
      </c>
      <c r="S291" t="s">
        <v>41</v>
      </c>
      <c r="T291" t="s">
        <v>54</v>
      </c>
      <c r="U291" t="s">
        <v>252</v>
      </c>
      <c r="V291">
        <v>1</v>
      </c>
      <c r="Z291" t="s">
        <v>36</v>
      </c>
      <c r="AA291" t="s">
        <v>65</v>
      </c>
      <c r="AB291" t="s">
        <v>45</v>
      </c>
    </row>
    <row r="292" spans="1:28" hidden="1" x14ac:dyDescent="0.2">
      <c r="A292" s="1">
        <v>45583</v>
      </c>
      <c r="B292" s="1">
        <v>45583</v>
      </c>
      <c r="C292" t="s">
        <v>41</v>
      </c>
      <c r="D292" t="s">
        <v>647</v>
      </c>
      <c r="E292">
        <v>-76.644909999999996</v>
      </c>
      <c r="F292" s="2" t="s">
        <v>648</v>
      </c>
      <c r="G292">
        <v>2475</v>
      </c>
      <c r="I292">
        <v>2024</v>
      </c>
      <c r="J292">
        <v>10</v>
      </c>
      <c r="K292">
        <v>15</v>
      </c>
      <c r="M292" t="s">
        <v>624</v>
      </c>
      <c r="N292" t="s">
        <v>31</v>
      </c>
      <c r="O292" t="s">
        <v>47</v>
      </c>
      <c r="P292" t="s">
        <v>643</v>
      </c>
      <c r="Q292" t="s">
        <v>381</v>
      </c>
      <c r="R292" t="s">
        <v>35</v>
      </c>
      <c r="S292" t="s">
        <v>41</v>
      </c>
      <c r="T292" t="s">
        <v>54</v>
      </c>
      <c r="U292" t="s">
        <v>252</v>
      </c>
      <c r="V292">
        <v>1</v>
      </c>
      <c r="Z292" t="s">
        <v>36</v>
      </c>
      <c r="AA292" t="s">
        <v>65</v>
      </c>
      <c r="AB292" t="s">
        <v>45</v>
      </c>
    </row>
    <row r="293" spans="1:28" hidden="1" x14ac:dyDescent="0.2">
      <c r="A293" s="1">
        <v>45583</v>
      </c>
      <c r="B293" s="1">
        <v>45583</v>
      </c>
      <c r="C293" t="s">
        <v>41</v>
      </c>
      <c r="D293" t="s">
        <v>649</v>
      </c>
      <c r="E293">
        <v>-76.644698333333295</v>
      </c>
      <c r="F293" s="2" t="s">
        <v>650</v>
      </c>
      <c r="G293">
        <v>2475</v>
      </c>
      <c r="I293">
        <v>2024</v>
      </c>
      <c r="J293">
        <v>10</v>
      </c>
      <c r="K293">
        <v>15</v>
      </c>
      <c r="M293" t="s">
        <v>624</v>
      </c>
      <c r="N293" t="s">
        <v>31</v>
      </c>
      <c r="O293" t="s">
        <v>47</v>
      </c>
      <c r="P293" t="s">
        <v>643</v>
      </c>
      <c r="Q293" t="s">
        <v>381</v>
      </c>
      <c r="R293" t="s">
        <v>35</v>
      </c>
      <c r="S293" t="s">
        <v>41</v>
      </c>
      <c r="T293" t="s">
        <v>54</v>
      </c>
      <c r="U293" t="s">
        <v>252</v>
      </c>
      <c r="V293">
        <v>1</v>
      </c>
      <c r="Z293" t="s">
        <v>36</v>
      </c>
      <c r="AA293" t="s">
        <v>160</v>
      </c>
      <c r="AB293" t="s">
        <v>45</v>
      </c>
    </row>
    <row r="294" spans="1:28" hidden="1" x14ac:dyDescent="0.2">
      <c r="A294" s="1">
        <v>45582</v>
      </c>
      <c r="B294" s="1">
        <v>45582</v>
      </c>
      <c r="C294" t="s">
        <v>651</v>
      </c>
      <c r="D294" t="s">
        <v>652</v>
      </c>
      <c r="E294">
        <v>-76.722630239756597</v>
      </c>
      <c r="F294" s="2" t="s">
        <v>653</v>
      </c>
      <c r="G294">
        <v>1949</v>
      </c>
      <c r="H294">
        <v>2</v>
      </c>
      <c r="I294">
        <v>2024</v>
      </c>
      <c r="J294">
        <v>40</v>
      </c>
      <c r="K294">
        <v>15</v>
      </c>
      <c r="M294" t="s">
        <v>247</v>
      </c>
      <c r="N294" t="s">
        <v>108</v>
      </c>
      <c r="O294" t="s">
        <v>32</v>
      </c>
      <c r="P294" t="s">
        <v>272</v>
      </c>
      <c r="Q294" t="s">
        <v>34</v>
      </c>
      <c r="R294" t="s">
        <v>412</v>
      </c>
      <c r="U294" t="s">
        <v>36</v>
      </c>
      <c r="V294">
        <v>0</v>
      </c>
      <c r="Z294" t="s">
        <v>36</v>
      </c>
    </row>
    <row r="295" spans="1:28" hidden="1" x14ac:dyDescent="0.2">
      <c r="A295" s="1">
        <v>45582</v>
      </c>
      <c r="B295" s="1">
        <v>45582</v>
      </c>
      <c r="C295" t="s">
        <v>651</v>
      </c>
      <c r="D295" t="s">
        <v>654</v>
      </c>
      <c r="E295">
        <v>-76.718428816711196</v>
      </c>
      <c r="F295" s="2" t="s">
        <v>655</v>
      </c>
      <c r="G295">
        <v>1944</v>
      </c>
      <c r="H295">
        <v>1</v>
      </c>
      <c r="I295">
        <v>2024</v>
      </c>
      <c r="J295">
        <v>30</v>
      </c>
      <c r="K295">
        <v>5</v>
      </c>
      <c r="M295" t="s">
        <v>247</v>
      </c>
      <c r="N295" t="s">
        <v>31</v>
      </c>
      <c r="O295" t="s">
        <v>38</v>
      </c>
      <c r="P295" t="s">
        <v>272</v>
      </c>
      <c r="Q295" t="s">
        <v>34</v>
      </c>
      <c r="R295" t="s">
        <v>35</v>
      </c>
      <c r="U295" t="s">
        <v>36</v>
      </c>
      <c r="V295">
        <v>0</v>
      </c>
      <c r="Z295" t="s">
        <v>36</v>
      </c>
    </row>
    <row r="296" spans="1:28" hidden="1" x14ac:dyDescent="0.2">
      <c r="A296" s="1">
        <v>45582</v>
      </c>
      <c r="B296" s="1">
        <v>45582</v>
      </c>
      <c r="C296" t="s">
        <v>651</v>
      </c>
      <c r="D296" t="s">
        <v>656</v>
      </c>
      <c r="E296">
        <v>-76.718954812742396</v>
      </c>
      <c r="F296" s="2" t="s">
        <v>657</v>
      </c>
      <c r="G296">
        <v>1925</v>
      </c>
      <c r="H296">
        <v>0</v>
      </c>
      <c r="I296">
        <v>2024</v>
      </c>
      <c r="J296">
        <v>10</v>
      </c>
      <c r="K296">
        <v>5</v>
      </c>
      <c r="M296" t="s">
        <v>247</v>
      </c>
      <c r="N296" t="s">
        <v>31</v>
      </c>
      <c r="O296" t="s">
        <v>58</v>
      </c>
      <c r="P296" t="s">
        <v>272</v>
      </c>
      <c r="Q296" t="s">
        <v>34</v>
      </c>
      <c r="R296" t="s">
        <v>273</v>
      </c>
      <c r="U296" t="s">
        <v>36</v>
      </c>
      <c r="V296">
        <v>0</v>
      </c>
      <c r="Z296" t="s">
        <v>259</v>
      </c>
    </row>
    <row r="297" spans="1:28" hidden="1" x14ac:dyDescent="0.2">
      <c r="A297" s="1">
        <v>45582</v>
      </c>
      <c r="B297" s="1">
        <v>45582</v>
      </c>
      <c r="C297" t="s">
        <v>651</v>
      </c>
      <c r="D297" t="s">
        <v>658</v>
      </c>
      <c r="E297">
        <v>-76.718291609963103</v>
      </c>
      <c r="F297" s="2" t="s">
        <v>659</v>
      </c>
      <c r="G297">
        <v>1922</v>
      </c>
      <c r="H297">
        <v>0</v>
      </c>
      <c r="I297">
        <v>2024</v>
      </c>
      <c r="J297">
        <v>10</v>
      </c>
      <c r="K297">
        <v>5</v>
      </c>
      <c r="M297" t="s">
        <v>247</v>
      </c>
      <c r="N297" t="s">
        <v>31</v>
      </c>
      <c r="O297" t="s">
        <v>47</v>
      </c>
      <c r="P297" t="s">
        <v>272</v>
      </c>
      <c r="Q297" t="s">
        <v>34</v>
      </c>
      <c r="R297" t="s">
        <v>273</v>
      </c>
      <c r="U297" t="s">
        <v>36</v>
      </c>
      <c r="V297">
        <v>0</v>
      </c>
      <c r="Z297" t="s">
        <v>259</v>
      </c>
    </row>
    <row r="298" spans="1:28" hidden="1" x14ac:dyDescent="0.2">
      <c r="A298" s="1">
        <v>45582</v>
      </c>
      <c r="B298" s="1">
        <v>45582</v>
      </c>
      <c r="C298" t="s">
        <v>651</v>
      </c>
      <c r="D298" t="s">
        <v>660</v>
      </c>
      <c r="E298">
        <v>-76.717722886287802</v>
      </c>
      <c r="F298" s="2" t="s">
        <v>661</v>
      </c>
      <c r="G298">
        <v>1931</v>
      </c>
      <c r="H298">
        <v>1</v>
      </c>
      <c r="I298">
        <v>2024</v>
      </c>
      <c r="J298">
        <v>25</v>
      </c>
      <c r="K298">
        <v>10</v>
      </c>
      <c r="M298" t="s">
        <v>247</v>
      </c>
      <c r="N298" t="s">
        <v>31</v>
      </c>
      <c r="O298" t="s">
        <v>40</v>
      </c>
      <c r="P298" t="s">
        <v>272</v>
      </c>
      <c r="Q298" t="s">
        <v>34</v>
      </c>
      <c r="R298" t="s">
        <v>35</v>
      </c>
      <c r="U298" t="s">
        <v>36</v>
      </c>
      <c r="V298">
        <v>0</v>
      </c>
      <c r="Z298" t="s">
        <v>259</v>
      </c>
    </row>
    <row r="299" spans="1:28" hidden="1" x14ac:dyDescent="0.2">
      <c r="A299" s="1">
        <v>45582</v>
      </c>
      <c r="B299" s="1">
        <v>45582</v>
      </c>
      <c r="C299" t="s">
        <v>651</v>
      </c>
      <c r="D299" t="s">
        <v>662</v>
      </c>
      <c r="E299">
        <v>-76.722455602859895</v>
      </c>
      <c r="F299" s="2" t="s">
        <v>663</v>
      </c>
      <c r="G299">
        <v>1917</v>
      </c>
      <c r="H299">
        <v>2</v>
      </c>
      <c r="I299">
        <v>2024</v>
      </c>
      <c r="J299">
        <v>30</v>
      </c>
      <c r="K299">
        <v>10</v>
      </c>
      <c r="M299" t="s">
        <v>247</v>
      </c>
      <c r="N299" t="s">
        <v>31</v>
      </c>
      <c r="O299" t="s">
        <v>38</v>
      </c>
      <c r="P299" t="s">
        <v>272</v>
      </c>
      <c r="Q299" t="s">
        <v>34</v>
      </c>
      <c r="R299" t="s">
        <v>412</v>
      </c>
      <c r="U299" t="s">
        <v>36</v>
      </c>
      <c r="V299">
        <v>0</v>
      </c>
      <c r="Z299" t="s">
        <v>36</v>
      </c>
    </row>
    <row r="300" spans="1:28" hidden="1" x14ac:dyDescent="0.2">
      <c r="A300" s="1">
        <v>45582</v>
      </c>
      <c r="B300" s="1">
        <v>45582</v>
      </c>
      <c r="C300" t="s">
        <v>651</v>
      </c>
      <c r="D300" t="s">
        <v>664</v>
      </c>
      <c r="E300">
        <v>-76.718558122467599</v>
      </c>
      <c r="F300" s="2" t="s">
        <v>665</v>
      </c>
      <c r="G300">
        <v>1960</v>
      </c>
      <c r="H300">
        <v>2</v>
      </c>
      <c r="I300">
        <v>2024</v>
      </c>
      <c r="J300">
        <v>35</v>
      </c>
      <c r="K300">
        <v>15</v>
      </c>
      <c r="M300" t="s">
        <v>247</v>
      </c>
      <c r="N300" t="s">
        <v>31</v>
      </c>
      <c r="O300" t="s">
        <v>38</v>
      </c>
      <c r="P300" t="s">
        <v>272</v>
      </c>
      <c r="Q300" t="s">
        <v>86</v>
      </c>
      <c r="R300" t="s">
        <v>412</v>
      </c>
      <c r="S300" t="s">
        <v>666</v>
      </c>
      <c r="T300" t="s">
        <v>54</v>
      </c>
      <c r="U300" t="s">
        <v>252</v>
      </c>
      <c r="V300">
        <v>1</v>
      </c>
      <c r="Z300" t="s">
        <v>36</v>
      </c>
      <c r="AA300" t="s">
        <v>65</v>
      </c>
      <c r="AB300" t="s">
        <v>45</v>
      </c>
    </row>
    <row r="301" spans="1:28" hidden="1" x14ac:dyDescent="0.2">
      <c r="A301" s="1">
        <v>45582</v>
      </c>
      <c r="B301" s="1">
        <v>45582</v>
      </c>
      <c r="C301" t="s">
        <v>651</v>
      </c>
      <c r="D301" t="s">
        <v>667</v>
      </c>
      <c r="E301">
        <v>-76.7223592134999</v>
      </c>
      <c r="F301" s="2" t="s">
        <v>668</v>
      </c>
      <c r="G301">
        <v>1908</v>
      </c>
      <c r="H301">
        <v>2</v>
      </c>
      <c r="I301">
        <v>2024</v>
      </c>
      <c r="J301">
        <v>25</v>
      </c>
      <c r="K301">
        <v>10</v>
      </c>
      <c r="M301" t="s">
        <v>247</v>
      </c>
      <c r="N301" t="s">
        <v>31</v>
      </c>
      <c r="O301" t="s">
        <v>40</v>
      </c>
      <c r="P301" t="s">
        <v>272</v>
      </c>
      <c r="Q301" t="s">
        <v>34</v>
      </c>
      <c r="R301" t="s">
        <v>35</v>
      </c>
      <c r="U301" t="s">
        <v>36</v>
      </c>
      <c r="V301">
        <v>0</v>
      </c>
    </row>
    <row r="302" spans="1:28" hidden="1" x14ac:dyDescent="0.2">
      <c r="A302" s="1">
        <v>45582</v>
      </c>
      <c r="B302" s="1">
        <v>45582</v>
      </c>
      <c r="C302" t="s">
        <v>651</v>
      </c>
      <c r="D302" t="s">
        <v>669</v>
      </c>
      <c r="E302">
        <v>-76.718851542171706</v>
      </c>
      <c r="F302">
        <v>3.4849325660661701</v>
      </c>
      <c r="G302">
        <v>1959</v>
      </c>
      <c r="H302">
        <v>2</v>
      </c>
      <c r="I302">
        <v>2024</v>
      </c>
      <c r="J302">
        <v>35</v>
      </c>
      <c r="K302">
        <v>15</v>
      </c>
      <c r="M302" t="s">
        <v>247</v>
      </c>
      <c r="N302" t="s">
        <v>118</v>
      </c>
      <c r="O302" t="s">
        <v>32</v>
      </c>
      <c r="P302" t="s">
        <v>272</v>
      </c>
    </row>
    <row r="303" spans="1:28" hidden="1" x14ac:dyDescent="0.2">
      <c r="A303" s="1">
        <v>45582</v>
      </c>
      <c r="B303" s="1">
        <v>45582</v>
      </c>
      <c r="C303" t="s">
        <v>651</v>
      </c>
      <c r="D303" t="s">
        <v>670</v>
      </c>
      <c r="E303">
        <v>-76.713701529101698</v>
      </c>
      <c r="F303" s="2" t="s">
        <v>671</v>
      </c>
      <c r="G303">
        <v>1853</v>
      </c>
      <c r="H303">
        <v>2</v>
      </c>
      <c r="I303">
        <v>2024</v>
      </c>
      <c r="J303">
        <v>20</v>
      </c>
      <c r="K303">
        <v>0</v>
      </c>
      <c r="M303" t="s">
        <v>247</v>
      </c>
      <c r="N303" t="s">
        <v>118</v>
      </c>
      <c r="O303" t="s">
        <v>32</v>
      </c>
      <c r="P303" t="s">
        <v>672</v>
      </c>
      <c r="Q303" t="s">
        <v>86</v>
      </c>
      <c r="R303" t="s">
        <v>105</v>
      </c>
      <c r="U303" t="s">
        <v>36</v>
      </c>
      <c r="V303">
        <v>0</v>
      </c>
    </row>
    <row r="304" spans="1:28" hidden="1" x14ac:dyDescent="0.2">
      <c r="A304" s="1">
        <v>45582</v>
      </c>
      <c r="B304" s="1">
        <v>45582</v>
      </c>
      <c r="C304" t="s">
        <v>651</v>
      </c>
      <c r="D304" t="s">
        <v>673</v>
      </c>
      <c r="E304">
        <v>-76.717857644685296</v>
      </c>
      <c r="F304" s="2" t="s">
        <v>674</v>
      </c>
      <c r="G304">
        <v>1932</v>
      </c>
      <c r="H304">
        <v>2</v>
      </c>
      <c r="I304">
        <v>2024</v>
      </c>
      <c r="J304">
        <v>25</v>
      </c>
      <c r="K304">
        <v>15</v>
      </c>
      <c r="M304" t="s">
        <v>247</v>
      </c>
      <c r="N304" t="s">
        <v>31</v>
      </c>
      <c r="O304" t="s">
        <v>40</v>
      </c>
      <c r="P304" t="s">
        <v>272</v>
      </c>
      <c r="Q304" t="s">
        <v>86</v>
      </c>
      <c r="R304" t="s">
        <v>35</v>
      </c>
      <c r="S304" t="s">
        <v>666</v>
      </c>
      <c r="T304" t="s">
        <v>91</v>
      </c>
      <c r="U304" t="s">
        <v>238</v>
      </c>
      <c r="V304">
        <v>1</v>
      </c>
      <c r="Z304" t="s">
        <v>259</v>
      </c>
      <c r="AA304" t="s">
        <v>44</v>
      </c>
      <c r="AB304" t="s">
        <v>45</v>
      </c>
    </row>
    <row r="305" spans="1:28" hidden="1" x14ac:dyDescent="0.2">
      <c r="A305" s="1">
        <v>45582</v>
      </c>
      <c r="B305" s="1">
        <v>45582</v>
      </c>
      <c r="C305" t="s">
        <v>651</v>
      </c>
      <c r="D305" t="s">
        <v>675</v>
      </c>
      <c r="E305">
        <v>-76.718067287616805</v>
      </c>
      <c r="F305">
        <v>3.4852164102690999</v>
      </c>
      <c r="G305">
        <v>1932</v>
      </c>
      <c r="H305">
        <v>2</v>
      </c>
      <c r="I305">
        <v>2024</v>
      </c>
      <c r="J305">
        <v>25</v>
      </c>
      <c r="K305">
        <v>15</v>
      </c>
      <c r="M305" t="s">
        <v>247</v>
      </c>
      <c r="N305" t="s">
        <v>31</v>
      </c>
      <c r="O305" t="s">
        <v>40</v>
      </c>
      <c r="P305" t="s">
        <v>272</v>
      </c>
      <c r="Q305" t="s">
        <v>86</v>
      </c>
      <c r="R305" t="s">
        <v>412</v>
      </c>
      <c r="S305" t="s">
        <v>651</v>
      </c>
      <c r="T305" t="s">
        <v>54</v>
      </c>
      <c r="U305" t="s">
        <v>88</v>
      </c>
      <c r="V305">
        <v>1</v>
      </c>
      <c r="Z305" t="s">
        <v>36</v>
      </c>
      <c r="AA305" t="s">
        <v>160</v>
      </c>
      <c r="AB305" t="s">
        <v>45</v>
      </c>
    </row>
    <row r="306" spans="1:28" s="11" customFormat="1" hidden="1" x14ac:dyDescent="0.2">
      <c r="A306" s="10">
        <v>45582</v>
      </c>
      <c r="B306" s="10">
        <v>45582</v>
      </c>
      <c r="C306" s="11" t="s">
        <v>651</v>
      </c>
      <c r="D306" s="11" t="s">
        <v>676</v>
      </c>
      <c r="E306" s="11">
        <v>-76.718306666840803</v>
      </c>
      <c r="F306" s="12">
        <v>3.4851529204479599</v>
      </c>
      <c r="G306" s="11">
        <v>1932</v>
      </c>
      <c r="H306" s="11">
        <v>2</v>
      </c>
      <c r="I306" s="11">
        <v>2024</v>
      </c>
      <c r="J306" s="11">
        <v>25</v>
      </c>
      <c r="K306" s="11">
        <v>15</v>
      </c>
      <c r="M306" s="11" t="s">
        <v>247</v>
      </c>
      <c r="N306" s="11" t="s">
        <v>31</v>
      </c>
      <c r="O306" s="11" t="s">
        <v>40</v>
      </c>
      <c r="P306" s="11" t="s">
        <v>272</v>
      </c>
      <c r="Q306" s="11" t="s">
        <v>86</v>
      </c>
      <c r="R306" s="11" t="s">
        <v>412</v>
      </c>
      <c r="S306" s="11" t="s">
        <v>651</v>
      </c>
      <c r="T306" s="11" t="s">
        <v>54</v>
      </c>
      <c r="U306" s="11" t="s">
        <v>636</v>
      </c>
      <c r="V306" s="11">
        <v>1</v>
      </c>
      <c r="W306" s="11" t="s">
        <v>677</v>
      </c>
      <c r="Z306" s="11" t="s">
        <v>36</v>
      </c>
      <c r="AA306" s="11" t="s">
        <v>44</v>
      </c>
      <c r="AB306" s="11" t="s">
        <v>45</v>
      </c>
    </row>
    <row r="307" spans="1:28" hidden="1" x14ac:dyDescent="0.2">
      <c r="A307" s="1">
        <v>45582</v>
      </c>
      <c r="B307" s="1">
        <v>45582</v>
      </c>
      <c r="C307" t="s">
        <v>651</v>
      </c>
      <c r="D307" t="s">
        <v>678</v>
      </c>
      <c r="E307">
        <v>-76.722638365091797</v>
      </c>
      <c r="F307" s="2" t="s">
        <v>679</v>
      </c>
      <c r="G307">
        <v>1921</v>
      </c>
      <c r="H307">
        <v>2</v>
      </c>
      <c r="I307">
        <v>2024</v>
      </c>
      <c r="J307">
        <v>25</v>
      </c>
      <c r="K307">
        <v>5</v>
      </c>
      <c r="M307" t="s">
        <v>247</v>
      </c>
      <c r="N307" t="s">
        <v>31</v>
      </c>
      <c r="O307" t="s">
        <v>38</v>
      </c>
      <c r="P307" t="s">
        <v>272</v>
      </c>
      <c r="Q307" t="s">
        <v>381</v>
      </c>
      <c r="R307" t="s">
        <v>105</v>
      </c>
      <c r="U307" t="s">
        <v>36</v>
      </c>
      <c r="V307">
        <v>0</v>
      </c>
      <c r="Z307" t="s">
        <v>36</v>
      </c>
    </row>
    <row r="308" spans="1:28" hidden="1" x14ac:dyDescent="0.2">
      <c r="A308" s="1">
        <v>45582</v>
      </c>
      <c r="B308" s="1">
        <v>45582</v>
      </c>
      <c r="C308" t="s">
        <v>651</v>
      </c>
      <c r="D308" t="s">
        <v>680</v>
      </c>
      <c r="E308">
        <v>-76.718320207367398</v>
      </c>
      <c r="F308" s="2" t="s">
        <v>681</v>
      </c>
      <c r="G308">
        <v>1917</v>
      </c>
      <c r="H308">
        <v>0</v>
      </c>
      <c r="I308">
        <v>2024</v>
      </c>
      <c r="J308">
        <v>15</v>
      </c>
      <c r="K308">
        <v>10</v>
      </c>
      <c r="M308" t="s">
        <v>247</v>
      </c>
      <c r="N308" t="s">
        <v>31</v>
      </c>
      <c r="O308" t="s">
        <v>47</v>
      </c>
      <c r="P308" t="s">
        <v>272</v>
      </c>
      <c r="Q308" t="s">
        <v>381</v>
      </c>
      <c r="R308" t="s">
        <v>273</v>
      </c>
      <c r="U308" t="s">
        <v>36</v>
      </c>
      <c r="V308">
        <v>0</v>
      </c>
    </row>
    <row r="309" spans="1:28" hidden="1" x14ac:dyDescent="0.2">
      <c r="A309" s="1">
        <v>45582</v>
      </c>
      <c r="B309" s="1">
        <v>45582</v>
      </c>
      <c r="C309" t="s">
        <v>651</v>
      </c>
      <c r="D309" t="s">
        <v>682</v>
      </c>
      <c r="E309">
        <v>-76.719014103796994</v>
      </c>
      <c r="F309" s="2" t="s">
        <v>683</v>
      </c>
      <c r="G309">
        <v>1913</v>
      </c>
      <c r="H309">
        <v>0</v>
      </c>
      <c r="I309">
        <v>2024</v>
      </c>
      <c r="J309">
        <v>10</v>
      </c>
      <c r="K309">
        <v>5</v>
      </c>
      <c r="M309" t="s">
        <v>247</v>
      </c>
      <c r="N309" t="s">
        <v>31</v>
      </c>
      <c r="O309" t="s">
        <v>58</v>
      </c>
      <c r="P309" t="s">
        <v>272</v>
      </c>
      <c r="Q309" t="s">
        <v>381</v>
      </c>
      <c r="R309" t="s">
        <v>273</v>
      </c>
      <c r="U309" t="s">
        <v>36</v>
      </c>
      <c r="V309">
        <v>0</v>
      </c>
      <c r="Z309" t="s">
        <v>259</v>
      </c>
    </row>
    <row r="310" spans="1:28" hidden="1" x14ac:dyDescent="0.2">
      <c r="A310" s="1">
        <v>45582</v>
      </c>
      <c r="B310" s="1">
        <v>45582</v>
      </c>
      <c r="C310" t="s">
        <v>651</v>
      </c>
      <c r="D310" t="s">
        <v>684</v>
      </c>
      <c r="E310">
        <v>-76.722468968835898</v>
      </c>
      <c r="F310" s="2" t="s">
        <v>685</v>
      </c>
      <c r="G310">
        <v>1921</v>
      </c>
      <c r="H310">
        <v>2</v>
      </c>
      <c r="I310">
        <v>2024</v>
      </c>
      <c r="J310">
        <v>25</v>
      </c>
      <c r="K310">
        <v>5</v>
      </c>
      <c r="M310" t="s">
        <v>247</v>
      </c>
      <c r="N310" t="s">
        <v>108</v>
      </c>
      <c r="O310" t="s">
        <v>32</v>
      </c>
      <c r="P310" t="s">
        <v>272</v>
      </c>
      <c r="Q310" t="s">
        <v>381</v>
      </c>
      <c r="R310" t="s">
        <v>105</v>
      </c>
      <c r="U310" t="s">
        <v>36</v>
      </c>
      <c r="V310">
        <v>0</v>
      </c>
      <c r="Z310" t="s">
        <v>36</v>
      </c>
    </row>
    <row r="311" spans="1:28" hidden="1" x14ac:dyDescent="0.2">
      <c r="A311" s="1">
        <v>45582</v>
      </c>
      <c r="B311" s="1">
        <v>45582</v>
      </c>
      <c r="C311" t="s">
        <v>651</v>
      </c>
      <c r="D311" t="s">
        <v>686</v>
      </c>
      <c r="E311">
        <v>-76.722386178064198</v>
      </c>
      <c r="F311" s="2" t="s">
        <v>687</v>
      </c>
      <c r="G311">
        <v>1910</v>
      </c>
      <c r="H311">
        <v>2</v>
      </c>
      <c r="I311">
        <v>2024</v>
      </c>
      <c r="J311">
        <v>20</v>
      </c>
      <c r="K311">
        <v>5</v>
      </c>
      <c r="M311" t="s">
        <v>247</v>
      </c>
      <c r="N311" t="s">
        <v>31</v>
      </c>
      <c r="O311" t="s">
        <v>40</v>
      </c>
      <c r="P311" t="s">
        <v>272</v>
      </c>
      <c r="Q311" t="s">
        <v>381</v>
      </c>
      <c r="R311" t="s">
        <v>105</v>
      </c>
      <c r="S311" t="s">
        <v>666</v>
      </c>
      <c r="T311" t="s">
        <v>91</v>
      </c>
      <c r="U311" t="s">
        <v>293</v>
      </c>
      <c r="V311">
        <v>1</v>
      </c>
      <c r="Z311" t="s">
        <v>36</v>
      </c>
      <c r="AA311" t="s">
        <v>44</v>
      </c>
      <c r="AB311" t="s">
        <v>45</v>
      </c>
    </row>
    <row r="312" spans="1:28" hidden="1" x14ac:dyDescent="0.2">
      <c r="A312" s="1">
        <v>45582</v>
      </c>
      <c r="B312" s="1">
        <v>45582</v>
      </c>
      <c r="C312" t="s">
        <v>41</v>
      </c>
      <c r="D312" t="s">
        <v>688</v>
      </c>
      <c r="E312">
        <v>-76.653111666666604</v>
      </c>
      <c r="F312" s="2" t="s">
        <v>689</v>
      </c>
      <c r="G312">
        <v>2585</v>
      </c>
      <c r="I312">
        <v>2024</v>
      </c>
      <c r="J312">
        <v>20</v>
      </c>
      <c r="K312">
        <v>15</v>
      </c>
      <c r="M312" t="s">
        <v>624</v>
      </c>
      <c r="N312" t="s">
        <v>31</v>
      </c>
      <c r="O312" t="s">
        <v>58</v>
      </c>
      <c r="P312" t="s">
        <v>690</v>
      </c>
      <c r="Q312" t="s">
        <v>381</v>
      </c>
      <c r="R312" t="s">
        <v>35</v>
      </c>
      <c r="S312" t="s">
        <v>626</v>
      </c>
      <c r="T312" t="s">
        <v>54</v>
      </c>
      <c r="U312" t="s">
        <v>238</v>
      </c>
      <c r="V312">
        <v>1</v>
      </c>
      <c r="Z312" t="s">
        <v>36</v>
      </c>
      <c r="AA312" t="s">
        <v>44</v>
      </c>
      <c r="AB312" t="s">
        <v>45</v>
      </c>
    </row>
    <row r="313" spans="1:28" hidden="1" x14ac:dyDescent="0.2">
      <c r="A313" s="1">
        <v>45582</v>
      </c>
      <c r="B313" s="1">
        <v>45582</v>
      </c>
      <c r="C313" t="s">
        <v>41</v>
      </c>
      <c r="D313" t="s">
        <v>691</v>
      </c>
      <c r="E313">
        <v>-76.653188333333304</v>
      </c>
      <c r="F313">
        <v>3.3536450000000002</v>
      </c>
      <c r="G313">
        <v>2585</v>
      </c>
      <c r="I313">
        <v>2024</v>
      </c>
      <c r="J313">
        <v>20</v>
      </c>
      <c r="K313">
        <v>15</v>
      </c>
      <c r="M313" t="s">
        <v>624</v>
      </c>
      <c r="N313" t="s">
        <v>31</v>
      </c>
      <c r="O313" t="s">
        <v>58</v>
      </c>
      <c r="P313" t="s">
        <v>690</v>
      </c>
      <c r="Q313" t="s">
        <v>381</v>
      </c>
      <c r="R313" t="s">
        <v>35</v>
      </c>
      <c r="S313" t="s">
        <v>41</v>
      </c>
      <c r="T313" t="s">
        <v>91</v>
      </c>
      <c r="U313" t="s">
        <v>238</v>
      </c>
      <c r="V313">
        <v>5</v>
      </c>
      <c r="W313" t="s">
        <v>692</v>
      </c>
      <c r="Z313" t="s">
        <v>36</v>
      </c>
      <c r="AA313" t="s">
        <v>44</v>
      </c>
      <c r="AB313" t="s">
        <v>66</v>
      </c>
    </row>
    <row r="314" spans="1:28" hidden="1" x14ac:dyDescent="0.2">
      <c r="A314" s="1">
        <v>45582</v>
      </c>
      <c r="B314" s="1">
        <v>45582</v>
      </c>
      <c r="C314" t="s">
        <v>41</v>
      </c>
      <c r="D314" t="s">
        <v>693</v>
      </c>
      <c r="E314">
        <v>-76.653499999999994</v>
      </c>
      <c r="F314" s="2" t="s">
        <v>694</v>
      </c>
      <c r="G314">
        <v>2585</v>
      </c>
      <c r="I314">
        <v>2024</v>
      </c>
      <c r="J314">
        <v>20</v>
      </c>
      <c r="K314">
        <v>15</v>
      </c>
      <c r="M314" t="s">
        <v>624</v>
      </c>
      <c r="N314" t="s">
        <v>31</v>
      </c>
      <c r="O314" t="s">
        <v>58</v>
      </c>
      <c r="P314" t="s">
        <v>690</v>
      </c>
      <c r="Q314" t="s">
        <v>381</v>
      </c>
      <c r="R314" t="s">
        <v>35</v>
      </c>
      <c r="S314" t="s">
        <v>695</v>
      </c>
      <c r="T314" t="s">
        <v>91</v>
      </c>
      <c r="U314" t="s">
        <v>238</v>
      </c>
      <c r="V314">
        <v>8</v>
      </c>
      <c r="W314" t="s">
        <v>696</v>
      </c>
      <c r="Z314" t="s">
        <v>36</v>
      </c>
      <c r="AA314" t="s">
        <v>65</v>
      </c>
      <c r="AB314" t="s">
        <v>154</v>
      </c>
    </row>
    <row r="315" spans="1:28" hidden="1" x14ac:dyDescent="0.2">
      <c r="A315" s="1">
        <v>45582</v>
      </c>
      <c r="B315" s="1">
        <v>45582</v>
      </c>
      <c r="C315" t="s">
        <v>41</v>
      </c>
      <c r="D315" t="s">
        <v>697</v>
      </c>
      <c r="E315">
        <v>-76.653068333333295</v>
      </c>
      <c r="F315" s="2" t="s">
        <v>698</v>
      </c>
      <c r="G315">
        <v>2569</v>
      </c>
      <c r="I315">
        <v>2024</v>
      </c>
      <c r="J315">
        <v>18</v>
      </c>
      <c r="K315">
        <v>10</v>
      </c>
      <c r="M315" t="s">
        <v>624</v>
      </c>
      <c r="N315" t="s">
        <v>31</v>
      </c>
      <c r="O315" t="s">
        <v>47</v>
      </c>
      <c r="P315" t="s">
        <v>690</v>
      </c>
      <c r="Q315" t="s">
        <v>381</v>
      </c>
      <c r="R315" t="s">
        <v>35</v>
      </c>
      <c r="S315" t="s">
        <v>635</v>
      </c>
      <c r="T315" t="s">
        <v>54</v>
      </c>
      <c r="U315" t="s">
        <v>238</v>
      </c>
      <c r="V315">
        <v>5</v>
      </c>
      <c r="Z315" t="s">
        <v>36</v>
      </c>
      <c r="AA315" t="s">
        <v>44</v>
      </c>
      <c r="AB315" t="s">
        <v>154</v>
      </c>
    </row>
    <row r="316" spans="1:28" hidden="1" x14ac:dyDescent="0.2">
      <c r="A316" s="1">
        <v>45582</v>
      </c>
      <c r="B316" s="1">
        <v>45582</v>
      </c>
      <c r="C316" t="s">
        <v>41</v>
      </c>
      <c r="D316" t="s">
        <v>699</v>
      </c>
      <c r="E316">
        <v>-76.647908333333305</v>
      </c>
      <c r="F316" s="2" t="s">
        <v>700</v>
      </c>
      <c r="G316">
        <v>2508</v>
      </c>
      <c r="I316">
        <v>2024</v>
      </c>
      <c r="J316">
        <v>20</v>
      </c>
      <c r="K316">
        <v>3</v>
      </c>
      <c r="M316" t="s">
        <v>624</v>
      </c>
      <c r="N316" t="s">
        <v>31</v>
      </c>
      <c r="O316" t="s">
        <v>32</v>
      </c>
      <c r="P316" t="s">
        <v>690</v>
      </c>
      <c r="Q316" t="s">
        <v>381</v>
      </c>
      <c r="R316" t="s">
        <v>35</v>
      </c>
      <c r="S316" t="s">
        <v>41</v>
      </c>
      <c r="T316" t="s">
        <v>54</v>
      </c>
      <c r="U316" t="s">
        <v>238</v>
      </c>
      <c r="V316">
        <v>1</v>
      </c>
      <c r="Z316" t="s">
        <v>36</v>
      </c>
      <c r="AA316" t="s">
        <v>44</v>
      </c>
      <c r="AB316" t="s">
        <v>45</v>
      </c>
    </row>
    <row r="317" spans="1:28" hidden="1" x14ac:dyDescent="0.2">
      <c r="A317" s="1">
        <v>45582</v>
      </c>
      <c r="B317" s="1">
        <v>45582</v>
      </c>
      <c r="C317" t="s">
        <v>41</v>
      </c>
      <c r="D317" t="s">
        <v>701</v>
      </c>
      <c r="E317">
        <v>-76.648004999999998</v>
      </c>
      <c r="F317">
        <v>3.352325</v>
      </c>
      <c r="G317">
        <v>2508</v>
      </c>
      <c r="I317">
        <v>2024</v>
      </c>
      <c r="J317">
        <v>20</v>
      </c>
      <c r="K317">
        <v>3</v>
      </c>
      <c r="M317" t="s">
        <v>624</v>
      </c>
      <c r="N317" t="s">
        <v>31</v>
      </c>
      <c r="O317" t="s">
        <v>32</v>
      </c>
      <c r="P317" t="s">
        <v>690</v>
      </c>
      <c r="Q317" t="s">
        <v>381</v>
      </c>
      <c r="R317" t="s">
        <v>35</v>
      </c>
      <c r="S317" t="s">
        <v>41</v>
      </c>
      <c r="T317" t="s">
        <v>54</v>
      </c>
      <c r="U317" t="s">
        <v>238</v>
      </c>
      <c r="V317">
        <v>1</v>
      </c>
      <c r="Z317" t="s">
        <v>36</v>
      </c>
      <c r="AA317" t="s">
        <v>44</v>
      </c>
      <c r="AB317" t="s">
        <v>45</v>
      </c>
    </row>
    <row r="318" spans="1:28" hidden="1" x14ac:dyDescent="0.2">
      <c r="A318" s="1">
        <v>45582</v>
      </c>
      <c r="B318" s="1">
        <v>45582</v>
      </c>
      <c r="C318" t="s">
        <v>41</v>
      </c>
      <c r="D318" t="s">
        <v>702</v>
      </c>
      <c r="E318">
        <v>-76.652204999999995</v>
      </c>
      <c r="F318" s="2" t="s">
        <v>703</v>
      </c>
      <c r="G318">
        <v>2562</v>
      </c>
      <c r="I318">
        <v>2024</v>
      </c>
      <c r="J318">
        <v>18</v>
      </c>
      <c r="K318">
        <v>5</v>
      </c>
      <c r="M318" t="s">
        <v>624</v>
      </c>
      <c r="N318" t="s">
        <v>31</v>
      </c>
      <c r="O318" t="s">
        <v>47</v>
      </c>
      <c r="P318" t="s">
        <v>690</v>
      </c>
      <c r="Q318" t="s">
        <v>381</v>
      </c>
      <c r="R318" t="s">
        <v>35</v>
      </c>
      <c r="S318" t="s">
        <v>695</v>
      </c>
      <c r="T318" t="s">
        <v>54</v>
      </c>
      <c r="U318" t="s">
        <v>238</v>
      </c>
      <c r="V318">
        <v>4</v>
      </c>
      <c r="Z318" t="s">
        <v>36</v>
      </c>
      <c r="AA318" t="s">
        <v>44</v>
      </c>
      <c r="AB318" t="s">
        <v>45</v>
      </c>
    </row>
    <row r="319" spans="1:28" hidden="1" x14ac:dyDescent="0.2">
      <c r="A319" s="1">
        <v>45582</v>
      </c>
      <c r="B319" s="1">
        <v>45582</v>
      </c>
      <c r="C319" t="s">
        <v>41</v>
      </c>
      <c r="D319" t="s">
        <v>704</v>
      </c>
      <c r="E319">
        <v>-76.652434999999997</v>
      </c>
      <c r="F319" s="2" t="s">
        <v>705</v>
      </c>
      <c r="G319">
        <v>2562</v>
      </c>
      <c r="I319">
        <v>2024</v>
      </c>
      <c r="J319">
        <v>18</v>
      </c>
      <c r="K319">
        <v>5</v>
      </c>
      <c r="M319" t="s">
        <v>624</v>
      </c>
      <c r="N319" t="s">
        <v>31</v>
      </c>
      <c r="O319" t="s">
        <v>47</v>
      </c>
      <c r="P319" t="s">
        <v>690</v>
      </c>
      <c r="Q319" t="s">
        <v>381</v>
      </c>
      <c r="R319" t="s">
        <v>35</v>
      </c>
      <c r="S319" t="s">
        <v>41</v>
      </c>
      <c r="T319" t="s">
        <v>91</v>
      </c>
      <c r="U319" t="s">
        <v>238</v>
      </c>
      <c r="V319">
        <v>1</v>
      </c>
      <c r="Z319" t="s">
        <v>36</v>
      </c>
      <c r="AA319" t="s">
        <v>44</v>
      </c>
      <c r="AB319" t="s">
        <v>45</v>
      </c>
    </row>
    <row r="320" spans="1:28" hidden="1" x14ac:dyDescent="0.2">
      <c r="A320" s="1">
        <v>45582</v>
      </c>
      <c r="B320" s="1">
        <v>45582</v>
      </c>
      <c r="C320" t="s">
        <v>41</v>
      </c>
      <c r="D320" t="s">
        <v>706</v>
      </c>
      <c r="E320">
        <v>-76.652411666666595</v>
      </c>
      <c r="F320" s="2" t="s">
        <v>707</v>
      </c>
      <c r="G320">
        <v>2562</v>
      </c>
      <c r="I320">
        <v>2024</v>
      </c>
      <c r="J320">
        <v>18</v>
      </c>
      <c r="K320">
        <v>5</v>
      </c>
      <c r="M320" t="s">
        <v>624</v>
      </c>
      <c r="N320" t="s">
        <v>31</v>
      </c>
      <c r="O320" t="s">
        <v>47</v>
      </c>
      <c r="P320" t="s">
        <v>690</v>
      </c>
      <c r="Q320" t="s">
        <v>381</v>
      </c>
      <c r="R320" t="s">
        <v>35</v>
      </c>
      <c r="S320" t="s">
        <v>695</v>
      </c>
      <c r="T320" t="s">
        <v>54</v>
      </c>
      <c r="U320" t="s">
        <v>238</v>
      </c>
      <c r="V320">
        <v>1</v>
      </c>
      <c r="Z320" t="s">
        <v>36</v>
      </c>
      <c r="AA320" t="s">
        <v>44</v>
      </c>
      <c r="AB320" t="s">
        <v>45</v>
      </c>
    </row>
    <row r="321" spans="1:28" hidden="1" x14ac:dyDescent="0.2">
      <c r="A321" s="1">
        <v>45582</v>
      </c>
      <c r="B321" s="1">
        <v>45582</v>
      </c>
      <c r="C321" t="s">
        <v>41</v>
      </c>
      <c r="D321" t="s">
        <v>708</v>
      </c>
      <c r="E321">
        <v>-76.648406666666602</v>
      </c>
      <c r="F321" s="2" t="s">
        <v>709</v>
      </c>
      <c r="G321">
        <v>2541</v>
      </c>
      <c r="I321">
        <v>2024</v>
      </c>
      <c r="J321">
        <v>20</v>
      </c>
      <c r="K321">
        <v>5</v>
      </c>
      <c r="M321" t="s">
        <v>624</v>
      </c>
      <c r="N321" t="s">
        <v>31</v>
      </c>
      <c r="O321" t="s">
        <v>38</v>
      </c>
      <c r="P321" t="s">
        <v>690</v>
      </c>
      <c r="Q321" t="s">
        <v>381</v>
      </c>
      <c r="R321" t="s">
        <v>35</v>
      </c>
      <c r="S321" t="s">
        <v>695</v>
      </c>
      <c r="T321" t="s">
        <v>91</v>
      </c>
      <c r="U321" t="s">
        <v>238</v>
      </c>
      <c r="V321">
        <v>1</v>
      </c>
      <c r="Z321" t="s">
        <v>36</v>
      </c>
      <c r="AA321" t="s">
        <v>44</v>
      </c>
      <c r="AB321" t="s">
        <v>45</v>
      </c>
    </row>
    <row r="322" spans="1:28" hidden="1" x14ac:dyDescent="0.2">
      <c r="A322" s="1">
        <v>45582</v>
      </c>
      <c r="B322" s="1">
        <v>45582</v>
      </c>
      <c r="C322" t="s">
        <v>41</v>
      </c>
      <c r="D322" t="s">
        <v>710</v>
      </c>
      <c r="E322">
        <v>-76.648738333333299</v>
      </c>
      <c r="F322" s="2" t="s">
        <v>711</v>
      </c>
      <c r="G322">
        <v>2541</v>
      </c>
      <c r="I322">
        <v>2024</v>
      </c>
      <c r="J322">
        <v>20</v>
      </c>
      <c r="K322">
        <v>5</v>
      </c>
      <c r="M322" t="s">
        <v>624</v>
      </c>
      <c r="N322" t="s">
        <v>31</v>
      </c>
      <c r="O322" t="s">
        <v>38</v>
      </c>
      <c r="P322" t="s">
        <v>690</v>
      </c>
      <c r="Q322" t="s">
        <v>381</v>
      </c>
      <c r="R322" t="s">
        <v>35</v>
      </c>
      <c r="S322" t="s">
        <v>626</v>
      </c>
      <c r="T322" t="s">
        <v>54</v>
      </c>
      <c r="U322" t="s">
        <v>238</v>
      </c>
      <c r="V322">
        <v>1</v>
      </c>
      <c r="Z322" t="s">
        <v>36</v>
      </c>
      <c r="AA322" t="s">
        <v>44</v>
      </c>
      <c r="AB322" t="s">
        <v>45</v>
      </c>
    </row>
    <row r="323" spans="1:28" hidden="1" x14ac:dyDescent="0.2">
      <c r="A323" s="1">
        <v>45582</v>
      </c>
      <c r="B323" s="1">
        <v>45582</v>
      </c>
      <c r="C323" t="s">
        <v>41</v>
      </c>
      <c r="D323" t="s">
        <v>712</v>
      </c>
      <c r="E323">
        <v>-76.648894999999996</v>
      </c>
      <c r="F323" s="2" t="s">
        <v>713</v>
      </c>
      <c r="G323">
        <v>2541</v>
      </c>
      <c r="I323">
        <v>2024</v>
      </c>
      <c r="J323">
        <v>20</v>
      </c>
      <c r="K323">
        <v>5</v>
      </c>
      <c r="M323" t="s">
        <v>624</v>
      </c>
      <c r="N323" t="s">
        <v>31</v>
      </c>
      <c r="O323" t="s">
        <v>38</v>
      </c>
      <c r="P323" t="s">
        <v>690</v>
      </c>
      <c r="Q323" t="s">
        <v>381</v>
      </c>
      <c r="R323" t="s">
        <v>35</v>
      </c>
      <c r="S323" t="s">
        <v>41</v>
      </c>
      <c r="T323" t="s">
        <v>54</v>
      </c>
      <c r="U323" t="s">
        <v>238</v>
      </c>
      <c r="V323">
        <v>1</v>
      </c>
      <c r="Z323" t="s">
        <v>36</v>
      </c>
      <c r="AA323" t="s">
        <v>44</v>
      </c>
      <c r="AB323" t="s">
        <v>45</v>
      </c>
    </row>
    <row r="324" spans="1:28" hidden="1" x14ac:dyDescent="0.2">
      <c r="A324" s="1">
        <v>45582</v>
      </c>
      <c r="B324" s="1">
        <v>45582</v>
      </c>
      <c r="C324" t="s">
        <v>41</v>
      </c>
      <c r="D324" t="s">
        <v>714</v>
      </c>
      <c r="E324">
        <v>-76.649163333333306</v>
      </c>
      <c r="F324" s="2" t="s">
        <v>715</v>
      </c>
      <c r="G324">
        <v>2541</v>
      </c>
      <c r="I324">
        <v>2024</v>
      </c>
      <c r="J324">
        <v>20</v>
      </c>
      <c r="K324">
        <v>5</v>
      </c>
      <c r="M324" t="s">
        <v>624</v>
      </c>
      <c r="N324" t="s">
        <v>31</v>
      </c>
      <c r="O324" t="s">
        <v>38</v>
      </c>
      <c r="P324" t="s">
        <v>690</v>
      </c>
      <c r="Q324" t="s">
        <v>381</v>
      </c>
      <c r="R324" t="s">
        <v>35</v>
      </c>
      <c r="S324" t="s">
        <v>695</v>
      </c>
      <c r="T324" t="s">
        <v>54</v>
      </c>
      <c r="U324" t="s">
        <v>238</v>
      </c>
      <c r="V324">
        <v>1</v>
      </c>
      <c r="Z324" t="s">
        <v>36</v>
      </c>
      <c r="AA324" t="s">
        <v>44</v>
      </c>
      <c r="AB324" t="s">
        <v>45</v>
      </c>
    </row>
    <row r="325" spans="1:28" hidden="1" x14ac:dyDescent="0.2">
      <c r="A325" s="1">
        <v>45582</v>
      </c>
      <c r="B325" s="1">
        <v>45582</v>
      </c>
      <c r="C325" t="s">
        <v>41</v>
      </c>
      <c r="D325" t="s">
        <v>716</v>
      </c>
      <c r="E325">
        <v>-76.649963333333304</v>
      </c>
      <c r="F325" s="2" t="s">
        <v>717</v>
      </c>
      <c r="G325">
        <v>2541</v>
      </c>
      <c r="I325">
        <v>2024</v>
      </c>
      <c r="J325">
        <v>20</v>
      </c>
      <c r="K325">
        <v>5</v>
      </c>
      <c r="M325" t="s">
        <v>624</v>
      </c>
      <c r="N325" t="s">
        <v>31</v>
      </c>
      <c r="O325" t="s">
        <v>38</v>
      </c>
      <c r="P325" t="s">
        <v>690</v>
      </c>
      <c r="Q325" t="s">
        <v>381</v>
      </c>
      <c r="R325" t="s">
        <v>35</v>
      </c>
      <c r="S325" t="s">
        <v>695</v>
      </c>
      <c r="T325" t="s">
        <v>54</v>
      </c>
      <c r="U325" t="s">
        <v>238</v>
      </c>
      <c r="V325">
        <v>1</v>
      </c>
      <c r="Z325" t="s">
        <v>36</v>
      </c>
      <c r="AA325" t="s">
        <v>44</v>
      </c>
      <c r="AB325" t="s">
        <v>45</v>
      </c>
    </row>
    <row r="326" spans="1:28" hidden="1" x14ac:dyDescent="0.2">
      <c r="A326" s="1">
        <v>45582</v>
      </c>
      <c r="B326" s="1">
        <v>45582</v>
      </c>
      <c r="C326" t="s">
        <v>41</v>
      </c>
      <c r="D326" t="s">
        <v>718</v>
      </c>
      <c r="E326">
        <v>-76.655226666666593</v>
      </c>
      <c r="F326" s="2" t="s">
        <v>719</v>
      </c>
      <c r="G326">
        <v>2615</v>
      </c>
      <c r="I326">
        <v>2024</v>
      </c>
      <c r="J326">
        <v>15</v>
      </c>
      <c r="K326">
        <v>30</v>
      </c>
      <c r="M326" t="s">
        <v>624</v>
      </c>
      <c r="N326" t="s">
        <v>31</v>
      </c>
      <c r="O326" t="s">
        <v>32</v>
      </c>
      <c r="P326" t="s">
        <v>720</v>
      </c>
      <c r="Q326" t="s">
        <v>381</v>
      </c>
      <c r="R326" t="s">
        <v>35</v>
      </c>
      <c r="S326" t="s">
        <v>41</v>
      </c>
      <c r="T326" t="s">
        <v>54</v>
      </c>
      <c r="U326" t="s">
        <v>238</v>
      </c>
      <c r="V326">
        <v>1</v>
      </c>
      <c r="Z326" t="s">
        <v>36</v>
      </c>
      <c r="AA326" t="s">
        <v>44</v>
      </c>
      <c r="AB326" t="s">
        <v>45</v>
      </c>
    </row>
    <row r="327" spans="1:28" hidden="1" x14ac:dyDescent="0.2">
      <c r="A327" s="1">
        <v>45582</v>
      </c>
      <c r="B327" s="1">
        <v>45582</v>
      </c>
      <c r="C327" t="s">
        <v>41</v>
      </c>
      <c r="D327" t="s">
        <v>721</v>
      </c>
      <c r="E327">
        <v>-76.655405000000002</v>
      </c>
      <c r="F327" s="2" t="s">
        <v>722</v>
      </c>
      <c r="G327">
        <v>2615</v>
      </c>
      <c r="I327">
        <v>2024</v>
      </c>
      <c r="J327">
        <v>15</v>
      </c>
      <c r="K327">
        <v>30</v>
      </c>
      <c r="M327" t="s">
        <v>624</v>
      </c>
      <c r="N327" t="s">
        <v>31</v>
      </c>
      <c r="O327" t="s">
        <v>32</v>
      </c>
      <c r="P327" t="s">
        <v>720</v>
      </c>
      <c r="Q327" t="s">
        <v>381</v>
      </c>
      <c r="R327" t="s">
        <v>35</v>
      </c>
      <c r="S327" t="s">
        <v>695</v>
      </c>
      <c r="T327" t="s">
        <v>91</v>
      </c>
      <c r="U327" t="s">
        <v>723</v>
      </c>
      <c r="V327">
        <v>1</v>
      </c>
      <c r="Z327" t="s">
        <v>36</v>
      </c>
      <c r="AA327" t="s">
        <v>65</v>
      </c>
      <c r="AB327" t="s">
        <v>45</v>
      </c>
    </row>
    <row r="328" spans="1:28" hidden="1" x14ac:dyDescent="0.2">
      <c r="A328" s="1">
        <v>45582</v>
      </c>
      <c r="B328" s="1">
        <v>45582</v>
      </c>
      <c r="C328" t="s">
        <v>41</v>
      </c>
      <c r="D328" t="s">
        <v>724</v>
      </c>
      <c r="E328">
        <v>-76.655493333333297</v>
      </c>
      <c r="F328" s="2" t="s">
        <v>725</v>
      </c>
      <c r="G328">
        <v>2615</v>
      </c>
      <c r="I328">
        <v>2024</v>
      </c>
      <c r="J328">
        <v>15</v>
      </c>
      <c r="K328">
        <v>30</v>
      </c>
      <c r="M328" t="s">
        <v>624</v>
      </c>
      <c r="N328" t="s">
        <v>31</v>
      </c>
      <c r="O328" t="s">
        <v>32</v>
      </c>
      <c r="P328" t="s">
        <v>720</v>
      </c>
      <c r="Q328" t="s">
        <v>381</v>
      </c>
      <c r="R328" t="s">
        <v>35</v>
      </c>
      <c r="S328" t="s">
        <v>41</v>
      </c>
      <c r="T328" t="s">
        <v>91</v>
      </c>
      <c r="U328" t="s">
        <v>238</v>
      </c>
      <c r="V328">
        <v>1</v>
      </c>
      <c r="Z328" t="s">
        <v>36</v>
      </c>
      <c r="AA328" t="s">
        <v>44</v>
      </c>
      <c r="AB328" t="s">
        <v>66</v>
      </c>
    </row>
    <row r="329" spans="1:28" hidden="1" x14ac:dyDescent="0.2">
      <c r="A329" s="1">
        <v>45582</v>
      </c>
      <c r="B329" s="1">
        <v>45582</v>
      </c>
      <c r="C329" t="s">
        <v>41</v>
      </c>
      <c r="D329" t="s">
        <v>726</v>
      </c>
      <c r="E329">
        <v>-76.655956666666597</v>
      </c>
      <c r="F329" s="2" t="s">
        <v>727</v>
      </c>
      <c r="G329">
        <v>2615</v>
      </c>
      <c r="I329">
        <v>2024</v>
      </c>
      <c r="J329">
        <v>15</v>
      </c>
      <c r="K329">
        <v>30</v>
      </c>
      <c r="M329" t="s">
        <v>624</v>
      </c>
      <c r="N329" t="s">
        <v>31</v>
      </c>
      <c r="O329" t="s">
        <v>32</v>
      </c>
      <c r="P329" t="s">
        <v>720</v>
      </c>
      <c r="Q329" t="s">
        <v>381</v>
      </c>
      <c r="R329" t="s">
        <v>35</v>
      </c>
      <c r="S329" t="s">
        <v>635</v>
      </c>
      <c r="T329" t="s">
        <v>42</v>
      </c>
      <c r="U329" t="s">
        <v>723</v>
      </c>
      <c r="V329">
        <v>1</v>
      </c>
      <c r="Z329" t="s">
        <v>36</v>
      </c>
      <c r="AA329" t="s">
        <v>160</v>
      </c>
      <c r="AB329" t="s">
        <v>45</v>
      </c>
    </row>
    <row r="330" spans="1:28" hidden="1" x14ac:dyDescent="0.2">
      <c r="A330" s="1">
        <v>45582</v>
      </c>
      <c r="B330" s="1">
        <v>45582</v>
      </c>
      <c r="C330" t="s">
        <v>41</v>
      </c>
      <c r="D330" t="s">
        <v>728</v>
      </c>
      <c r="E330">
        <v>-76.655735000000007</v>
      </c>
      <c r="F330">
        <v>3.3542800000000002</v>
      </c>
      <c r="G330">
        <v>2615</v>
      </c>
      <c r="I330">
        <v>2024</v>
      </c>
      <c r="J330">
        <v>15</v>
      </c>
      <c r="K330">
        <v>30</v>
      </c>
      <c r="M330" t="s">
        <v>624</v>
      </c>
      <c r="N330" t="s">
        <v>31</v>
      </c>
      <c r="O330" t="s">
        <v>32</v>
      </c>
      <c r="P330" t="s">
        <v>720</v>
      </c>
      <c r="Q330" t="s">
        <v>381</v>
      </c>
      <c r="R330" t="s">
        <v>35</v>
      </c>
      <c r="S330" t="s">
        <v>695</v>
      </c>
      <c r="T330" t="s">
        <v>54</v>
      </c>
      <c r="U330" t="s">
        <v>238</v>
      </c>
      <c r="V330">
        <v>1</v>
      </c>
      <c r="Z330" t="s">
        <v>36</v>
      </c>
      <c r="AA330" t="s">
        <v>44</v>
      </c>
      <c r="AB330" t="s">
        <v>45</v>
      </c>
    </row>
    <row r="331" spans="1:28" hidden="1" x14ac:dyDescent="0.2">
      <c r="A331" s="1">
        <v>45582</v>
      </c>
      <c r="B331" s="1">
        <v>45582</v>
      </c>
      <c r="C331" t="s">
        <v>41</v>
      </c>
      <c r="D331" t="s">
        <v>729</v>
      </c>
      <c r="E331">
        <v>-76.649813333333299</v>
      </c>
      <c r="F331">
        <v>3.3527849999999999</v>
      </c>
      <c r="G331">
        <v>2542</v>
      </c>
      <c r="I331">
        <v>2024</v>
      </c>
      <c r="J331">
        <v>15</v>
      </c>
      <c r="K331">
        <v>3</v>
      </c>
      <c r="M331" t="s">
        <v>624</v>
      </c>
      <c r="N331" t="s">
        <v>31</v>
      </c>
      <c r="O331" t="s">
        <v>40</v>
      </c>
      <c r="P331" t="s">
        <v>690</v>
      </c>
      <c r="Q331" t="s">
        <v>381</v>
      </c>
      <c r="R331" t="s">
        <v>35</v>
      </c>
      <c r="S331" t="s">
        <v>41</v>
      </c>
      <c r="T331" t="s">
        <v>91</v>
      </c>
      <c r="U331" t="s">
        <v>316</v>
      </c>
      <c r="V331">
        <v>1</v>
      </c>
      <c r="Z331" t="s">
        <v>36</v>
      </c>
      <c r="AA331" t="s">
        <v>44</v>
      </c>
      <c r="AB331" t="s">
        <v>45</v>
      </c>
    </row>
    <row r="332" spans="1:28" hidden="1" x14ac:dyDescent="0.2">
      <c r="A332" s="1">
        <v>45582</v>
      </c>
      <c r="B332" s="1">
        <v>45582</v>
      </c>
      <c r="C332" t="s">
        <v>41</v>
      </c>
      <c r="D332" t="s">
        <v>730</v>
      </c>
      <c r="E332">
        <v>-76.649781666666598</v>
      </c>
      <c r="F332" s="2" t="s">
        <v>715</v>
      </c>
      <c r="G332">
        <v>2542</v>
      </c>
      <c r="I332">
        <v>2024</v>
      </c>
      <c r="J332">
        <v>15</v>
      </c>
      <c r="K332">
        <v>3</v>
      </c>
      <c r="M332" t="s">
        <v>624</v>
      </c>
      <c r="N332" t="s">
        <v>31</v>
      </c>
      <c r="O332" t="s">
        <v>40</v>
      </c>
      <c r="P332" t="s">
        <v>690</v>
      </c>
      <c r="Q332" t="s">
        <v>381</v>
      </c>
      <c r="R332" t="s">
        <v>35</v>
      </c>
      <c r="S332" t="s">
        <v>695</v>
      </c>
      <c r="T332" t="s">
        <v>54</v>
      </c>
      <c r="U332" t="s">
        <v>238</v>
      </c>
      <c r="V332">
        <v>4</v>
      </c>
      <c r="Z332" t="s">
        <v>36</v>
      </c>
      <c r="AA332" t="s">
        <v>44</v>
      </c>
      <c r="AB332" t="s">
        <v>45</v>
      </c>
    </row>
    <row r="333" spans="1:28" hidden="1" x14ac:dyDescent="0.2">
      <c r="A333" s="1">
        <v>45582</v>
      </c>
      <c r="B333" s="1">
        <v>45582</v>
      </c>
      <c r="C333" t="s">
        <v>41</v>
      </c>
      <c r="D333" t="s">
        <v>731</v>
      </c>
      <c r="E333">
        <v>-76.650018333333307</v>
      </c>
      <c r="F333" s="2" t="s">
        <v>732</v>
      </c>
      <c r="G333">
        <v>2542</v>
      </c>
      <c r="I333">
        <v>2024</v>
      </c>
      <c r="J333">
        <v>15</v>
      </c>
      <c r="K333">
        <v>3</v>
      </c>
      <c r="M333" t="s">
        <v>624</v>
      </c>
      <c r="N333" t="s">
        <v>31</v>
      </c>
      <c r="O333" t="s">
        <v>40</v>
      </c>
      <c r="P333" t="s">
        <v>690</v>
      </c>
      <c r="Q333" t="s">
        <v>381</v>
      </c>
      <c r="R333" t="s">
        <v>35</v>
      </c>
      <c r="S333" t="s">
        <v>695</v>
      </c>
      <c r="T333" t="s">
        <v>54</v>
      </c>
      <c r="U333" t="s">
        <v>238</v>
      </c>
      <c r="V333">
        <v>1</v>
      </c>
      <c r="Z333" t="s">
        <v>36</v>
      </c>
      <c r="AB333" t="s">
        <v>45</v>
      </c>
    </row>
    <row r="334" spans="1:28" s="11" customFormat="1" hidden="1" x14ac:dyDescent="0.2">
      <c r="A334" s="10">
        <v>45582</v>
      </c>
      <c r="B334" s="10">
        <v>45582</v>
      </c>
      <c r="C334" s="11" t="s">
        <v>41</v>
      </c>
      <c r="D334" s="11" t="s">
        <v>733</v>
      </c>
      <c r="E334" s="11">
        <v>-76.640088333333296</v>
      </c>
      <c r="F334" s="11">
        <v>3.3505400000000001</v>
      </c>
      <c r="G334" s="11">
        <v>2382</v>
      </c>
      <c r="I334" s="11">
        <v>2024</v>
      </c>
      <c r="J334" s="11">
        <v>10</v>
      </c>
      <c r="K334" s="11">
        <v>30</v>
      </c>
      <c r="M334" s="11" t="s">
        <v>624</v>
      </c>
      <c r="N334" s="11" t="s">
        <v>31</v>
      </c>
      <c r="O334" s="11" t="s">
        <v>40</v>
      </c>
      <c r="P334" s="11" t="s">
        <v>734</v>
      </c>
      <c r="Q334" s="11" t="s">
        <v>74</v>
      </c>
      <c r="R334" s="11" t="s">
        <v>35</v>
      </c>
      <c r="S334" s="11" t="s">
        <v>626</v>
      </c>
      <c r="T334" s="11" t="s">
        <v>54</v>
      </c>
      <c r="U334" s="11" t="s">
        <v>636</v>
      </c>
      <c r="V334" s="11">
        <v>2</v>
      </c>
      <c r="W334" s="11" t="s">
        <v>735</v>
      </c>
      <c r="Z334" s="11" t="s">
        <v>36</v>
      </c>
      <c r="AA334" s="11" t="s">
        <v>44</v>
      </c>
      <c r="AB334" s="11" t="s">
        <v>45</v>
      </c>
    </row>
    <row r="335" spans="1:28" hidden="1" x14ac:dyDescent="0.2">
      <c r="A335" s="1">
        <v>45582</v>
      </c>
      <c r="B335" s="1">
        <v>45582</v>
      </c>
      <c r="C335" t="s">
        <v>41</v>
      </c>
      <c r="D335" t="s">
        <v>736</v>
      </c>
      <c r="E335">
        <v>-76.640098333333299</v>
      </c>
      <c r="F335" s="2" t="s">
        <v>737</v>
      </c>
      <c r="G335">
        <v>2382</v>
      </c>
      <c r="I335">
        <v>2024</v>
      </c>
      <c r="J335">
        <v>10</v>
      </c>
      <c r="K335">
        <v>30</v>
      </c>
      <c r="M335" t="s">
        <v>624</v>
      </c>
      <c r="N335" t="s">
        <v>31</v>
      </c>
      <c r="O335" t="s">
        <v>40</v>
      </c>
      <c r="P335" t="s">
        <v>734</v>
      </c>
      <c r="Q335" t="s">
        <v>74</v>
      </c>
      <c r="R335" t="s">
        <v>35</v>
      </c>
      <c r="S335" t="s">
        <v>695</v>
      </c>
      <c r="T335" t="s">
        <v>54</v>
      </c>
      <c r="U335" t="s">
        <v>238</v>
      </c>
      <c r="V335">
        <v>2</v>
      </c>
      <c r="Z335" t="s">
        <v>36</v>
      </c>
      <c r="AA335" t="s">
        <v>44</v>
      </c>
      <c r="AB335" t="s">
        <v>45</v>
      </c>
    </row>
    <row r="336" spans="1:28" hidden="1" x14ac:dyDescent="0.2">
      <c r="A336" s="1">
        <v>45582</v>
      </c>
      <c r="B336" s="1">
        <v>45582</v>
      </c>
      <c r="C336" t="s">
        <v>41</v>
      </c>
      <c r="D336" t="s">
        <v>738</v>
      </c>
      <c r="E336">
        <v>-76.640021666666598</v>
      </c>
      <c r="F336" s="2" t="s">
        <v>739</v>
      </c>
      <c r="G336">
        <v>2382</v>
      </c>
      <c r="I336">
        <v>2024</v>
      </c>
      <c r="J336">
        <v>10</v>
      </c>
      <c r="K336">
        <v>30</v>
      </c>
      <c r="M336" t="s">
        <v>624</v>
      </c>
      <c r="N336" t="s">
        <v>31</v>
      </c>
      <c r="O336" t="s">
        <v>40</v>
      </c>
      <c r="P336" t="s">
        <v>734</v>
      </c>
      <c r="Q336" t="s">
        <v>74</v>
      </c>
      <c r="R336" t="s">
        <v>35</v>
      </c>
      <c r="S336" t="s">
        <v>695</v>
      </c>
      <c r="T336" t="s">
        <v>54</v>
      </c>
      <c r="U336" t="s">
        <v>238</v>
      </c>
      <c r="V336">
        <v>2</v>
      </c>
      <c r="Z336" t="s">
        <v>36</v>
      </c>
      <c r="AA336" t="s">
        <v>44</v>
      </c>
      <c r="AB336" t="s">
        <v>45</v>
      </c>
    </row>
    <row r="337" spans="1:28" hidden="1" x14ac:dyDescent="0.2">
      <c r="A337" s="1">
        <v>45582</v>
      </c>
      <c r="B337" s="1">
        <v>45582</v>
      </c>
      <c r="C337" t="s">
        <v>41</v>
      </c>
      <c r="D337" t="s">
        <v>740</v>
      </c>
      <c r="E337">
        <v>-76.639856666666603</v>
      </c>
      <c r="F337" s="2" t="s">
        <v>741</v>
      </c>
      <c r="G337">
        <v>2382</v>
      </c>
      <c r="I337">
        <v>2024</v>
      </c>
      <c r="J337">
        <v>10</v>
      </c>
      <c r="K337">
        <v>30</v>
      </c>
      <c r="M337" t="s">
        <v>624</v>
      </c>
      <c r="N337" t="s">
        <v>31</v>
      </c>
      <c r="O337" t="s">
        <v>40</v>
      </c>
      <c r="P337" t="s">
        <v>734</v>
      </c>
      <c r="Q337" t="s">
        <v>74</v>
      </c>
      <c r="R337" t="s">
        <v>35</v>
      </c>
      <c r="S337" t="s">
        <v>695</v>
      </c>
      <c r="T337" t="s">
        <v>91</v>
      </c>
      <c r="U337" t="s">
        <v>238</v>
      </c>
      <c r="V337">
        <v>6</v>
      </c>
      <c r="Z337" t="s">
        <v>36</v>
      </c>
      <c r="AA337" t="s">
        <v>44</v>
      </c>
      <c r="AB337" t="s">
        <v>45</v>
      </c>
    </row>
    <row r="338" spans="1:28" hidden="1" x14ac:dyDescent="0.2">
      <c r="A338" s="1">
        <v>45582</v>
      </c>
      <c r="B338" s="1">
        <v>45582</v>
      </c>
      <c r="C338" t="s">
        <v>41</v>
      </c>
      <c r="D338" t="s">
        <v>742</v>
      </c>
      <c r="E338">
        <v>-76.639863333333295</v>
      </c>
      <c r="F338" s="2" t="s">
        <v>743</v>
      </c>
      <c r="G338">
        <v>2382</v>
      </c>
      <c r="I338">
        <v>2024</v>
      </c>
      <c r="J338">
        <v>10</v>
      </c>
      <c r="K338">
        <v>30</v>
      </c>
      <c r="M338" t="s">
        <v>624</v>
      </c>
      <c r="N338" t="s">
        <v>31</v>
      </c>
      <c r="O338" t="s">
        <v>40</v>
      </c>
      <c r="P338" t="s">
        <v>734</v>
      </c>
      <c r="Q338" t="s">
        <v>74</v>
      </c>
      <c r="R338" t="s">
        <v>35</v>
      </c>
      <c r="S338" t="s">
        <v>41</v>
      </c>
      <c r="T338" t="s">
        <v>54</v>
      </c>
      <c r="U338" t="s">
        <v>238</v>
      </c>
      <c r="V338">
        <v>2</v>
      </c>
      <c r="Z338" t="s">
        <v>36</v>
      </c>
      <c r="AA338" t="s">
        <v>44</v>
      </c>
      <c r="AB338" t="s">
        <v>45</v>
      </c>
    </row>
    <row r="339" spans="1:28" hidden="1" x14ac:dyDescent="0.2">
      <c r="A339" s="1">
        <v>45582</v>
      </c>
      <c r="B339" s="1">
        <v>45582</v>
      </c>
      <c r="C339" t="s">
        <v>41</v>
      </c>
      <c r="D339" t="s">
        <v>744</v>
      </c>
      <c r="E339">
        <v>-76.639763333333306</v>
      </c>
      <c r="F339" s="2" t="s">
        <v>745</v>
      </c>
      <c r="G339">
        <v>2382</v>
      </c>
      <c r="I339">
        <v>2024</v>
      </c>
      <c r="J339">
        <v>10</v>
      </c>
      <c r="K339">
        <v>30</v>
      </c>
      <c r="M339" t="s">
        <v>624</v>
      </c>
      <c r="N339" t="s">
        <v>31</v>
      </c>
      <c r="O339" t="s">
        <v>40</v>
      </c>
      <c r="P339" t="s">
        <v>734</v>
      </c>
      <c r="Q339" t="s">
        <v>64</v>
      </c>
      <c r="R339" t="s">
        <v>35</v>
      </c>
      <c r="S339" t="s">
        <v>626</v>
      </c>
      <c r="T339" t="s">
        <v>42</v>
      </c>
      <c r="U339" t="s">
        <v>238</v>
      </c>
      <c r="V339">
        <v>3</v>
      </c>
      <c r="Z339" t="s">
        <v>36</v>
      </c>
      <c r="AA339" t="s">
        <v>44</v>
      </c>
      <c r="AB339" t="s">
        <v>45</v>
      </c>
    </row>
    <row r="340" spans="1:28" hidden="1" x14ac:dyDescent="0.2">
      <c r="A340" s="1">
        <v>45582</v>
      </c>
      <c r="B340" s="1">
        <v>45582</v>
      </c>
      <c r="C340" t="s">
        <v>41</v>
      </c>
      <c r="D340" t="s">
        <v>746</v>
      </c>
      <c r="E340">
        <v>-76.639804999999996</v>
      </c>
      <c r="F340">
        <v>3.3506049999999998</v>
      </c>
      <c r="G340">
        <v>2382</v>
      </c>
      <c r="I340">
        <v>2024</v>
      </c>
      <c r="J340">
        <v>10</v>
      </c>
      <c r="K340">
        <v>30</v>
      </c>
      <c r="M340" t="s">
        <v>624</v>
      </c>
      <c r="N340" t="s">
        <v>31</v>
      </c>
      <c r="O340" t="s">
        <v>40</v>
      </c>
      <c r="P340" t="s">
        <v>734</v>
      </c>
      <c r="Q340" t="s">
        <v>64</v>
      </c>
      <c r="R340" t="s">
        <v>35</v>
      </c>
      <c r="S340" t="s">
        <v>41</v>
      </c>
      <c r="T340" t="s">
        <v>42</v>
      </c>
      <c r="U340" t="s">
        <v>238</v>
      </c>
      <c r="V340">
        <v>2</v>
      </c>
      <c r="Z340" t="s">
        <v>36</v>
      </c>
      <c r="AA340" t="s">
        <v>44</v>
      </c>
      <c r="AB340" t="s">
        <v>45</v>
      </c>
    </row>
    <row r="341" spans="1:28" hidden="1" x14ac:dyDescent="0.2">
      <c r="A341" s="1">
        <v>45582</v>
      </c>
      <c r="B341" s="1">
        <v>45582</v>
      </c>
      <c r="C341" t="s">
        <v>41</v>
      </c>
      <c r="D341" t="s">
        <v>747</v>
      </c>
      <c r="E341">
        <v>-76.639753333333303</v>
      </c>
      <c r="F341" s="2" t="s">
        <v>748</v>
      </c>
      <c r="G341">
        <v>2382</v>
      </c>
      <c r="I341">
        <v>2024</v>
      </c>
      <c r="J341">
        <v>10</v>
      </c>
      <c r="K341">
        <v>30</v>
      </c>
      <c r="M341" t="s">
        <v>624</v>
      </c>
      <c r="N341" t="s">
        <v>31</v>
      </c>
      <c r="O341" t="s">
        <v>40</v>
      </c>
      <c r="P341" t="s">
        <v>734</v>
      </c>
      <c r="Q341" t="s">
        <v>64</v>
      </c>
      <c r="R341" t="s">
        <v>35</v>
      </c>
      <c r="S341" t="s">
        <v>695</v>
      </c>
      <c r="T341" t="s">
        <v>42</v>
      </c>
      <c r="U341" t="s">
        <v>238</v>
      </c>
      <c r="V341">
        <v>1</v>
      </c>
      <c r="Z341" t="s">
        <v>36</v>
      </c>
      <c r="AA341" t="s">
        <v>44</v>
      </c>
      <c r="AB341" t="s">
        <v>45</v>
      </c>
    </row>
    <row r="342" spans="1:28" hidden="1" x14ac:dyDescent="0.2">
      <c r="A342" s="1">
        <v>45582</v>
      </c>
      <c r="B342" s="1">
        <v>45582</v>
      </c>
      <c r="C342" t="s">
        <v>41</v>
      </c>
      <c r="D342" t="s">
        <v>749</v>
      </c>
      <c r="E342">
        <v>-76.639591666666604</v>
      </c>
      <c r="F342">
        <v>3.350695</v>
      </c>
      <c r="G342">
        <v>2382</v>
      </c>
      <c r="I342">
        <v>2024</v>
      </c>
      <c r="J342">
        <v>10</v>
      </c>
      <c r="K342">
        <v>30</v>
      </c>
      <c r="M342" t="s">
        <v>624</v>
      </c>
      <c r="N342" t="s">
        <v>31</v>
      </c>
      <c r="O342" t="s">
        <v>40</v>
      </c>
      <c r="P342" t="s">
        <v>734</v>
      </c>
      <c r="Q342" t="s">
        <v>64</v>
      </c>
      <c r="R342" t="s">
        <v>35</v>
      </c>
      <c r="S342" t="s">
        <v>695</v>
      </c>
      <c r="T342" t="s">
        <v>42</v>
      </c>
      <c r="U342" t="s">
        <v>238</v>
      </c>
      <c r="V342">
        <v>1</v>
      </c>
      <c r="Z342" t="s">
        <v>36</v>
      </c>
      <c r="AA342" t="s">
        <v>44</v>
      </c>
      <c r="AB342" t="s">
        <v>45</v>
      </c>
    </row>
    <row r="343" spans="1:28" hidden="1" x14ac:dyDescent="0.2">
      <c r="A343" s="1">
        <v>45582</v>
      </c>
      <c r="B343" s="1">
        <v>45582</v>
      </c>
      <c r="C343" t="s">
        <v>41</v>
      </c>
      <c r="D343" t="s">
        <v>750</v>
      </c>
      <c r="E343">
        <v>-76.639525000000006</v>
      </c>
      <c r="F343" s="2" t="s">
        <v>751</v>
      </c>
      <c r="G343">
        <v>2382</v>
      </c>
      <c r="I343">
        <v>2024</v>
      </c>
      <c r="J343">
        <v>10</v>
      </c>
      <c r="K343">
        <v>30</v>
      </c>
      <c r="M343" t="s">
        <v>624</v>
      </c>
      <c r="N343" t="s">
        <v>31</v>
      </c>
      <c r="O343" t="s">
        <v>40</v>
      </c>
      <c r="P343" t="s">
        <v>734</v>
      </c>
      <c r="Q343" t="s">
        <v>64</v>
      </c>
      <c r="R343" t="s">
        <v>35</v>
      </c>
      <c r="S343" t="s">
        <v>41</v>
      </c>
      <c r="T343" t="s">
        <v>54</v>
      </c>
      <c r="U343" t="s">
        <v>238</v>
      </c>
      <c r="V343">
        <v>4</v>
      </c>
      <c r="Z343" t="s">
        <v>36</v>
      </c>
      <c r="AA343" t="s">
        <v>44</v>
      </c>
      <c r="AB343" t="s">
        <v>45</v>
      </c>
    </row>
    <row r="344" spans="1:28" hidden="1" x14ac:dyDescent="0.2">
      <c r="A344" s="1">
        <v>45582</v>
      </c>
      <c r="B344" s="1">
        <v>45582</v>
      </c>
      <c r="C344" t="s">
        <v>41</v>
      </c>
      <c r="D344" t="s">
        <v>752</v>
      </c>
      <c r="E344">
        <v>-76.639515000000003</v>
      </c>
      <c r="F344" s="2" t="s">
        <v>753</v>
      </c>
      <c r="G344">
        <v>2382</v>
      </c>
      <c r="I344">
        <v>2024</v>
      </c>
      <c r="J344">
        <v>10</v>
      </c>
      <c r="K344">
        <v>30</v>
      </c>
      <c r="M344" t="s">
        <v>624</v>
      </c>
      <c r="N344" t="s">
        <v>31</v>
      </c>
      <c r="O344" t="s">
        <v>40</v>
      </c>
      <c r="P344" t="s">
        <v>734</v>
      </c>
      <c r="Q344" t="s">
        <v>64</v>
      </c>
      <c r="R344" t="s">
        <v>35</v>
      </c>
      <c r="S344" t="s">
        <v>695</v>
      </c>
      <c r="T344" t="s">
        <v>54</v>
      </c>
      <c r="U344" t="s">
        <v>238</v>
      </c>
      <c r="V344">
        <v>2</v>
      </c>
      <c r="Z344" t="s">
        <v>36</v>
      </c>
      <c r="AA344" t="s">
        <v>44</v>
      </c>
      <c r="AB344" t="s">
        <v>45</v>
      </c>
    </row>
    <row r="345" spans="1:28" s="11" customFormat="1" hidden="1" x14ac:dyDescent="0.2">
      <c r="A345" s="10">
        <v>45582</v>
      </c>
      <c r="B345" s="10">
        <v>45582</v>
      </c>
      <c r="C345" s="11" t="s">
        <v>41</v>
      </c>
      <c r="D345" s="11" t="s">
        <v>754</v>
      </c>
      <c r="E345" s="11">
        <v>-76.639525000000006</v>
      </c>
      <c r="F345" s="11">
        <v>3.3507099999999999</v>
      </c>
      <c r="G345" s="11">
        <v>2382</v>
      </c>
      <c r="I345" s="11">
        <v>2024</v>
      </c>
      <c r="J345" s="11">
        <v>10</v>
      </c>
      <c r="K345" s="11">
        <v>30</v>
      </c>
      <c r="M345" s="11" t="s">
        <v>624</v>
      </c>
      <c r="N345" s="11" t="s">
        <v>31</v>
      </c>
      <c r="O345" s="11" t="s">
        <v>40</v>
      </c>
      <c r="P345" s="11" t="s">
        <v>734</v>
      </c>
      <c r="Q345" s="11" t="s">
        <v>64</v>
      </c>
      <c r="R345" s="11" t="s">
        <v>35</v>
      </c>
      <c r="T345" s="11" t="s">
        <v>54</v>
      </c>
      <c r="U345" s="11" t="s">
        <v>636</v>
      </c>
      <c r="V345" s="11">
        <v>1</v>
      </c>
      <c r="W345" s="11" t="s">
        <v>755</v>
      </c>
      <c r="Z345" s="11" t="s">
        <v>36</v>
      </c>
      <c r="AA345" s="11" t="s">
        <v>44</v>
      </c>
      <c r="AB345" s="11" t="s">
        <v>66</v>
      </c>
    </row>
    <row r="346" spans="1:28" hidden="1" x14ac:dyDescent="0.2">
      <c r="A346" s="1">
        <v>45582</v>
      </c>
      <c r="B346" s="1">
        <v>45582</v>
      </c>
      <c r="C346" t="s">
        <v>41</v>
      </c>
      <c r="D346" t="s">
        <v>756</v>
      </c>
      <c r="E346">
        <v>-76.639505</v>
      </c>
      <c r="F346">
        <v>3.350705</v>
      </c>
      <c r="G346">
        <v>2382</v>
      </c>
      <c r="I346">
        <v>2024</v>
      </c>
      <c r="J346">
        <v>10</v>
      </c>
      <c r="K346">
        <v>30</v>
      </c>
      <c r="M346" t="s">
        <v>624</v>
      </c>
      <c r="N346" t="s">
        <v>31</v>
      </c>
      <c r="O346" t="s">
        <v>40</v>
      </c>
      <c r="P346" t="s">
        <v>734</v>
      </c>
      <c r="Q346" t="s">
        <v>64</v>
      </c>
      <c r="R346" t="s">
        <v>35</v>
      </c>
      <c r="S346" t="s">
        <v>626</v>
      </c>
      <c r="T346" t="s">
        <v>42</v>
      </c>
      <c r="U346" t="s">
        <v>238</v>
      </c>
      <c r="V346">
        <v>3</v>
      </c>
      <c r="Z346" t="s">
        <v>36</v>
      </c>
      <c r="AA346" t="s">
        <v>44</v>
      </c>
      <c r="AB346" t="s">
        <v>45</v>
      </c>
    </row>
    <row r="347" spans="1:28" hidden="1" x14ac:dyDescent="0.2">
      <c r="A347" s="1">
        <v>45582</v>
      </c>
      <c r="B347" s="1">
        <v>45582</v>
      </c>
      <c r="C347" t="s">
        <v>41</v>
      </c>
      <c r="D347" t="s">
        <v>757</v>
      </c>
      <c r="E347">
        <v>-76.639446666666601</v>
      </c>
      <c r="F347">
        <v>3.3505699999999998</v>
      </c>
      <c r="G347">
        <v>2382</v>
      </c>
      <c r="I347">
        <v>2024</v>
      </c>
      <c r="J347">
        <v>10</v>
      </c>
      <c r="K347">
        <v>30</v>
      </c>
      <c r="M347" t="s">
        <v>624</v>
      </c>
      <c r="N347" t="s">
        <v>31</v>
      </c>
      <c r="O347" t="s">
        <v>40</v>
      </c>
      <c r="P347" t="s">
        <v>734</v>
      </c>
      <c r="Q347" t="s">
        <v>64</v>
      </c>
      <c r="R347" t="s">
        <v>35</v>
      </c>
      <c r="S347" t="s">
        <v>41</v>
      </c>
      <c r="T347" t="s">
        <v>54</v>
      </c>
      <c r="U347" t="s">
        <v>238</v>
      </c>
      <c r="V347">
        <v>4</v>
      </c>
      <c r="Z347" t="s">
        <v>36</v>
      </c>
      <c r="AA347" t="s">
        <v>44</v>
      </c>
      <c r="AB347" t="s">
        <v>45</v>
      </c>
    </row>
    <row r="348" spans="1:28" hidden="1" x14ac:dyDescent="0.2">
      <c r="A348" s="1">
        <v>45582</v>
      </c>
      <c r="B348" s="1">
        <v>45582</v>
      </c>
      <c r="C348" t="s">
        <v>41</v>
      </c>
      <c r="D348" t="s">
        <v>758</v>
      </c>
      <c r="E348">
        <v>-76.6428783333333</v>
      </c>
      <c r="F348" s="2" t="s">
        <v>759</v>
      </c>
      <c r="G348">
        <v>2413</v>
      </c>
      <c r="I348">
        <v>2024</v>
      </c>
      <c r="J348">
        <v>25</v>
      </c>
      <c r="K348">
        <v>15</v>
      </c>
      <c r="M348" t="s">
        <v>624</v>
      </c>
      <c r="N348" t="s">
        <v>31</v>
      </c>
      <c r="O348" t="s">
        <v>40</v>
      </c>
      <c r="P348" t="s">
        <v>625</v>
      </c>
      <c r="Q348" t="s">
        <v>381</v>
      </c>
      <c r="R348" t="s">
        <v>35</v>
      </c>
      <c r="S348" t="s">
        <v>41</v>
      </c>
      <c r="T348" t="s">
        <v>54</v>
      </c>
      <c r="U348" t="s">
        <v>238</v>
      </c>
      <c r="V348">
        <v>1</v>
      </c>
      <c r="Z348" t="s">
        <v>36</v>
      </c>
      <c r="AA348" t="s">
        <v>44</v>
      </c>
      <c r="AB348" t="s">
        <v>45</v>
      </c>
    </row>
    <row r="349" spans="1:28" hidden="1" x14ac:dyDescent="0.2">
      <c r="A349" s="1">
        <v>45582</v>
      </c>
      <c r="B349" s="1">
        <v>45582</v>
      </c>
      <c r="C349" t="s">
        <v>41</v>
      </c>
      <c r="D349" t="s">
        <v>760</v>
      </c>
      <c r="E349">
        <v>-76.642621666666599</v>
      </c>
      <c r="F349" s="2" t="s">
        <v>761</v>
      </c>
      <c r="G349">
        <v>2413</v>
      </c>
      <c r="I349">
        <v>2024</v>
      </c>
      <c r="J349">
        <v>25</v>
      </c>
      <c r="K349">
        <v>15</v>
      </c>
      <c r="M349" t="s">
        <v>624</v>
      </c>
      <c r="N349" t="s">
        <v>31</v>
      </c>
      <c r="O349" t="s">
        <v>40</v>
      </c>
      <c r="P349" t="s">
        <v>625</v>
      </c>
      <c r="Q349" t="s">
        <v>381</v>
      </c>
      <c r="R349" t="s">
        <v>35</v>
      </c>
      <c r="T349" t="s">
        <v>54</v>
      </c>
      <c r="U349" t="s">
        <v>238</v>
      </c>
      <c r="V349">
        <v>1</v>
      </c>
      <c r="Z349" t="s">
        <v>36</v>
      </c>
      <c r="AA349" t="s">
        <v>44</v>
      </c>
      <c r="AB349" t="s">
        <v>45</v>
      </c>
    </row>
    <row r="350" spans="1:28" hidden="1" x14ac:dyDescent="0.2">
      <c r="A350" s="1">
        <v>45582</v>
      </c>
      <c r="B350" s="1">
        <v>45582</v>
      </c>
      <c r="C350" t="s">
        <v>41</v>
      </c>
      <c r="D350" t="s">
        <v>762</v>
      </c>
      <c r="E350">
        <v>-76.642393333333303</v>
      </c>
      <c r="F350" s="2" t="s">
        <v>763</v>
      </c>
      <c r="G350">
        <v>2413</v>
      </c>
      <c r="I350">
        <v>2024</v>
      </c>
      <c r="J350">
        <v>25</v>
      </c>
      <c r="K350">
        <v>15</v>
      </c>
      <c r="M350" t="s">
        <v>624</v>
      </c>
      <c r="N350" t="s">
        <v>31</v>
      </c>
      <c r="O350" t="s">
        <v>40</v>
      </c>
      <c r="P350" t="s">
        <v>625</v>
      </c>
      <c r="Q350" t="s">
        <v>381</v>
      </c>
      <c r="R350" t="s">
        <v>35</v>
      </c>
      <c r="S350" t="s">
        <v>626</v>
      </c>
      <c r="T350" t="s">
        <v>54</v>
      </c>
      <c r="U350" t="s">
        <v>238</v>
      </c>
      <c r="V350">
        <v>1</v>
      </c>
      <c r="Z350" t="s">
        <v>36</v>
      </c>
      <c r="AA350" t="s">
        <v>44</v>
      </c>
      <c r="AB350" t="s">
        <v>45</v>
      </c>
    </row>
    <row r="351" spans="1:28" hidden="1" x14ac:dyDescent="0.2">
      <c r="A351" s="1">
        <v>45582</v>
      </c>
      <c r="B351" s="1">
        <v>45582</v>
      </c>
      <c r="C351" t="s">
        <v>41</v>
      </c>
      <c r="D351" t="s">
        <v>764</v>
      </c>
      <c r="E351">
        <v>-76.642246666666594</v>
      </c>
      <c r="F351">
        <v>3.3493849999999998</v>
      </c>
      <c r="G351">
        <v>2413</v>
      </c>
      <c r="I351">
        <v>2024</v>
      </c>
      <c r="J351">
        <v>25</v>
      </c>
      <c r="K351">
        <v>15</v>
      </c>
      <c r="M351" t="s">
        <v>624</v>
      </c>
      <c r="N351" t="s">
        <v>31</v>
      </c>
      <c r="O351" t="s">
        <v>40</v>
      </c>
      <c r="P351" t="s">
        <v>625</v>
      </c>
      <c r="Q351" t="s">
        <v>381</v>
      </c>
      <c r="R351" t="s">
        <v>35</v>
      </c>
      <c r="S351" t="s">
        <v>695</v>
      </c>
      <c r="T351" t="s">
        <v>91</v>
      </c>
      <c r="U351" t="s">
        <v>371</v>
      </c>
      <c r="V351">
        <v>1</v>
      </c>
      <c r="W351" t="s">
        <v>765</v>
      </c>
      <c r="Z351" t="s">
        <v>36</v>
      </c>
      <c r="AA351" t="s">
        <v>65</v>
      </c>
      <c r="AB351" t="s">
        <v>66</v>
      </c>
    </row>
    <row r="352" spans="1:28" hidden="1" x14ac:dyDescent="0.2">
      <c r="A352" s="1">
        <v>45582</v>
      </c>
      <c r="B352" s="1">
        <v>45582</v>
      </c>
      <c r="C352" t="s">
        <v>41</v>
      </c>
      <c r="D352" t="s">
        <v>766</v>
      </c>
      <c r="E352">
        <v>-76.642093333333307</v>
      </c>
      <c r="F352" s="2" t="s">
        <v>767</v>
      </c>
      <c r="G352">
        <v>2390</v>
      </c>
      <c r="I352">
        <v>2024</v>
      </c>
      <c r="J352">
        <v>20</v>
      </c>
      <c r="K352">
        <v>3</v>
      </c>
      <c r="M352" t="s">
        <v>624</v>
      </c>
      <c r="N352" t="s">
        <v>31</v>
      </c>
      <c r="O352" t="s">
        <v>32</v>
      </c>
      <c r="P352" t="s">
        <v>734</v>
      </c>
      <c r="Q352" t="s">
        <v>381</v>
      </c>
      <c r="R352" t="s">
        <v>35</v>
      </c>
      <c r="S352" t="s">
        <v>41</v>
      </c>
      <c r="T352" t="s">
        <v>54</v>
      </c>
      <c r="U352" t="s">
        <v>371</v>
      </c>
      <c r="V352">
        <v>1</v>
      </c>
      <c r="Z352" t="s">
        <v>36</v>
      </c>
      <c r="AA352" t="s">
        <v>44</v>
      </c>
      <c r="AB352" t="s">
        <v>66</v>
      </c>
    </row>
    <row r="353" spans="1:28" hidden="1" x14ac:dyDescent="0.2">
      <c r="A353" s="1">
        <v>45582</v>
      </c>
      <c r="B353" s="1">
        <v>45582</v>
      </c>
      <c r="C353" t="s">
        <v>41</v>
      </c>
      <c r="D353" t="s">
        <v>768</v>
      </c>
      <c r="E353">
        <v>-76.641935000000004</v>
      </c>
      <c r="F353" s="2" t="s">
        <v>769</v>
      </c>
      <c r="G353">
        <v>2390</v>
      </c>
      <c r="I353">
        <v>2024</v>
      </c>
      <c r="J353">
        <v>20</v>
      </c>
      <c r="K353">
        <v>3</v>
      </c>
      <c r="M353" t="s">
        <v>624</v>
      </c>
      <c r="N353" t="s">
        <v>31</v>
      </c>
      <c r="O353" t="s">
        <v>32</v>
      </c>
      <c r="P353" t="s">
        <v>734</v>
      </c>
      <c r="Q353" t="s">
        <v>381</v>
      </c>
      <c r="R353" t="s">
        <v>35</v>
      </c>
      <c r="S353" t="s">
        <v>41</v>
      </c>
      <c r="T353" t="s">
        <v>54</v>
      </c>
      <c r="U353" t="s">
        <v>238</v>
      </c>
      <c r="V353">
        <v>3</v>
      </c>
      <c r="Z353" t="s">
        <v>36</v>
      </c>
      <c r="AA353" t="s">
        <v>44</v>
      </c>
      <c r="AB353" t="s">
        <v>45</v>
      </c>
    </row>
    <row r="354" spans="1:28" hidden="1" x14ac:dyDescent="0.2">
      <c r="A354" s="1">
        <v>45582</v>
      </c>
      <c r="B354" s="1">
        <v>45582</v>
      </c>
      <c r="C354" t="s">
        <v>41</v>
      </c>
      <c r="D354" t="s">
        <v>770</v>
      </c>
      <c r="E354">
        <v>-76.641949999999994</v>
      </c>
      <c r="F354" s="2" t="s">
        <v>771</v>
      </c>
      <c r="G354">
        <v>2390</v>
      </c>
      <c r="I354">
        <v>2024</v>
      </c>
      <c r="J354">
        <v>20</v>
      </c>
      <c r="K354">
        <v>3</v>
      </c>
      <c r="M354" t="s">
        <v>624</v>
      </c>
      <c r="N354" t="s">
        <v>31</v>
      </c>
      <c r="O354" t="s">
        <v>32</v>
      </c>
      <c r="P354" t="s">
        <v>734</v>
      </c>
      <c r="Q354" t="s">
        <v>381</v>
      </c>
      <c r="R354" t="s">
        <v>35</v>
      </c>
      <c r="S354" t="s">
        <v>626</v>
      </c>
      <c r="T354" t="s">
        <v>54</v>
      </c>
      <c r="U354" t="s">
        <v>238</v>
      </c>
      <c r="V354">
        <v>2</v>
      </c>
      <c r="Z354" t="s">
        <v>36</v>
      </c>
      <c r="AA354" t="s">
        <v>44</v>
      </c>
      <c r="AB354" t="s">
        <v>45</v>
      </c>
    </row>
    <row r="355" spans="1:28" hidden="1" x14ac:dyDescent="0.2">
      <c r="A355" s="1">
        <v>45582</v>
      </c>
      <c r="B355" s="1">
        <v>45582</v>
      </c>
      <c r="C355" t="s">
        <v>41</v>
      </c>
      <c r="D355" t="s">
        <v>772</v>
      </c>
      <c r="E355">
        <v>-76.641933333333299</v>
      </c>
      <c r="F355">
        <v>3.3495849999999998</v>
      </c>
      <c r="G355">
        <v>2390</v>
      </c>
      <c r="I355">
        <v>2024</v>
      </c>
      <c r="J355">
        <v>20</v>
      </c>
      <c r="K355">
        <v>3</v>
      </c>
      <c r="M355" t="s">
        <v>624</v>
      </c>
      <c r="N355" t="s">
        <v>31</v>
      </c>
      <c r="O355" t="s">
        <v>32</v>
      </c>
      <c r="P355" t="s">
        <v>734</v>
      </c>
      <c r="Q355" t="s">
        <v>381</v>
      </c>
      <c r="R355" t="s">
        <v>35</v>
      </c>
      <c r="S355" t="s">
        <v>626</v>
      </c>
      <c r="T355" t="s">
        <v>54</v>
      </c>
      <c r="U355" t="s">
        <v>238</v>
      </c>
      <c r="V355">
        <v>3</v>
      </c>
      <c r="W355" t="s">
        <v>773</v>
      </c>
      <c r="Z355" t="s">
        <v>36</v>
      </c>
      <c r="AA355" t="s">
        <v>44</v>
      </c>
      <c r="AB355" t="s">
        <v>45</v>
      </c>
    </row>
    <row r="356" spans="1:28" hidden="1" x14ac:dyDescent="0.2">
      <c r="A356" s="1">
        <v>45582</v>
      </c>
      <c r="B356" s="1">
        <v>45582</v>
      </c>
      <c r="C356" t="s">
        <v>41</v>
      </c>
      <c r="D356" t="s">
        <v>774</v>
      </c>
      <c r="E356">
        <v>-76.641835</v>
      </c>
      <c r="F356">
        <v>3.3495200000000001</v>
      </c>
      <c r="G356">
        <v>2390</v>
      </c>
      <c r="I356">
        <v>2024</v>
      </c>
      <c r="J356">
        <v>20</v>
      </c>
      <c r="K356">
        <v>3</v>
      </c>
      <c r="M356" t="s">
        <v>624</v>
      </c>
      <c r="N356" t="s">
        <v>31</v>
      </c>
      <c r="O356" t="s">
        <v>32</v>
      </c>
      <c r="P356" t="s">
        <v>734</v>
      </c>
      <c r="Q356" t="s">
        <v>381</v>
      </c>
      <c r="R356" t="s">
        <v>35</v>
      </c>
      <c r="S356" t="s">
        <v>695</v>
      </c>
      <c r="T356" t="s">
        <v>42</v>
      </c>
      <c r="U356" t="s">
        <v>252</v>
      </c>
      <c r="V356">
        <v>1</v>
      </c>
      <c r="Z356" t="s">
        <v>36</v>
      </c>
      <c r="AA356" t="s">
        <v>65</v>
      </c>
      <c r="AB356" t="s">
        <v>45</v>
      </c>
    </row>
    <row r="357" spans="1:28" hidden="1" x14ac:dyDescent="0.2">
      <c r="A357" s="1">
        <v>45582</v>
      </c>
      <c r="B357" s="1">
        <v>45582</v>
      </c>
      <c r="C357" t="s">
        <v>41</v>
      </c>
      <c r="D357" t="s">
        <v>775</v>
      </c>
      <c r="E357">
        <v>-76.641703333333297</v>
      </c>
      <c r="F357">
        <v>3.3494649999999999</v>
      </c>
      <c r="G357">
        <v>2390</v>
      </c>
      <c r="I357">
        <v>2024</v>
      </c>
      <c r="J357">
        <v>20</v>
      </c>
      <c r="K357">
        <v>3</v>
      </c>
      <c r="M357" t="s">
        <v>624</v>
      </c>
      <c r="N357" t="s">
        <v>31</v>
      </c>
      <c r="O357" t="s">
        <v>32</v>
      </c>
      <c r="P357" t="s">
        <v>734</v>
      </c>
      <c r="Q357" t="s">
        <v>74</v>
      </c>
      <c r="R357" t="s">
        <v>35</v>
      </c>
      <c r="S357" t="s">
        <v>695</v>
      </c>
      <c r="T357" t="s">
        <v>54</v>
      </c>
      <c r="U357" t="s">
        <v>238</v>
      </c>
      <c r="V357">
        <v>3</v>
      </c>
      <c r="Z357" t="s">
        <v>36</v>
      </c>
      <c r="AA357" t="s">
        <v>44</v>
      </c>
      <c r="AB357" t="s">
        <v>45</v>
      </c>
    </row>
    <row r="358" spans="1:28" hidden="1" x14ac:dyDescent="0.2">
      <c r="A358" s="1">
        <v>45582</v>
      </c>
      <c r="B358" s="1">
        <v>45582</v>
      </c>
      <c r="C358" t="s">
        <v>41</v>
      </c>
      <c r="D358" t="s">
        <v>776</v>
      </c>
      <c r="E358">
        <v>-76.6419833333333</v>
      </c>
      <c r="F358" s="2" t="s">
        <v>777</v>
      </c>
      <c r="G358">
        <v>2390</v>
      </c>
      <c r="I358">
        <v>2024</v>
      </c>
      <c r="J358">
        <v>20</v>
      </c>
      <c r="K358">
        <v>3</v>
      </c>
      <c r="M358" t="s">
        <v>624</v>
      </c>
      <c r="N358" t="s">
        <v>31</v>
      </c>
      <c r="O358" t="s">
        <v>32</v>
      </c>
      <c r="P358" t="s">
        <v>734</v>
      </c>
      <c r="Q358" t="s">
        <v>74</v>
      </c>
      <c r="R358" t="s">
        <v>35</v>
      </c>
      <c r="S358" t="s">
        <v>41</v>
      </c>
      <c r="T358" t="s">
        <v>91</v>
      </c>
      <c r="U358" t="s">
        <v>238</v>
      </c>
      <c r="V358">
        <v>1</v>
      </c>
      <c r="Z358" t="s">
        <v>36</v>
      </c>
      <c r="AA358" t="s">
        <v>44</v>
      </c>
      <c r="AB358" t="s">
        <v>66</v>
      </c>
    </row>
    <row r="359" spans="1:28" hidden="1" x14ac:dyDescent="0.2">
      <c r="A359" s="1">
        <v>45582</v>
      </c>
      <c r="B359" s="1">
        <v>45582</v>
      </c>
      <c r="C359" t="s">
        <v>41</v>
      </c>
      <c r="D359" t="s">
        <v>778</v>
      </c>
      <c r="E359">
        <v>-76.641858333333303</v>
      </c>
      <c r="F359" s="2" t="s">
        <v>779</v>
      </c>
      <c r="G359">
        <v>2390</v>
      </c>
      <c r="I359">
        <v>2024</v>
      </c>
      <c r="J359">
        <v>20</v>
      </c>
      <c r="K359">
        <v>3</v>
      </c>
      <c r="M359" t="s">
        <v>624</v>
      </c>
      <c r="N359" t="s">
        <v>31</v>
      </c>
      <c r="O359" t="s">
        <v>32</v>
      </c>
      <c r="P359" t="s">
        <v>734</v>
      </c>
      <c r="Q359" t="s">
        <v>74</v>
      </c>
      <c r="R359" t="s">
        <v>35</v>
      </c>
      <c r="S359" t="s">
        <v>41</v>
      </c>
      <c r="T359" t="s">
        <v>54</v>
      </c>
      <c r="U359" t="s">
        <v>238</v>
      </c>
      <c r="V359">
        <v>2</v>
      </c>
      <c r="Z359" t="s">
        <v>36</v>
      </c>
      <c r="AA359" t="s">
        <v>44</v>
      </c>
      <c r="AB359" t="s">
        <v>45</v>
      </c>
    </row>
    <row r="360" spans="1:28" hidden="1" x14ac:dyDescent="0.2">
      <c r="A360" s="1">
        <v>45582</v>
      </c>
      <c r="B360" s="1">
        <v>45582</v>
      </c>
      <c r="C360" t="s">
        <v>41</v>
      </c>
      <c r="D360" t="s">
        <v>780</v>
      </c>
      <c r="E360">
        <v>-76.641845000000004</v>
      </c>
      <c r="F360">
        <v>3.3495550000000001</v>
      </c>
      <c r="G360">
        <v>2390</v>
      </c>
      <c r="I360">
        <v>2024</v>
      </c>
      <c r="J360">
        <v>20</v>
      </c>
      <c r="K360">
        <v>3</v>
      </c>
      <c r="M360" t="s">
        <v>624</v>
      </c>
      <c r="N360" t="s">
        <v>31</v>
      </c>
      <c r="O360" t="s">
        <v>32</v>
      </c>
      <c r="P360" t="s">
        <v>734</v>
      </c>
      <c r="Q360" t="s">
        <v>74</v>
      </c>
      <c r="R360" t="s">
        <v>35</v>
      </c>
      <c r="S360" t="s">
        <v>626</v>
      </c>
      <c r="T360" t="s">
        <v>54</v>
      </c>
      <c r="U360" t="s">
        <v>252</v>
      </c>
      <c r="V360">
        <v>1</v>
      </c>
      <c r="Z360" t="s">
        <v>36</v>
      </c>
      <c r="AA360" t="s">
        <v>65</v>
      </c>
      <c r="AB360" t="s">
        <v>45</v>
      </c>
    </row>
    <row r="361" spans="1:28" hidden="1" x14ac:dyDescent="0.2">
      <c r="A361" s="1">
        <v>45582</v>
      </c>
      <c r="B361" s="1">
        <v>45582</v>
      </c>
      <c r="C361" t="s">
        <v>41</v>
      </c>
      <c r="D361" t="s">
        <v>781</v>
      </c>
      <c r="E361">
        <v>-76.641823333333306</v>
      </c>
      <c r="F361" s="2" t="s">
        <v>782</v>
      </c>
      <c r="G361">
        <v>2390</v>
      </c>
      <c r="I361">
        <v>2024</v>
      </c>
      <c r="J361">
        <v>20</v>
      </c>
      <c r="K361">
        <v>3</v>
      </c>
      <c r="M361" t="s">
        <v>624</v>
      </c>
      <c r="N361" t="s">
        <v>31</v>
      </c>
      <c r="O361" t="s">
        <v>32</v>
      </c>
      <c r="P361" t="s">
        <v>734</v>
      </c>
      <c r="Q361" t="s">
        <v>74</v>
      </c>
      <c r="R361" t="s">
        <v>35</v>
      </c>
      <c r="S361" t="s">
        <v>41</v>
      </c>
      <c r="T361" t="s">
        <v>54</v>
      </c>
      <c r="U361" t="s">
        <v>371</v>
      </c>
      <c r="V361">
        <v>1</v>
      </c>
      <c r="Z361" t="s">
        <v>36</v>
      </c>
      <c r="AA361" t="s">
        <v>44</v>
      </c>
      <c r="AB361" t="s">
        <v>66</v>
      </c>
    </row>
    <row r="362" spans="1:28" hidden="1" x14ac:dyDescent="0.2">
      <c r="A362" s="1">
        <v>45582</v>
      </c>
      <c r="B362" s="1">
        <v>45582</v>
      </c>
      <c r="C362" t="s">
        <v>41</v>
      </c>
      <c r="D362" t="s">
        <v>783</v>
      </c>
      <c r="E362">
        <v>-76.641723333333303</v>
      </c>
      <c r="F362" s="2" t="s">
        <v>784</v>
      </c>
      <c r="G362">
        <v>2390</v>
      </c>
      <c r="I362">
        <v>2024</v>
      </c>
      <c r="J362">
        <v>20</v>
      </c>
      <c r="K362">
        <v>3</v>
      </c>
      <c r="M362" t="s">
        <v>624</v>
      </c>
      <c r="N362" t="s">
        <v>31</v>
      </c>
      <c r="O362" t="s">
        <v>32</v>
      </c>
      <c r="P362" t="s">
        <v>734</v>
      </c>
      <c r="Q362" t="s">
        <v>74</v>
      </c>
      <c r="R362" t="s">
        <v>35</v>
      </c>
      <c r="S362" t="s">
        <v>695</v>
      </c>
      <c r="T362" t="s">
        <v>54</v>
      </c>
      <c r="U362" t="s">
        <v>238</v>
      </c>
      <c r="V362">
        <v>2</v>
      </c>
      <c r="Z362" t="s">
        <v>36</v>
      </c>
      <c r="AA362" t="s">
        <v>44</v>
      </c>
      <c r="AB362" t="s">
        <v>45</v>
      </c>
    </row>
    <row r="363" spans="1:28" hidden="1" x14ac:dyDescent="0.2">
      <c r="A363" s="1">
        <v>45582</v>
      </c>
      <c r="B363" s="1">
        <v>45582</v>
      </c>
      <c r="C363" t="s">
        <v>41</v>
      </c>
      <c r="D363" t="s">
        <v>785</v>
      </c>
      <c r="E363">
        <v>-76.641814999999994</v>
      </c>
      <c r="F363" s="2" t="s">
        <v>786</v>
      </c>
      <c r="G363">
        <v>2390</v>
      </c>
      <c r="I363">
        <v>2024</v>
      </c>
      <c r="J363">
        <v>20</v>
      </c>
      <c r="K363">
        <v>3</v>
      </c>
      <c r="M363" t="s">
        <v>624</v>
      </c>
      <c r="N363" t="s">
        <v>31</v>
      </c>
      <c r="O363" t="s">
        <v>32</v>
      </c>
      <c r="P363" t="s">
        <v>734</v>
      </c>
      <c r="Q363" t="s">
        <v>74</v>
      </c>
      <c r="R363" t="s">
        <v>35</v>
      </c>
      <c r="S363" t="s">
        <v>635</v>
      </c>
      <c r="T363" t="s">
        <v>54</v>
      </c>
      <c r="U363" t="s">
        <v>238</v>
      </c>
      <c r="V363">
        <v>7</v>
      </c>
      <c r="W363" t="s">
        <v>787</v>
      </c>
      <c r="Z363" t="s">
        <v>36</v>
      </c>
      <c r="AA363" t="s">
        <v>65</v>
      </c>
      <c r="AB363" t="s">
        <v>45</v>
      </c>
    </row>
    <row r="364" spans="1:28" hidden="1" x14ac:dyDescent="0.2">
      <c r="A364" s="1">
        <v>45582</v>
      </c>
      <c r="B364" s="1">
        <v>45582</v>
      </c>
      <c r="C364" t="s">
        <v>41</v>
      </c>
      <c r="D364" t="s">
        <v>788</v>
      </c>
      <c r="E364">
        <v>-76.641784999999999</v>
      </c>
      <c r="F364" s="2" t="s">
        <v>789</v>
      </c>
      <c r="G364">
        <v>2390</v>
      </c>
      <c r="I364">
        <v>2024</v>
      </c>
      <c r="J364">
        <v>20</v>
      </c>
      <c r="K364">
        <v>3</v>
      </c>
      <c r="M364" t="s">
        <v>624</v>
      </c>
      <c r="N364" t="s">
        <v>31</v>
      </c>
      <c r="O364" t="s">
        <v>32</v>
      </c>
      <c r="P364" t="s">
        <v>734</v>
      </c>
      <c r="Q364" t="s">
        <v>74</v>
      </c>
      <c r="R364" t="s">
        <v>35</v>
      </c>
      <c r="S364" t="s">
        <v>695</v>
      </c>
      <c r="T364" t="s">
        <v>54</v>
      </c>
      <c r="U364" t="s">
        <v>238</v>
      </c>
      <c r="V364">
        <v>1</v>
      </c>
      <c r="Z364" t="s">
        <v>36</v>
      </c>
      <c r="AA364" t="s">
        <v>44</v>
      </c>
      <c r="AB364" t="s">
        <v>45</v>
      </c>
    </row>
    <row r="365" spans="1:28" hidden="1" x14ac:dyDescent="0.2">
      <c r="A365" s="1">
        <v>45582</v>
      </c>
      <c r="B365" s="1">
        <v>45582</v>
      </c>
      <c r="C365" t="s">
        <v>41</v>
      </c>
      <c r="D365" t="s">
        <v>790</v>
      </c>
      <c r="E365">
        <v>-76.641591666666599</v>
      </c>
      <c r="F365" s="2" t="s">
        <v>791</v>
      </c>
      <c r="G365">
        <v>2390</v>
      </c>
      <c r="I365">
        <v>2024</v>
      </c>
      <c r="J365">
        <v>20</v>
      </c>
      <c r="K365">
        <v>3</v>
      </c>
      <c r="M365" t="s">
        <v>624</v>
      </c>
      <c r="N365" t="s">
        <v>31</v>
      </c>
      <c r="O365" t="s">
        <v>32</v>
      </c>
      <c r="P365" t="s">
        <v>734</v>
      </c>
      <c r="Q365" t="s">
        <v>74</v>
      </c>
      <c r="R365" t="s">
        <v>35</v>
      </c>
      <c r="S365" t="s">
        <v>626</v>
      </c>
      <c r="T365" t="s">
        <v>54</v>
      </c>
      <c r="U365" t="s">
        <v>238</v>
      </c>
      <c r="V365">
        <v>1</v>
      </c>
      <c r="Z365" t="s">
        <v>36</v>
      </c>
      <c r="AA365" t="s">
        <v>44</v>
      </c>
      <c r="AB365" t="s">
        <v>45</v>
      </c>
    </row>
    <row r="366" spans="1:28" hidden="1" x14ac:dyDescent="0.2">
      <c r="A366" s="1">
        <v>45582</v>
      </c>
      <c r="B366" s="1">
        <v>45582</v>
      </c>
      <c r="C366" t="s">
        <v>41</v>
      </c>
      <c r="D366" t="s">
        <v>792</v>
      </c>
      <c r="E366">
        <v>-76.641526666666607</v>
      </c>
      <c r="F366">
        <v>3.349955</v>
      </c>
      <c r="G366">
        <v>2390</v>
      </c>
      <c r="I366">
        <v>2024</v>
      </c>
      <c r="J366">
        <v>20</v>
      </c>
      <c r="K366">
        <v>3</v>
      </c>
      <c r="M366" t="s">
        <v>624</v>
      </c>
      <c r="N366" t="s">
        <v>31</v>
      </c>
      <c r="O366" t="s">
        <v>32</v>
      </c>
      <c r="P366" t="s">
        <v>734</v>
      </c>
      <c r="Q366" t="s">
        <v>74</v>
      </c>
      <c r="R366" t="s">
        <v>35</v>
      </c>
      <c r="S366" t="s">
        <v>41</v>
      </c>
      <c r="T366" t="s">
        <v>54</v>
      </c>
      <c r="U366" t="s">
        <v>238</v>
      </c>
      <c r="V366">
        <v>1</v>
      </c>
      <c r="Z366" t="s">
        <v>36</v>
      </c>
      <c r="AA366" t="s">
        <v>44</v>
      </c>
      <c r="AB366" t="s">
        <v>45</v>
      </c>
    </row>
    <row r="367" spans="1:28" hidden="1" x14ac:dyDescent="0.2">
      <c r="A367" s="1">
        <v>45582</v>
      </c>
      <c r="B367" s="1">
        <v>45582</v>
      </c>
      <c r="C367" t="s">
        <v>41</v>
      </c>
      <c r="D367" t="s">
        <v>793</v>
      </c>
      <c r="E367">
        <v>-76.641421666666602</v>
      </c>
      <c r="F367" s="2" t="s">
        <v>794</v>
      </c>
      <c r="G367">
        <v>2390</v>
      </c>
      <c r="I367">
        <v>2024</v>
      </c>
      <c r="J367">
        <v>20</v>
      </c>
      <c r="K367">
        <v>3</v>
      </c>
      <c r="M367" t="s">
        <v>624</v>
      </c>
      <c r="N367" t="s">
        <v>31</v>
      </c>
      <c r="O367" t="s">
        <v>32</v>
      </c>
      <c r="P367" t="s">
        <v>734</v>
      </c>
      <c r="Q367" t="s">
        <v>74</v>
      </c>
      <c r="R367" t="s">
        <v>35</v>
      </c>
      <c r="S367" t="s">
        <v>626</v>
      </c>
      <c r="T367" t="s">
        <v>54</v>
      </c>
      <c r="U367" t="s">
        <v>238</v>
      </c>
      <c r="V367">
        <v>2</v>
      </c>
      <c r="Z367" t="s">
        <v>36</v>
      </c>
      <c r="AA367" t="s">
        <v>44</v>
      </c>
      <c r="AB367" t="s">
        <v>45</v>
      </c>
    </row>
    <row r="368" spans="1:28" hidden="1" x14ac:dyDescent="0.2">
      <c r="A368" s="1">
        <v>45582</v>
      </c>
      <c r="B368" s="1">
        <v>45582</v>
      </c>
      <c r="C368" t="s">
        <v>41</v>
      </c>
      <c r="D368" t="s">
        <v>795</v>
      </c>
      <c r="E368">
        <v>-76.641255000000001</v>
      </c>
      <c r="F368" s="2" t="s">
        <v>796</v>
      </c>
      <c r="G368">
        <v>2390</v>
      </c>
      <c r="I368">
        <v>2024</v>
      </c>
      <c r="J368">
        <v>20</v>
      </c>
      <c r="K368">
        <v>3</v>
      </c>
      <c r="M368" t="s">
        <v>624</v>
      </c>
      <c r="N368" t="s">
        <v>31</v>
      </c>
      <c r="O368" t="s">
        <v>32</v>
      </c>
      <c r="P368" t="s">
        <v>734</v>
      </c>
      <c r="Q368" t="s">
        <v>74</v>
      </c>
      <c r="R368" t="s">
        <v>35</v>
      </c>
      <c r="S368" t="s">
        <v>41</v>
      </c>
      <c r="T368" t="s">
        <v>54</v>
      </c>
      <c r="U368" t="s">
        <v>238</v>
      </c>
      <c r="V368">
        <v>1</v>
      </c>
      <c r="Z368" t="s">
        <v>36</v>
      </c>
      <c r="AA368" t="s">
        <v>44</v>
      </c>
      <c r="AB368" t="s">
        <v>45</v>
      </c>
    </row>
    <row r="369" spans="1:28" hidden="1" x14ac:dyDescent="0.2">
      <c r="A369" s="1">
        <v>45582</v>
      </c>
      <c r="B369" s="1">
        <v>45582</v>
      </c>
      <c r="C369" t="s">
        <v>41</v>
      </c>
      <c r="D369" t="s">
        <v>797</v>
      </c>
      <c r="E369">
        <v>-76.641343333333296</v>
      </c>
      <c r="F369" s="2" t="s">
        <v>798</v>
      </c>
      <c r="G369">
        <v>2390</v>
      </c>
      <c r="I369">
        <v>2024</v>
      </c>
      <c r="J369">
        <v>20</v>
      </c>
      <c r="K369">
        <v>3</v>
      </c>
      <c r="M369" t="s">
        <v>624</v>
      </c>
      <c r="N369" t="s">
        <v>31</v>
      </c>
      <c r="O369" t="s">
        <v>32</v>
      </c>
      <c r="P369" t="s">
        <v>734</v>
      </c>
      <c r="Q369" t="s">
        <v>74</v>
      </c>
      <c r="R369" t="s">
        <v>35</v>
      </c>
      <c r="S369" t="s">
        <v>41</v>
      </c>
      <c r="T369" t="s">
        <v>54</v>
      </c>
      <c r="U369" t="s">
        <v>238</v>
      </c>
      <c r="V369">
        <v>1</v>
      </c>
      <c r="Z369" t="s">
        <v>36</v>
      </c>
      <c r="AA369" t="s">
        <v>44</v>
      </c>
      <c r="AB369" t="s">
        <v>45</v>
      </c>
    </row>
    <row r="370" spans="1:28" hidden="1" x14ac:dyDescent="0.2">
      <c r="A370" s="1">
        <v>45582</v>
      </c>
      <c r="B370" s="1">
        <v>45582</v>
      </c>
      <c r="C370" t="s">
        <v>41</v>
      </c>
      <c r="D370" t="s">
        <v>799</v>
      </c>
      <c r="E370">
        <v>-76.640951666666595</v>
      </c>
      <c r="F370">
        <v>3.3500100000000002</v>
      </c>
      <c r="G370">
        <v>2390</v>
      </c>
      <c r="I370">
        <v>2024</v>
      </c>
      <c r="J370">
        <v>20</v>
      </c>
      <c r="K370">
        <v>3</v>
      </c>
      <c r="M370" t="s">
        <v>624</v>
      </c>
      <c r="N370" t="s">
        <v>31</v>
      </c>
      <c r="O370" t="s">
        <v>32</v>
      </c>
      <c r="P370" t="s">
        <v>734</v>
      </c>
      <c r="Q370" t="s">
        <v>74</v>
      </c>
      <c r="R370" t="s">
        <v>35</v>
      </c>
      <c r="S370" t="s">
        <v>635</v>
      </c>
      <c r="T370" t="s">
        <v>42</v>
      </c>
      <c r="U370" t="s">
        <v>238</v>
      </c>
      <c r="V370">
        <v>2</v>
      </c>
      <c r="Z370" t="s">
        <v>36</v>
      </c>
      <c r="AA370" t="s">
        <v>44</v>
      </c>
      <c r="AB370" t="s">
        <v>45</v>
      </c>
    </row>
    <row r="371" spans="1:28" hidden="1" x14ac:dyDescent="0.2">
      <c r="A371" s="1">
        <v>45582</v>
      </c>
      <c r="B371" s="1">
        <v>45582</v>
      </c>
      <c r="C371" t="s">
        <v>41</v>
      </c>
      <c r="D371" t="s">
        <v>800</v>
      </c>
      <c r="E371">
        <v>-76.641395000000003</v>
      </c>
      <c r="F371" s="2" t="s">
        <v>801</v>
      </c>
      <c r="G371">
        <v>2390</v>
      </c>
      <c r="I371">
        <v>2024</v>
      </c>
      <c r="J371">
        <v>20</v>
      </c>
      <c r="K371">
        <v>3</v>
      </c>
      <c r="M371" t="s">
        <v>624</v>
      </c>
      <c r="N371" t="s">
        <v>31</v>
      </c>
      <c r="O371" t="s">
        <v>32</v>
      </c>
      <c r="P371" t="s">
        <v>734</v>
      </c>
      <c r="Q371" t="s">
        <v>74</v>
      </c>
      <c r="R371" t="s">
        <v>35</v>
      </c>
      <c r="S371" t="s">
        <v>635</v>
      </c>
      <c r="T371" t="s">
        <v>42</v>
      </c>
      <c r="U371" t="s">
        <v>238</v>
      </c>
      <c r="V371">
        <v>2</v>
      </c>
      <c r="Z371" t="s">
        <v>36</v>
      </c>
      <c r="AA371" t="s">
        <v>44</v>
      </c>
      <c r="AB371" t="s">
        <v>45</v>
      </c>
    </row>
    <row r="372" spans="1:28" hidden="1" x14ac:dyDescent="0.2">
      <c r="A372" s="1">
        <v>45582</v>
      </c>
      <c r="B372" s="1">
        <v>45582</v>
      </c>
      <c r="C372" t="s">
        <v>41</v>
      </c>
      <c r="D372" t="s">
        <v>802</v>
      </c>
      <c r="E372">
        <v>-76.642971666666597</v>
      </c>
      <c r="F372" s="2" t="s">
        <v>648</v>
      </c>
      <c r="G372">
        <v>2439</v>
      </c>
      <c r="I372">
        <v>2024</v>
      </c>
      <c r="J372">
        <v>25</v>
      </c>
      <c r="K372">
        <v>45</v>
      </c>
      <c r="M372" t="s">
        <v>624</v>
      </c>
      <c r="N372" t="s">
        <v>31</v>
      </c>
      <c r="O372" t="s">
        <v>38</v>
      </c>
      <c r="P372" t="s">
        <v>625</v>
      </c>
      <c r="Q372" t="s">
        <v>381</v>
      </c>
      <c r="R372" t="s">
        <v>35</v>
      </c>
      <c r="S372" t="s">
        <v>695</v>
      </c>
      <c r="T372" t="s">
        <v>54</v>
      </c>
      <c r="U372" t="s">
        <v>238</v>
      </c>
      <c r="V372">
        <v>1</v>
      </c>
      <c r="Z372" t="s">
        <v>36</v>
      </c>
      <c r="AA372" t="s">
        <v>44</v>
      </c>
      <c r="AB372" t="s">
        <v>45</v>
      </c>
    </row>
    <row r="373" spans="1:28" hidden="1" x14ac:dyDescent="0.2">
      <c r="A373" s="1">
        <v>45582</v>
      </c>
      <c r="B373" s="1">
        <v>45582</v>
      </c>
      <c r="C373" t="s">
        <v>41</v>
      </c>
      <c r="D373" t="s">
        <v>803</v>
      </c>
      <c r="E373">
        <v>-76.643298333333306</v>
      </c>
      <c r="F373" s="2" t="s">
        <v>804</v>
      </c>
      <c r="G373">
        <v>2439</v>
      </c>
      <c r="I373">
        <v>2024</v>
      </c>
      <c r="J373">
        <v>25</v>
      </c>
      <c r="K373">
        <v>45</v>
      </c>
      <c r="M373" t="s">
        <v>624</v>
      </c>
      <c r="N373" t="s">
        <v>31</v>
      </c>
      <c r="O373" t="s">
        <v>38</v>
      </c>
      <c r="P373" t="s">
        <v>625</v>
      </c>
      <c r="Q373" t="s">
        <v>381</v>
      </c>
      <c r="R373" t="s">
        <v>35</v>
      </c>
      <c r="S373" t="s">
        <v>626</v>
      </c>
      <c r="T373" t="s">
        <v>54</v>
      </c>
      <c r="U373" t="s">
        <v>238</v>
      </c>
      <c r="V373">
        <v>1</v>
      </c>
      <c r="Z373" t="s">
        <v>36</v>
      </c>
      <c r="AA373" t="s">
        <v>44</v>
      </c>
      <c r="AB373" t="s">
        <v>45</v>
      </c>
    </row>
    <row r="374" spans="1:28" hidden="1" x14ac:dyDescent="0.2">
      <c r="A374" s="1">
        <v>45582</v>
      </c>
      <c r="B374" s="1">
        <v>45582</v>
      </c>
      <c r="C374" t="s">
        <v>41</v>
      </c>
      <c r="D374" t="s">
        <v>805</v>
      </c>
      <c r="E374">
        <v>-76.643008333333299</v>
      </c>
      <c r="F374" s="2" t="s">
        <v>806</v>
      </c>
      <c r="G374">
        <v>2439</v>
      </c>
      <c r="I374">
        <v>2024</v>
      </c>
      <c r="J374">
        <v>25</v>
      </c>
      <c r="K374">
        <v>45</v>
      </c>
      <c r="M374" t="s">
        <v>624</v>
      </c>
      <c r="N374" t="s">
        <v>31</v>
      </c>
      <c r="O374" t="s">
        <v>38</v>
      </c>
      <c r="P374" t="s">
        <v>625</v>
      </c>
      <c r="Q374" t="s">
        <v>381</v>
      </c>
      <c r="R374" t="s">
        <v>35</v>
      </c>
      <c r="S374" t="s">
        <v>695</v>
      </c>
      <c r="T374" t="s">
        <v>54</v>
      </c>
      <c r="U374" t="s">
        <v>238</v>
      </c>
      <c r="V374">
        <v>1</v>
      </c>
      <c r="Z374" t="s">
        <v>36</v>
      </c>
      <c r="AA374" t="s">
        <v>44</v>
      </c>
      <c r="AB374" t="s">
        <v>45</v>
      </c>
    </row>
    <row r="375" spans="1:28" hidden="1" x14ac:dyDescent="0.2">
      <c r="A375" s="1">
        <v>45582</v>
      </c>
      <c r="B375" s="1">
        <v>45582</v>
      </c>
      <c r="C375" t="s">
        <v>41</v>
      </c>
      <c r="D375" t="s">
        <v>807</v>
      </c>
      <c r="E375">
        <v>-76.642928333333302</v>
      </c>
      <c r="F375">
        <v>3.3494000000000002</v>
      </c>
      <c r="G375">
        <v>2439</v>
      </c>
      <c r="I375">
        <v>2024</v>
      </c>
      <c r="J375">
        <v>25</v>
      </c>
      <c r="K375">
        <v>45</v>
      </c>
      <c r="M375" t="s">
        <v>624</v>
      </c>
      <c r="N375" t="s">
        <v>31</v>
      </c>
      <c r="O375" t="s">
        <v>38</v>
      </c>
      <c r="P375" t="s">
        <v>625</v>
      </c>
      <c r="Q375" t="s">
        <v>381</v>
      </c>
      <c r="R375" t="s">
        <v>35</v>
      </c>
      <c r="S375" t="s">
        <v>635</v>
      </c>
      <c r="T375" t="s">
        <v>54</v>
      </c>
      <c r="U375" t="s">
        <v>238</v>
      </c>
      <c r="V375">
        <v>1</v>
      </c>
      <c r="Z375" t="s">
        <v>36</v>
      </c>
      <c r="AA375" t="s">
        <v>44</v>
      </c>
      <c r="AB375" t="s">
        <v>45</v>
      </c>
    </row>
    <row r="376" spans="1:28" hidden="1" x14ac:dyDescent="0.2">
      <c r="A376" s="1">
        <v>45582</v>
      </c>
      <c r="B376" s="1">
        <v>45582</v>
      </c>
      <c r="C376" t="s">
        <v>41</v>
      </c>
      <c r="D376" t="s">
        <v>808</v>
      </c>
      <c r="E376">
        <v>-76.640958333333302</v>
      </c>
      <c r="F376" s="2" t="s">
        <v>809</v>
      </c>
      <c r="G376">
        <v>2372</v>
      </c>
      <c r="I376">
        <v>2024</v>
      </c>
      <c r="J376">
        <v>20</v>
      </c>
      <c r="K376">
        <v>3</v>
      </c>
      <c r="M376" t="s">
        <v>624</v>
      </c>
      <c r="N376" t="s">
        <v>31</v>
      </c>
      <c r="O376" t="s">
        <v>38</v>
      </c>
      <c r="P376" t="s">
        <v>734</v>
      </c>
      <c r="Q376" t="s">
        <v>74</v>
      </c>
      <c r="R376" t="s">
        <v>35</v>
      </c>
      <c r="S376" t="s">
        <v>41</v>
      </c>
      <c r="T376" t="s">
        <v>42</v>
      </c>
      <c r="U376" t="s">
        <v>238</v>
      </c>
      <c r="V376">
        <v>1</v>
      </c>
      <c r="Z376" t="s">
        <v>36</v>
      </c>
      <c r="AA376" t="s">
        <v>44</v>
      </c>
      <c r="AB376" t="s">
        <v>45</v>
      </c>
    </row>
    <row r="377" spans="1:28" hidden="1" x14ac:dyDescent="0.2">
      <c r="A377" s="1">
        <v>45582</v>
      </c>
      <c r="B377" s="1">
        <v>45582</v>
      </c>
      <c r="C377" t="s">
        <v>41</v>
      </c>
      <c r="D377" t="s">
        <v>810</v>
      </c>
      <c r="E377">
        <v>-76.640811666666593</v>
      </c>
      <c r="F377" s="2" t="s">
        <v>811</v>
      </c>
      <c r="G377">
        <v>2372</v>
      </c>
      <c r="I377">
        <v>2024</v>
      </c>
      <c r="J377">
        <v>20</v>
      </c>
      <c r="K377">
        <v>3</v>
      </c>
      <c r="M377" t="s">
        <v>624</v>
      </c>
      <c r="N377" t="s">
        <v>31</v>
      </c>
      <c r="O377" t="s">
        <v>38</v>
      </c>
      <c r="P377" t="s">
        <v>734</v>
      </c>
      <c r="Q377" t="s">
        <v>74</v>
      </c>
      <c r="R377" t="s">
        <v>35</v>
      </c>
      <c r="S377" t="s">
        <v>41</v>
      </c>
      <c r="T377" t="s">
        <v>42</v>
      </c>
      <c r="U377" t="s">
        <v>238</v>
      </c>
      <c r="V377">
        <v>1</v>
      </c>
      <c r="Z377" t="s">
        <v>36</v>
      </c>
      <c r="AA377" t="s">
        <v>44</v>
      </c>
      <c r="AB377" t="s">
        <v>45</v>
      </c>
    </row>
    <row r="378" spans="1:28" hidden="1" x14ac:dyDescent="0.2">
      <c r="A378" s="1">
        <v>45582</v>
      </c>
      <c r="B378" s="1">
        <v>45582</v>
      </c>
      <c r="C378" t="s">
        <v>41</v>
      </c>
      <c r="D378" t="s">
        <v>812</v>
      </c>
      <c r="E378">
        <v>-76.640543333333298</v>
      </c>
      <c r="F378" s="2" t="s">
        <v>813</v>
      </c>
      <c r="G378">
        <v>2372</v>
      </c>
      <c r="I378">
        <v>2024</v>
      </c>
      <c r="J378">
        <v>20</v>
      </c>
      <c r="K378">
        <v>3</v>
      </c>
      <c r="M378" t="s">
        <v>624</v>
      </c>
      <c r="N378" t="s">
        <v>31</v>
      </c>
      <c r="O378" t="s">
        <v>38</v>
      </c>
      <c r="P378" t="s">
        <v>734</v>
      </c>
      <c r="Q378" t="s">
        <v>74</v>
      </c>
      <c r="R378" t="s">
        <v>35</v>
      </c>
      <c r="S378" t="s">
        <v>41</v>
      </c>
      <c r="T378" t="s">
        <v>54</v>
      </c>
      <c r="U378" t="s">
        <v>238</v>
      </c>
      <c r="V378">
        <v>1</v>
      </c>
      <c r="W378" t="s">
        <v>814</v>
      </c>
      <c r="Z378" t="s">
        <v>36</v>
      </c>
      <c r="AA378" t="s">
        <v>44</v>
      </c>
      <c r="AB378" t="s">
        <v>45</v>
      </c>
    </row>
    <row r="379" spans="1:28" hidden="1" x14ac:dyDescent="0.2">
      <c r="A379" s="1">
        <v>45582</v>
      </c>
      <c r="B379" s="1">
        <v>45582</v>
      </c>
      <c r="C379" t="s">
        <v>41</v>
      </c>
      <c r="D379" t="s">
        <v>815</v>
      </c>
      <c r="E379">
        <v>-76.640569999999997</v>
      </c>
      <c r="F379" s="2" t="s">
        <v>816</v>
      </c>
      <c r="G379">
        <v>2372</v>
      </c>
      <c r="I379">
        <v>2024</v>
      </c>
      <c r="J379">
        <v>20</v>
      </c>
      <c r="K379">
        <v>3</v>
      </c>
      <c r="M379" t="s">
        <v>624</v>
      </c>
      <c r="N379" t="s">
        <v>31</v>
      </c>
      <c r="O379" t="s">
        <v>38</v>
      </c>
      <c r="P379" t="s">
        <v>734</v>
      </c>
      <c r="Q379" t="s">
        <v>74</v>
      </c>
      <c r="R379" t="s">
        <v>35</v>
      </c>
      <c r="S379" t="s">
        <v>41</v>
      </c>
      <c r="T379" t="s">
        <v>42</v>
      </c>
      <c r="U379" t="s">
        <v>238</v>
      </c>
      <c r="V379">
        <v>1</v>
      </c>
      <c r="Z379" t="s">
        <v>36</v>
      </c>
      <c r="AA379" t="s">
        <v>44</v>
      </c>
      <c r="AB379" t="s">
        <v>45</v>
      </c>
    </row>
    <row r="380" spans="1:28" hidden="1" x14ac:dyDescent="0.2">
      <c r="A380" s="1">
        <v>45582</v>
      </c>
      <c r="B380" s="1">
        <v>45582</v>
      </c>
      <c r="C380" t="s">
        <v>41</v>
      </c>
      <c r="D380" t="s">
        <v>817</v>
      </c>
      <c r="E380">
        <v>-76.640673333333297</v>
      </c>
      <c r="F380" s="2" t="s">
        <v>818</v>
      </c>
      <c r="G380">
        <v>2372</v>
      </c>
      <c r="I380">
        <v>2024</v>
      </c>
      <c r="J380">
        <v>20</v>
      </c>
      <c r="K380">
        <v>3</v>
      </c>
      <c r="M380" t="s">
        <v>624</v>
      </c>
      <c r="N380" t="s">
        <v>31</v>
      </c>
      <c r="O380" t="s">
        <v>38</v>
      </c>
      <c r="P380" t="s">
        <v>734</v>
      </c>
      <c r="Q380" t="s">
        <v>74</v>
      </c>
      <c r="R380" t="s">
        <v>35</v>
      </c>
      <c r="S380" t="s">
        <v>635</v>
      </c>
      <c r="T380" t="s">
        <v>54</v>
      </c>
      <c r="U380" t="s">
        <v>238</v>
      </c>
      <c r="V380">
        <v>1</v>
      </c>
      <c r="Z380" t="s">
        <v>36</v>
      </c>
      <c r="AA380" t="s">
        <v>44</v>
      </c>
      <c r="AB380" t="s">
        <v>45</v>
      </c>
    </row>
    <row r="381" spans="1:28" hidden="1" x14ac:dyDescent="0.2">
      <c r="A381" s="1">
        <v>45582</v>
      </c>
      <c r="B381" s="1">
        <v>45582</v>
      </c>
      <c r="C381" t="s">
        <v>41</v>
      </c>
      <c r="D381" t="s">
        <v>819</v>
      </c>
      <c r="E381">
        <v>-76.640526666666602</v>
      </c>
      <c r="F381">
        <v>3.3503500000000002</v>
      </c>
      <c r="G381">
        <v>2372</v>
      </c>
      <c r="I381">
        <v>2024</v>
      </c>
      <c r="J381">
        <v>20</v>
      </c>
      <c r="K381">
        <v>3</v>
      </c>
      <c r="M381" t="s">
        <v>624</v>
      </c>
      <c r="N381" t="s">
        <v>31</v>
      </c>
      <c r="O381" t="s">
        <v>38</v>
      </c>
      <c r="P381" t="s">
        <v>734</v>
      </c>
      <c r="Q381" t="s">
        <v>74</v>
      </c>
      <c r="R381" t="s">
        <v>35</v>
      </c>
      <c r="S381" t="s">
        <v>41</v>
      </c>
      <c r="T381" t="s">
        <v>54</v>
      </c>
      <c r="U381" t="s">
        <v>238</v>
      </c>
      <c r="V381">
        <v>1</v>
      </c>
      <c r="Z381" t="s">
        <v>36</v>
      </c>
      <c r="AA381" t="s">
        <v>44</v>
      </c>
      <c r="AB381" t="s">
        <v>45</v>
      </c>
    </row>
    <row r="382" spans="1:28" hidden="1" x14ac:dyDescent="0.2">
      <c r="A382" s="1">
        <v>45582</v>
      </c>
      <c r="B382" s="1">
        <v>45582</v>
      </c>
      <c r="C382" t="s">
        <v>41</v>
      </c>
      <c r="D382" t="s">
        <v>820</v>
      </c>
      <c r="E382">
        <v>-76.640313333333296</v>
      </c>
      <c r="F382" s="2" t="s">
        <v>821</v>
      </c>
      <c r="G382">
        <v>2372</v>
      </c>
      <c r="I382">
        <v>2024</v>
      </c>
      <c r="J382">
        <v>20</v>
      </c>
      <c r="K382">
        <v>3</v>
      </c>
      <c r="M382" t="s">
        <v>624</v>
      </c>
      <c r="N382" t="s">
        <v>31</v>
      </c>
      <c r="O382" t="s">
        <v>38</v>
      </c>
      <c r="P382" t="s">
        <v>734</v>
      </c>
      <c r="Q382" t="s">
        <v>74</v>
      </c>
      <c r="R382" t="s">
        <v>35</v>
      </c>
      <c r="S382" t="s">
        <v>635</v>
      </c>
      <c r="T382" t="s">
        <v>54</v>
      </c>
      <c r="U382" t="s">
        <v>238</v>
      </c>
      <c r="V382">
        <v>1</v>
      </c>
      <c r="Z382" t="s">
        <v>36</v>
      </c>
      <c r="AA382" t="s">
        <v>44</v>
      </c>
      <c r="AB382" t="s">
        <v>45</v>
      </c>
    </row>
    <row r="383" spans="1:28" hidden="1" x14ac:dyDescent="0.2">
      <c r="A383" s="1">
        <v>45582</v>
      </c>
      <c r="B383" s="1">
        <v>45582</v>
      </c>
      <c r="C383" t="s">
        <v>41</v>
      </c>
      <c r="D383" t="s">
        <v>822</v>
      </c>
      <c r="E383">
        <v>-76.640355</v>
      </c>
      <c r="F383">
        <v>3.3504049999999999</v>
      </c>
      <c r="G383">
        <v>2372</v>
      </c>
      <c r="I383">
        <v>2024</v>
      </c>
      <c r="J383">
        <v>20</v>
      </c>
      <c r="K383">
        <v>3</v>
      </c>
      <c r="M383" t="s">
        <v>624</v>
      </c>
      <c r="N383" t="s">
        <v>31</v>
      </c>
      <c r="O383" t="s">
        <v>38</v>
      </c>
      <c r="P383" t="s">
        <v>734</v>
      </c>
      <c r="Q383" t="s">
        <v>74</v>
      </c>
      <c r="R383" t="s">
        <v>35</v>
      </c>
      <c r="S383" t="s">
        <v>695</v>
      </c>
      <c r="T383" t="s">
        <v>54</v>
      </c>
      <c r="U383" t="s">
        <v>371</v>
      </c>
      <c r="V383">
        <v>1</v>
      </c>
      <c r="Z383" t="s">
        <v>36</v>
      </c>
      <c r="AA383" t="s">
        <v>44</v>
      </c>
      <c r="AB383" t="s">
        <v>66</v>
      </c>
    </row>
    <row r="384" spans="1:28" hidden="1" x14ac:dyDescent="0.2">
      <c r="A384" s="1">
        <v>45582</v>
      </c>
      <c r="B384" s="1">
        <v>45582</v>
      </c>
      <c r="C384" t="s">
        <v>41</v>
      </c>
      <c r="D384" t="s">
        <v>823</v>
      </c>
      <c r="E384">
        <v>-76.640316666666607</v>
      </c>
      <c r="F384" s="2" t="s">
        <v>824</v>
      </c>
      <c r="G384">
        <v>2372</v>
      </c>
      <c r="I384">
        <v>2024</v>
      </c>
      <c r="J384">
        <v>20</v>
      </c>
      <c r="K384">
        <v>3</v>
      </c>
      <c r="M384" t="s">
        <v>624</v>
      </c>
      <c r="N384" t="s">
        <v>31</v>
      </c>
      <c r="O384" t="s">
        <v>38</v>
      </c>
      <c r="P384" t="s">
        <v>734</v>
      </c>
      <c r="Q384" t="s">
        <v>86</v>
      </c>
      <c r="R384" t="s">
        <v>35</v>
      </c>
      <c r="S384" t="s">
        <v>635</v>
      </c>
      <c r="T384" t="s">
        <v>42</v>
      </c>
      <c r="U384" t="s">
        <v>238</v>
      </c>
      <c r="V384">
        <v>1</v>
      </c>
      <c r="Z384" t="s">
        <v>36</v>
      </c>
      <c r="AA384" t="s">
        <v>44</v>
      </c>
      <c r="AB384" t="s">
        <v>45</v>
      </c>
    </row>
    <row r="385" spans="1:28" hidden="1" x14ac:dyDescent="0.2">
      <c r="A385" s="1">
        <v>45582</v>
      </c>
      <c r="B385" s="1">
        <v>45582</v>
      </c>
      <c r="C385" t="s">
        <v>41</v>
      </c>
      <c r="D385" t="s">
        <v>825</v>
      </c>
      <c r="E385">
        <v>-76.640218333333294</v>
      </c>
      <c r="F385" s="2" t="s">
        <v>826</v>
      </c>
      <c r="G385">
        <v>2372</v>
      </c>
      <c r="I385">
        <v>2024</v>
      </c>
      <c r="J385">
        <v>20</v>
      </c>
      <c r="K385">
        <v>3</v>
      </c>
      <c r="M385" t="s">
        <v>624</v>
      </c>
      <c r="N385" t="s">
        <v>31</v>
      </c>
      <c r="O385" t="s">
        <v>38</v>
      </c>
      <c r="P385" t="s">
        <v>734</v>
      </c>
      <c r="Q385" t="s">
        <v>86</v>
      </c>
      <c r="R385" t="s">
        <v>35</v>
      </c>
      <c r="S385" t="s">
        <v>41</v>
      </c>
      <c r="T385" t="s">
        <v>54</v>
      </c>
      <c r="U385" t="s">
        <v>371</v>
      </c>
      <c r="V385">
        <v>3</v>
      </c>
      <c r="W385" t="s">
        <v>827</v>
      </c>
      <c r="Z385" t="s">
        <v>36</v>
      </c>
      <c r="AA385" t="s">
        <v>44</v>
      </c>
      <c r="AB385" t="s">
        <v>66</v>
      </c>
    </row>
    <row r="386" spans="1:28" hidden="1" x14ac:dyDescent="0.2">
      <c r="A386" s="1">
        <v>45581</v>
      </c>
      <c r="B386" s="1">
        <v>45581</v>
      </c>
      <c r="C386" t="s">
        <v>651</v>
      </c>
      <c r="D386" t="s">
        <v>828</v>
      </c>
      <c r="E386">
        <v>-76.725157752759699</v>
      </c>
      <c r="F386" s="2" t="s">
        <v>829</v>
      </c>
      <c r="G386">
        <v>1812</v>
      </c>
      <c r="H386">
        <v>2</v>
      </c>
      <c r="I386">
        <v>2024</v>
      </c>
      <c r="J386">
        <v>20</v>
      </c>
      <c r="K386">
        <v>0</v>
      </c>
      <c r="M386" t="s">
        <v>247</v>
      </c>
      <c r="N386" t="s">
        <v>31</v>
      </c>
      <c r="O386" t="s">
        <v>40</v>
      </c>
      <c r="P386" t="s">
        <v>340</v>
      </c>
      <c r="Q386" t="s">
        <v>34</v>
      </c>
      <c r="R386" t="s">
        <v>105</v>
      </c>
      <c r="U386" t="s">
        <v>36</v>
      </c>
      <c r="V386">
        <v>0</v>
      </c>
      <c r="Z386" t="s">
        <v>36</v>
      </c>
    </row>
    <row r="387" spans="1:28" hidden="1" x14ac:dyDescent="0.2">
      <c r="A387" s="1">
        <v>45581</v>
      </c>
      <c r="B387" s="1">
        <v>45581</v>
      </c>
      <c r="C387" t="s">
        <v>651</v>
      </c>
      <c r="D387" t="s">
        <v>830</v>
      </c>
      <c r="E387">
        <v>-76.722479793827603</v>
      </c>
      <c r="F387" s="2" t="s">
        <v>831</v>
      </c>
      <c r="G387">
        <v>1837</v>
      </c>
      <c r="H387">
        <v>0</v>
      </c>
      <c r="I387">
        <v>2024</v>
      </c>
      <c r="J387">
        <v>17</v>
      </c>
      <c r="K387">
        <v>5</v>
      </c>
      <c r="M387" t="s">
        <v>247</v>
      </c>
      <c r="N387" t="s">
        <v>31</v>
      </c>
      <c r="O387" t="s">
        <v>40</v>
      </c>
      <c r="P387" t="s">
        <v>340</v>
      </c>
      <c r="Q387" t="s">
        <v>34</v>
      </c>
      <c r="R387" t="s">
        <v>35</v>
      </c>
      <c r="U387" t="s">
        <v>36</v>
      </c>
      <c r="V387">
        <v>0</v>
      </c>
      <c r="Z387" t="s">
        <v>36</v>
      </c>
    </row>
    <row r="388" spans="1:28" hidden="1" x14ac:dyDescent="0.2">
      <c r="A388" s="1">
        <v>45581</v>
      </c>
      <c r="B388" s="1">
        <v>45581</v>
      </c>
      <c r="C388" t="s">
        <v>651</v>
      </c>
      <c r="D388" t="s">
        <v>832</v>
      </c>
      <c r="E388">
        <v>-76.722748294870399</v>
      </c>
      <c r="F388" s="2" t="s">
        <v>833</v>
      </c>
      <c r="G388">
        <v>2133</v>
      </c>
      <c r="H388">
        <v>0</v>
      </c>
      <c r="I388">
        <v>2024</v>
      </c>
      <c r="J388">
        <v>25</v>
      </c>
      <c r="K388">
        <v>10</v>
      </c>
      <c r="M388" t="s">
        <v>247</v>
      </c>
      <c r="N388" t="s">
        <v>31</v>
      </c>
      <c r="O388" t="s">
        <v>38</v>
      </c>
      <c r="P388" t="s">
        <v>280</v>
      </c>
      <c r="Q388" t="s">
        <v>86</v>
      </c>
      <c r="R388" t="s">
        <v>412</v>
      </c>
      <c r="S388" t="s">
        <v>666</v>
      </c>
      <c r="T388" t="s">
        <v>54</v>
      </c>
      <c r="U388" t="s">
        <v>88</v>
      </c>
      <c r="V388">
        <v>1</v>
      </c>
      <c r="Z388" t="s">
        <v>36</v>
      </c>
      <c r="AA388" t="s">
        <v>65</v>
      </c>
      <c r="AB388" t="s">
        <v>45</v>
      </c>
    </row>
    <row r="389" spans="1:28" hidden="1" x14ac:dyDescent="0.2">
      <c r="A389" s="1">
        <v>45581</v>
      </c>
      <c r="B389" s="1">
        <v>45581</v>
      </c>
      <c r="C389" t="s">
        <v>651</v>
      </c>
      <c r="D389" t="s">
        <v>834</v>
      </c>
      <c r="E389">
        <v>-76.722530243459204</v>
      </c>
      <c r="F389" s="2" t="s">
        <v>835</v>
      </c>
      <c r="G389">
        <v>2133</v>
      </c>
      <c r="H389">
        <v>0</v>
      </c>
      <c r="I389">
        <v>2024</v>
      </c>
      <c r="J389">
        <v>25</v>
      </c>
      <c r="K389">
        <v>10</v>
      </c>
      <c r="M389" t="s">
        <v>247</v>
      </c>
      <c r="N389" t="s">
        <v>31</v>
      </c>
      <c r="O389" t="s">
        <v>38</v>
      </c>
      <c r="P389" t="s">
        <v>280</v>
      </c>
      <c r="Q389" t="s">
        <v>86</v>
      </c>
      <c r="R389" t="s">
        <v>412</v>
      </c>
      <c r="S389" t="s">
        <v>666</v>
      </c>
      <c r="T389" t="s">
        <v>91</v>
      </c>
      <c r="U389" t="s">
        <v>316</v>
      </c>
      <c r="V389">
        <v>1</v>
      </c>
      <c r="Z389" t="s">
        <v>36</v>
      </c>
      <c r="AA389" t="s">
        <v>44</v>
      </c>
    </row>
    <row r="390" spans="1:28" hidden="1" x14ac:dyDescent="0.2">
      <c r="A390" s="1">
        <v>45581</v>
      </c>
      <c r="B390" s="1">
        <v>45581</v>
      </c>
      <c r="C390" t="s">
        <v>651</v>
      </c>
      <c r="D390" t="s">
        <v>836</v>
      </c>
      <c r="E390">
        <v>-76.722508066503707</v>
      </c>
      <c r="F390" s="2" t="s">
        <v>837</v>
      </c>
      <c r="G390">
        <v>2133</v>
      </c>
      <c r="H390">
        <v>0</v>
      </c>
      <c r="I390">
        <v>2024</v>
      </c>
      <c r="J390">
        <v>25</v>
      </c>
      <c r="K390">
        <v>10</v>
      </c>
      <c r="M390" t="s">
        <v>247</v>
      </c>
      <c r="N390" t="s">
        <v>31</v>
      </c>
      <c r="O390" t="s">
        <v>38</v>
      </c>
      <c r="P390" t="s">
        <v>280</v>
      </c>
      <c r="Q390" t="s">
        <v>86</v>
      </c>
      <c r="R390" t="s">
        <v>412</v>
      </c>
      <c r="S390" t="s">
        <v>666</v>
      </c>
      <c r="T390" t="s">
        <v>91</v>
      </c>
      <c r="U390" t="s">
        <v>88</v>
      </c>
      <c r="V390">
        <v>1</v>
      </c>
      <c r="Z390" t="s">
        <v>36</v>
      </c>
      <c r="AA390" t="s">
        <v>160</v>
      </c>
    </row>
    <row r="391" spans="1:28" hidden="1" x14ac:dyDescent="0.2">
      <c r="A391" s="1">
        <v>45581</v>
      </c>
      <c r="B391" s="1">
        <v>45581</v>
      </c>
      <c r="C391" t="s">
        <v>651</v>
      </c>
      <c r="D391" t="s">
        <v>838</v>
      </c>
      <c r="E391">
        <v>-76.722412361777202</v>
      </c>
      <c r="F391" s="2" t="s">
        <v>839</v>
      </c>
      <c r="G391">
        <v>2133</v>
      </c>
      <c r="H391">
        <v>0</v>
      </c>
      <c r="I391">
        <v>2024</v>
      </c>
      <c r="J391">
        <v>25</v>
      </c>
      <c r="K391">
        <v>10</v>
      </c>
      <c r="M391" t="s">
        <v>247</v>
      </c>
      <c r="N391" t="s">
        <v>31</v>
      </c>
      <c r="O391" t="s">
        <v>38</v>
      </c>
      <c r="P391" t="s">
        <v>280</v>
      </c>
      <c r="Q391" t="s">
        <v>86</v>
      </c>
      <c r="R391" t="s">
        <v>412</v>
      </c>
      <c r="S391" t="s">
        <v>651</v>
      </c>
      <c r="T391" t="s">
        <v>54</v>
      </c>
      <c r="U391" t="s">
        <v>293</v>
      </c>
      <c r="V391">
        <v>1</v>
      </c>
      <c r="Z391" t="s">
        <v>36</v>
      </c>
      <c r="AB391" t="s">
        <v>45</v>
      </c>
    </row>
    <row r="392" spans="1:28" hidden="1" x14ac:dyDescent="0.2">
      <c r="A392" s="1">
        <v>45581</v>
      </c>
      <c r="B392" s="1">
        <v>45581</v>
      </c>
      <c r="C392" t="s">
        <v>651</v>
      </c>
      <c r="D392" t="s">
        <v>840</v>
      </c>
      <c r="E392">
        <v>-76.722367395823198</v>
      </c>
      <c r="F392" s="2" t="s">
        <v>841</v>
      </c>
      <c r="G392">
        <v>2133</v>
      </c>
      <c r="H392">
        <v>0</v>
      </c>
      <c r="I392">
        <v>2024</v>
      </c>
      <c r="J392">
        <v>25</v>
      </c>
      <c r="K392">
        <v>10</v>
      </c>
      <c r="M392" t="s">
        <v>247</v>
      </c>
      <c r="N392" t="s">
        <v>31</v>
      </c>
      <c r="O392" t="s">
        <v>38</v>
      </c>
      <c r="P392" t="s">
        <v>280</v>
      </c>
      <c r="Q392" t="s">
        <v>86</v>
      </c>
      <c r="R392" t="s">
        <v>412</v>
      </c>
      <c r="S392" t="s">
        <v>651</v>
      </c>
      <c r="T392" t="s">
        <v>91</v>
      </c>
      <c r="U392" t="s">
        <v>88</v>
      </c>
      <c r="V392">
        <v>2</v>
      </c>
      <c r="Z392" t="s">
        <v>36</v>
      </c>
      <c r="AB392" t="s">
        <v>45</v>
      </c>
    </row>
    <row r="393" spans="1:28" hidden="1" x14ac:dyDescent="0.2">
      <c r="A393" s="1">
        <v>45581</v>
      </c>
      <c r="B393" s="1">
        <v>45581</v>
      </c>
      <c r="C393" t="s">
        <v>651</v>
      </c>
      <c r="D393" t="s">
        <v>842</v>
      </c>
      <c r="E393">
        <v>-76.726517419036497</v>
      </c>
      <c r="F393" s="2" t="s">
        <v>843</v>
      </c>
      <c r="G393">
        <v>1792</v>
      </c>
      <c r="H393">
        <v>2</v>
      </c>
      <c r="I393">
        <v>2024</v>
      </c>
      <c r="J393">
        <v>15</v>
      </c>
      <c r="K393">
        <v>0</v>
      </c>
      <c r="M393" t="s">
        <v>247</v>
      </c>
      <c r="N393" t="s">
        <v>31</v>
      </c>
      <c r="O393" t="s">
        <v>32</v>
      </c>
      <c r="P393" t="s">
        <v>340</v>
      </c>
      <c r="Q393" t="s">
        <v>34</v>
      </c>
      <c r="R393" t="s">
        <v>105</v>
      </c>
      <c r="S393" t="s">
        <v>666</v>
      </c>
      <c r="T393" t="s">
        <v>54</v>
      </c>
      <c r="U393" t="s">
        <v>238</v>
      </c>
      <c r="V393">
        <v>1</v>
      </c>
      <c r="Z393" t="s">
        <v>36</v>
      </c>
      <c r="AA393" t="s">
        <v>44</v>
      </c>
      <c r="AB393" t="s">
        <v>45</v>
      </c>
    </row>
    <row r="394" spans="1:28" hidden="1" x14ac:dyDescent="0.2">
      <c r="A394" s="1">
        <v>45581</v>
      </c>
      <c r="B394" s="1">
        <v>45581</v>
      </c>
      <c r="C394" t="s">
        <v>651</v>
      </c>
      <c r="D394" t="s">
        <v>844</v>
      </c>
      <c r="E394">
        <v>-76.721826795694994</v>
      </c>
      <c r="F394" s="2" t="s">
        <v>845</v>
      </c>
      <c r="G394">
        <v>1824</v>
      </c>
      <c r="H394">
        <v>0</v>
      </c>
      <c r="I394">
        <v>2024</v>
      </c>
      <c r="J394">
        <v>15</v>
      </c>
      <c r="K394">
        <v>2</v>
      </c>
      <c r="M394" t="s">
        <v>247</v>
      </c>
      <c r="N394" t="s">
        <v>31</v>
      </c>
      <c r="O394" t="s">
        <v>32</v>
      </c>
      <c r="P394" t="s">
        <v>340</v>
      </c>
      <c r="Q394" t="s">
        <v>34</v>
      </c>
      <c r="R394" t="s">
        <v>35</v>
      </c>
      <c r="U394" t="s">
        <v>36</v>
      </c>
      <c r="V394">
        <v>0</v>
      </c>
      <c r="W394" t="s">
        <v>846</v>
      </c>
    </row>
    <row r="395" spans="1:28" hidden="1" x14ac:dyDescent="0.2">
      <c r="A395" s="1">
        <v>45581</v>
      </c>
      <c r="B395" s="1">
        <v>45581</v>
      </c>
      <c r="C395" t="s">
        <v>651</v>
      </c>
      <c r="D395" t="s">
        <v>847</v>
      </c>
      <c r="E395">
        <v>-76.7222675428293</v>
      </c>
      <c r="F395" s="2" t="s">
        <v>848</v>
      </c>
      <c r="G395">
        <v>2130</v>
      </c>
      <c r="H395">
        <v>0</v>
      </c>
      <c r="I395">
        <v>2024</v>
      </c>
      <c r="J395">
        <v>25</v>
      </c>
      <c r="K395">
        <v>25</v>
      </c>
      <c r="M395" t="s">
        <v>247</v>
      </c>
      <c r="N395" t="s">
        <v>31</v>
      </c>
      <c r="O395" t="s">
        <v>32</v>
      </c>
      <c r="P395" t="s">
        <v>280</v>
      </c>
      <c r="Q395" t="s">
        <v>86</v>
      </c>
      <c r="R395" t="s">
        <v>412</v>
      </c>
      <c r="S395" t="s">
        <v>666</v>
      </c>
      <c r="T395" t="s">
        <v>91</v>
      </c>
      <c r="U395" t="s">
        <v>316</v>
      </c>
      <c r="V395">
        <v>1</v>
      </c>
      <c r="Z395" t="s">
        <v>36</v>
      </c>
      <c r="AA395" t="s">
        <v>44</v>
      </c>
      <c r="AB395" t="s">
        <v>45</v>
      </c>
    </row>
    <row r="396" spans="1:28" hidden="1" x14ac:dyDescent="0.2">
      <c r="A396" s="1">
        <v>45581</v>
      </c>
      <c r="B396" s="1">
        <v>45581</v>
      </c>
      <c r="C396" t="s">
        <v>651</v>
      </c>
      <c r="D396" t="s">
        <v>849</v>
      </c>
      <c r="E396">
        <v>-76.722247881351606</v>
      </c>
      <c r="F396" s="2" t="s">
        <v>850</v>
      </c>
      <c r="G396">
        <v>2130</v>
      </c>
      <c r="H396">
        <v>0</v>
      </c>
      <c r="I396">
        <v>2024</v>
      </c>
      <c r="J396">
        <v>25</v>
      </c>
      <c r="K396">
        <v>25</v>
      </c>
      <c r="M396" t="s">
        <v>247</v>
      </c>
      <c r="N396" t="s">
        <v>31</v>
      </c>
      <c r="O396" t="s">
        <v>32</v>
      </c>
      <c r="P396" t="s">
        <v>280</v>
      </c>
      <c r="Q396" t="s">
        <v>86</v>
      </c>
      <c r="R396" t="s">
        <v>412</v>
      </c>
      <c r="S396" t="s">
        <v>666</v>
      </c>
      <c r="T396" t="s">
        <v>91</v>
      </c>
      <c r="U396" t="s">
        <v>316</v>
      </c>
      <c r="V396">
        <v>2</v>
      </c>
      <c r="Z396" t="s">
        <v>36</v>
      </c>
      <c r="AA396" t="s">
        <v>44</v>
      </c>
      <c r="AB396" t="s">
        <v>45</v>
      </c>
    </row>
    <row r="397" spans="1:28" hidden="1" x14ac:dyDescent="0.2">
      <c r="A397" s="1">
        <v>45581</v>
      </c>
      <c r="B397" s="1">
        <v>45581</v>
      </c>
      <c r="C397" t="s">
        <v>651</v>
      </c>
      <c r="D397" t="s">
        <v>851</v>
      </c>
      <c r="E397">
        <v>-76.722251732743899</v>
      </c>
      <c r="F397" s="2" t="s">
        <v>852</v>
      </c>
      <c r="G397">
        <v>2130</v>
      </c>
      <c r="H397">
        <v>0</v>
      </c>
      <c r="I397">
        <v>2024</v>
      </c>
      <c r="J397">
        <v>25</v>
      </c>
      <c r="K397">
        <v>25</v>
      </c>
      <c r="M397" t="s">
        <v>247</v>
      </c>
      <c r="N397" t="s">
        <v>31</v>
      </c>
      <c r="O397" t="s">
        <v>32</v>
      </c>
      <c r="P397" t="s">
        <v>280</v>
      </c>
      <c r="Q397" t="s">
        <v>86</v>
      </c>
      <c r="R397" t="s">
        <v>412</v>
      </c>
      <c r="S397" t="s">
        <v>666</v>
      </c>
      <c r="T397" t="s">
        <v>54</v>
      </c>
      <c r="U397" t="s">
        <v>88</v>
      </c>
      <c r="V397">
        <v>1</v>
      </c>
      <c r="Z397" t="s">
        <v>36</v>
      </c>
      <c r="AA397" t="s">
        <v>44</v>
      </c>
      <c r="AB397" t="s">
        <v>45</v>
      </c>
    </row>
    <row r="398" spans="1:28" hidden="1" x14ac:dyDescent="0.2">
      <c r="A398" s="1">
        <v>45581</v>
      </c>
      <c r="B398" s="1">
        <v>45581</v>
      </c>
      <c r="C398" t="s">
        <v>651</v>
      </c>
      <c r="D398" t="s">
        <v>853</v>
      </c>
      <c r="E398">
        <v>-76.722251851372405</v>
      </c>
      <c r="F398" s="2" t="s">
        <v>854</v>
      </c>
      <c r="G398">
        <v>2130</v>
      </c>
      <c r="H398">
        <v>0</v>
      </c>
      <c r="I398">
        <v>2024</v>
      </c>
      <c r="J398">
        <v>25</v>
      </c>
      <c r="K398">
        <v>25</v>
      </c>
      <c r="M398" t="s">
        <v>247</v>
      </c>
      <c r="N398" t="s">
        <v>31</v>
      </c>
      <c r="O398" t="s">
        <v>32</v>
      </c>
      <c r="P398" t="s">
        <v>280</v>
      </c>
      <c r="Q398" t="s">
        <v>86</v>
      </c>
      <c r="R398" t="s">
        <v>412</v>
      </c>
      <c r="S398" t="s">
        <v>666</v>
      </c>
      <c r="T398" t="s">
        <v>91</v>
      </c>
      <c r="U398" t="s">
        <v>88</v>
      </c>
      <c r="V398">
        <v>1</v>
      </c>
      <c r="Z398" t="s">
        <v>36</v>
      </c>
      <c r="AA398" t="s">
        <v>44</v>
      </c>
      <c r="AB398" t="s">
        <v>45</v>
      </c>
    </row>
    <row r="399" spans="1:28" hidden="1" x14ac:dyDescent="0.2">
      <c r="A399" s="1">
        <v>45581</v>
      </c>
      <c r="B399" s="1">
        <v>45581</v>
      </c>
      <c r="C399" t="s">
        <v>651</v>
      </c>
      <c r="D399" t="s">
        <v>855</v>
      </c>
      <c r="E399">
        <v>-76.722289015807405</v>
      </c>
      <c r="F399" s="2" t="s">
        <v>856</v>
      </c>
      <c r="G399">
        <v>2130</v>
      </c>
      <c r="H399">
        <v>0</v>
      </c>
      <c r="I399">
        <v>2024</v>
      </c>
      <c r="J399">
        <v>25</v>
      </c>
      <c r="K399">
        <v>25</v>
      </c>
      <c r="M399" t="s">
        <v>247</v>
      </c>
      <c r="N399" t="s">
        <v>31</v>
      </c>
      <c r="O399" t="s">
        <v>32</v>
      </c>
      <c r="P399" t="s">
        <v>280</v>
      </c>
      <c r="Q399" t="s">
        <v>86</v>
      </c>
      <c r="R399" t="s">
        <v>412</v>
      </c>
      <c r="S399" t="s">
        <v>666</v>
      </c>
      <c r="T399" t="s">
        <v>54</v>
      </c>
      <c r="U399" t="s">
        <v>88</v>
      </c>
      <c r="V399">
        <v>1</v>
      </c>
      <c r="Z399" t="s">
        <v>36</v>
      </c>
      <c r="AA399" t="s">
        <v>44</v>
      </c>
    </row>
    <row r="400" spans="1:28" hidden="1" x14ac:dyDescent="0.2">
      <c r="A400" s="1">
        <v>45581</v>
      </c>
      <c r="B400" s="1">
        <v>45581</v>
      </c>
      <c r="C400" t="s">
        <v>651</v>
      </c>
      <c r="D400" t="s">
        <v>855</v>
      </c>
      <c r="E400">
        <v>-76.722289015807405</v>
      </c>
      <c r="F400" s="2" t="s">
        <v>856</v>
      </c>
      <c r="G400">
        <v>2130</v>
      </c>
      <c r="H400">
        <v>0</v>
      </c>
      <c r="I400">
        <v>2024</v>
      </c>
      <c r="J400">
        <v>25</v>
      </c>
      <c r="K400">
        <v>25</v>
      </c>
      <c r="M400" t="s">
        <v>247</v>
      </c>
      <c r="N400" t="s">
        <v>31</v>
      </c>
      <c r="O400" t="s">
        <v>32</v>
      </c>
      <c r="P400" t="s">
        <v>280</v>
      </c>
      <c r="Q400" t="s">
        <v>86</v>
      </c>
      <c r="R400" t="s">
        <v>412</v>
      </c>
      <c r="S400" t="s">
        <v>651</v>
      </c>
      <c r="T400" t="s">
        <v>54</v>
      </c>
      <c r="U400" t="s">
        <v>313</v>
      </c>
      <c r="V400">
        <v>1</v>
      </c>
      <c r="Z400" t="s">
        <v>36</v>
      </c>
      <c r="AA400" t="s">
        <v>44</v>
      </c>
      <c r="AB400" t="s">
        <v>45</v>
      </c>
    </row>
    <row r="401" spans="1:28" hidden="1" x14ac:dyDescent="0.2">
      <c r="A401" s="1">
        <v>45581</v>
      </c>
      <c r="B401" s="1">
        <v>45581</v>
      </c>
      <c r="C401" t="s">
        <v>651</v>
      </c>
      <c r="D401" t="s">
        <v>855</v>
      </c>
      <c r="E401">
        <v>-76.722289015807405</v>
      </c>
      <c r="F401" s="2" t="s">
        <v>856</v>
      </c>
      <c r="G401">
        <v>2130</v>
      </c>
      <c r="H401">
        <v>0</v>
      </c>
      <c r="I401">
        <v>2024</v>
      </c>
      <c r="J401">
        <v>25</v>
      </c>
      <c r="K401">
        <v>25</v>
      </c>
      <c r="M401" t="s">
        <v>247</v>
      </c>
      <c r="N401" t="s">
        <v>31</v>
      </c>
      <c r="O401" t="s">
        <v>32</v>
      </c>
      <c r="P401" t="s">
        <v>280</v>
      </c>
      <c r="Q401" t="s">
        <v>86</v>
      </c>
      <c r="R401" t="s">
        <v>412</v>
      </c>
      <c r="S401" t="s">
        <v>666</v>
      </c>
      <c r="T401" t="s">
        <v>91</v>
      </c>
      <c r="U401" t="s">
        <v>316</v>
      </c>
      <c r="V401">
        <v>1</v>
      </c>
      <c r="Z401" t="s">
        <v>36</v>
      </c>
      <c r="AA401" t="s">
        <v>44</v>
      </c>
      <c r="AB401" t="s">
        <v>45</v>
      </c>
    </row>
    <row r="402" spans="1:28" hidden="1" x14ac:dyDescent="0.2">
      <c r="A402" s="1">
        <v>45581</v>
      </c>
      <c r="B402" s="1">
        <v>45581</v>
      </c>
      <c r="C402" t="s">
        <v>651</v>
      </c>
      <c r="D402" t="s">
        <v>857</v>
      </c>
      <c r="E402">
        <v>-76.722325825944196</v>
      </c>
      <c r="F402" s="2" t="s">
        <v>858</v>
      </c>
      <c r="G402">
        <v>2130</v>
      </c>
      <c r="H402">
        <v>0</v>
      </c>
      <c r="I402">
        <v>2024</v>
      </c>
      <c r="J402">
        <v>25</v>
      </c>
      <c r="K402">
        <v>25</v>
      </c>
      <c r="M402" t="s">
        <v>247</v>
      </c>
      <c r="N402" t="s">
        <v>31</v>
      </c>
      <c r="O402" t="s">
        <v>32</v>
      </c>
      <c r="P402" t="s">
        <v>280</v>
      </c>
      <c r="Q402" t="s">
        <v>86</v>
      </c>
      <c r="R402" t="s">
        <v>412</v>
      </c>
      <c r="S402" t="s">
        <v>666</v>
      </c>
      <c r="T402" t="s">
        <v>91</v>
      </c>
      <c r="U402" t="s">
        <v>88</v>
      </c>
      <c r="V402">
        <v>1</v>
      </c>
      <c r="Z402" t="s">
        <v>36</v>
      </c>
      <c r="AA402" t="s">
        <v>44</v>
      </c>
      <c r="AB402" t="s">
        <v>45</v>
      </c>
    </row>
    <row r="403" spans="1:28" hidden="1" x14ac:dyDescent="0.2">
      <c r="A403" s="1">
        <v>45581</v>
      </c>
      <c r="B403" s="1">
        <v>45581</v>
      </c>
      <c r="C403" t="s">
        <v>651</v>
      </c>
      <c r="D403" t="s">
        <v>859</v>
      </c>
      <c r="E403">
        <v>-76.722310885278901</v>
      </c>
      <c r="F403" s="2" t="s">
        <v>860</v>
      </c>
      <c r="G403">
        <v>2130</v>
      </c>
      <c r="H403">
        <v>0</v>
      </c>
      <c r="I403">
        <v>2024</v>
      </c>
      <c r="J403">
        <v>25</v>
      </c>
      <c r="K403">
        <v>25</v>
      </c>
      <c r="M403" t="s">
        <v>247</v>
      </c>
      <c r="N403" t="s">
        <v>31</v>
      </c>
      <c r="O403" t="s">
        <v>32</v>
      </c>
      <c r="P403" t="s">
        <v>280</v>
      </c>
      <c r="Q403" t="s">
        <v>86</v>
      </c>
      <c r="R403" t="s">
        <v>412</v>
      </c>
      <c r="S403" t="s">
        <v>651</v>
      </c>
      <c r="T403" t="s">
        <v>54</v>
      </c>
      <c r="U403" t="s">
        <v>88</v>
      </c>
      <c r="V403">
        <v>1</v>
      </c>
      <c r="Z403" t="s">
        <v>36</v>
      </c>
      <c r="AA403" t="s">
        <v>44</v>
      </c>
      <c r="AB403" t="s">
        <v>45</v>
      </c>
    </row>
    <row r="404" spans="1:28" hidden="1" x14ac:dyDescent="0.2">
      <c r="A404" s="1">
        <v>45581</v>
      </c>
      <c r="B404" s="1">
        <v>45581</v>
      </c>
      <c r="C404" t="s">
        <v>651</v>
      </c>
      <c r="D404" t="s">
        <v>861</v>
      </c>
      <c r="E404">
        <v>-76.722322654868194</v>
      </c>
      <c r="F404" s="2" t="s">
        <v>862</v>
      </c>
      <c r="G404">
        <v>2130</v>
      </c>
      <c r="H404">
        <v>0</v>
      </c>
      <c r="I404">
        <v>2024</v>
      </c>
      <c r="J404">
        <v>25</v>
      </c>
      <c r="K404">
        <v>25</v>
      </c>
      <c r="M404" t="s">
        <v>247</v>
      </c>
      <c r="N404" t="s">
        <v>31</v>
      </c>
      <c r="O404" t="s">
        <v>32</v>
      </c>
      <c r="P404" t="s">
        <v>280</v>
      </c>
      <c r="Q404" t="s">
        <v>86</v>
      </c>
      <c r="R404" t="s">
        <v>412</v>
      </c>
      <c r="S404" t="s">
        <v>651</v>
      </c>
      <c r="T404" t="s">
        <v>54</v>
      </c>
      <c r="U404" t="s">
        <v>316</v>
      </c>
      <c r="V404">
        <v>1</v>
      </c>
      <c r="Z404" t="s">
        <v>36</v>
      </c>
      <c r="AA404" t="s">
        <v>44</v>
      </c>
      <c r="AB404" t="s">
        <v>45</v>
      </c>
    </row>
    <row r="405" spans="1:28" hidden="1" x14ac:dyDescent="0.2">
      <c r="A405" s="1">
        <v>45581</v>
      </c>
      <c r="B405" s="1">
        <v>45581</v>
      </c>
      <c r="C405" t="s">
        <v>651</v>
      </c>
      <c r="D405" t="s">
        <v>863</v>
      </c>
      <c r="E405">
        <v>-76.722309551861997</v>
      </c>
      <c r="F405" s="2" t="s">
        <v>864</v>
      </c>
      <c r="G405">
        <v>2130</v>
      </c>
      <c r="H405">
        <v>0</v>
      </c>
      <c r="I405">
        <v>2024</v>
      </c>
      <c r="J405">
        <v>25</v>
      </c>
      <c r="K405">
        <v>25</v>
      </c>
      <c r="M405" t="s">
        <v>247</v>
      </c>
      <c r="N405" t="s">
        <v>31</v>
      </c>
      <c r="O405" t="s">
        <v>32</v>
      </c>
      <c r="P405" t="s">
        <v>280</v>
      </c>
      <c r="Q405" t="s">
        <v>86</v>
      </c>
      <c r="R405" t="s">
        <v>412</v>
      </c>
      <c r="S405" t="s">
        <v>666</v>
      </c>
      <c r="T405" t="s">
        <v>91</v>
      </c>
      <c r="U405" t="s">
        <v>316</v>
      </c>
      <c r="V405">
        <v>1</v>
      </c>
      <c r="Z405" t="s">
        <v>36</v>
      </c>
      <c r="AA405" t="s">
        <v>44</v>
      </c>
      <c r="AB405" t="s">
        <v>45</v>
      </c>
    </row>
    <row r="406" spans="1:28" hidden="1" x14ac:dyDescent="0.2">
      <c r="A406" s="1">
        <v>45581</v>
      </c>
      <c r="B406" s="1">
        <v>45581</v>
      </c>
      <c r="C406" t="s">
        <v>651</v>
      </c>
      <c r="D406" t="s">
        <v>863</v>
      </c>
      <c r="E406">
        <v>-76.722309551861997</v>
      </c>
      <c r="F406" s="2" t="s">
        <v>864</v>
      </c>
      <c r="G406">
        <v>2130</v>
      </c>
      <c r="H406">
        <v>0</v>
      </c>
      <c r="I406">
        <v>2024</v>
      </c>
      <c r="J406">
        <v>25</v>
      </c>
      <c r="K406">
        <v>25</v>
      </c>
      <c r="M406" t="s">
        <v>247</v>
      </c>
      <c r="N406" t="s">
        <v>31</v>
      </c>
      <c r="O406" t="s">
        <v>32</v>
      </c>
      <c r="P406" t="s">
        <v>280</v>
      </c>
      <c r="Q406" t="s">
        <v>86</v>
      </c>
      <c r="R406" t="s">
        <v>412</v>
      </c>
      <c r="S406" t="s">
        <v>651</v>
      </c>
      <c r="T406" t="s">
        <v>54</v>
      </c>
      <c r="U406" t="s">
        <v>88</v>
      </c>
      <c r="V406">
        <v>1</v>
      </c>
      <c r="Z406" t="s">
        <v>36</v>
      </c>
      <c r="AA406" t="s">
        <v>44</v>
      </c>
      <c r="AB406" t="s">
        <v>45</v>
      </c>
    </row>
    <row r="407" spans="1:28" hidden="1" x14ac:dyDescent="0.2">
      <c r="A407" s="1">
        <v>45581</v>
      </c>
      <c r="B407" s="1">
        <v>45581</v>
      </c>
      <c r="C407" t="s">
        <v>651</v>
      </c>
      <c r="D407" t="s">
        <v>865</v>
      </c>
      <c r="E407">
        <v>-76.725924508917103</v>
      </c>
      <c r="F407" s="2" t="s">
        <v>866</v>
      </c>
      <c r="G407">
        <v>1803</v>
      </c>
      <c r="H407">
        <v>2</v>
      </c>
      <c r="I407">
        <v>2024</v>
      </c>
      <c r="J407">
        <v>20</v>
      </c>
      <c r="K407">
        <v>0</v>
      </c>
      <c r="M407" t="s">
        <v>247</v>
      </c>
      <c r="N407" t="s">
        <v>31</v>
      </c>
      <c r="O407" t="s">
        <v>38</v>
      </c>
      <c r="P407" t="s">
        <v>340</v>
      </c>
      <c r="Q407" t="s">
        <v>34</v>
      </c>
      <c r="R407" t="s">
        <v>105</v>
      </c>
      <c r="U407" t="s">
        <v>36</v>
      </c>
      <c r="V407">
        <v>0</v>
      </c>
      <c r="Z407" t="s">
        <v>36</v>
      </c>
    </row>
    <row r="408" spans="1:28" hidden="1" x14ac:dyDescent="0.2">
      <c r="A408" s="1">
        <v>45581</v>
      </c>
      <c r="B408" s="1">
        <v>45581</v>
      </c>
      <c r="C408" t="s">
        <v>651</v>
      </c>
      <c r="D408" t="s">
        <v>867</v>
      </c>
      <c r="E408">
        <v>-76.722043095711797</v>
      </c>
      <c r="F408" s="2" t="s">
        <v>868</v>
      </c>
      <c r="G408">
        <v>1832</v>
      </c>
      <c r="H408">
        <v>0</v>
      </c>
      <c r="I408">
        <v>2024</v>
      </c>
      <c r="J408">
        <v>15</v>
      </c>
      <c r="K408">
        <v>5</v>
      </c>
      <c r="M408" t="s">
        <v>247</v>
      </c>
      <c r="N408" t="s">
        <v>31</v>
      </c>
      <c r="O408" t="s">
        <v>38</v>
      </c>
      <c r="P408" t="s">
        <v>340</v>
      </c>
      <c r="Q408" t="s">
        <v>34</v>
      </c>
      <c r="R408" t="s">
        <v>35</v>
      </c>
      <c r="U408" t="s">
        <v>36</v>
      </c>
      <c r="V408">
        <v>0</v>
      </c>
      <c r="Z408" t="s">
        <v>36</v>
      </c>
    </row>
    <row r="409" spans="1:28" hidden="1" x14ac:dyDescent="0.2">
      <c r="A409" s="1">
        <v>45581</v>
      </c>
      <c r="B409" s="1">
        <v>45581</v>
      </c>
      <c r="C409" t="s">
        <v>651</v>
      </c>
      <c r="D409" t="s">
        <v>869</v>
      </c>
      <c r="E409">
        <v>-76.723404547434896</v>
      </c>
      <c r="F409" s="2" t="s">
        <v>870</v>
      </c>
      <c r="G409">
        <v>2091</v>
      </c>
      <c r="H409">
        <v>0</v>
      </c>
      <c r="I409">
        <v>2024</v>
      </c>
      <c r="J409">
        <v>20</v>
      </c>
      <c r="K409">
        <v>10</v>
      </c>
      <c r="M409" t="s">
        <v>247</v>
      </c>
      <c r="N409" t="s">
        <v>31</v>
      </c>
      <c r="O409" t="s">
        <v>58</v>
      </c>
      <c r="P409" t="s">
        <v>280</v>
      </c>
      <c r="Q409" t="s">
        <v>86</v>
      </c>
      <c r="R409" t="s">
        <v>412</v>
      </c>
      <c r="S409" t="s">
        <v>666</v>
      </c>
      <c r="T409" t="s">
        <v>54</v>
      </c>
      <c r="U409" t="s">
        <v>88</v>
      </c>
      <c r="V409">
        <v>1</v>
      </c>
      <c r="Z409" t="s">
        <v>36</v>
      </c>
      <c r="AA409" t="s">
        <v>44</v>
      </c>
      <c r="AB409" t="s">
        <v>45</v>
      </c>
    </row>
    <row r="410" spans="1:28" hidden="1" x14ac:dyDescent="0.2">
      <c r="A410" s="1">
        <v>45581</v>
      </c>
      <c r="B410" s="1">
        <v>45581</v>
      </c>
      <c r="C410" t="s">
        <v>651</v>
      </c>
      <c r="D410" t="s">
        <v>871</v>
      </c>
      <c r="E410">
        <v>-76.723248421740607</v>
      </c>
      <c r="F410" s="2" t="s">
        <v>872</v>
      </c>
      <c r="G410">
        <v>2091</v>
      </c>
      <c r="H410">
        <v>0</v>
      </c>
      <c r="I410">
        <v>2024</v>
      </c>
      <c r="J410">
        <v>20</v>
      </c>
      <c r="K410">
        <v>10</v>
      </c>
      <c r="M410" t="s">
        <v>247</v>
      </c>
      <c r="N410" t="s">
        <v>31</v>
      </c>
      <c r="O410" t="s">
        <v>58</v>
      </c>
      <c r="P410" t="s">
        <v>280</v>
      </c>
      <c r="Q410" t="s">
        <v>86</v>
      </c>
      <c r="R410" t="s">
        <v>412</v>
      </c>
      <c r="S410" t="s">
        <v>666</v>
      </c>
      <c r="T410" t="s">
        <v>42</v>
      </c>
      <c r="U410" t="s">
        <v>270</v>
      </c>
      <c r="V410">
        <v>2</v>
      </c>
      <c r="Z410" t="s">
        <v>36</v>
      </c>
      <c r="AA410" t="s">
        <v>44</v>
      </c>
      <c r="AB410" t="s">
        <v>45</v>
      </c>
    </row>
    <row r="411" spans="1:28" hidden="1" x14ac:dyDescent="0.2">
      <c r="A411" s="1">
        <v>45581</v>
      </c>
      <c r="B411" s="1">
        <v>45581</v>
      </c>
      <c r="C411" t="s">
        <v>651</v>
      </c>
      <c r="D411" t="s">
        <v>871</v>
      </c>
      <c r="E411">
        <v>-76.723248421740607</v>
      </c>
      <c r="F411" s="2" t="s">
        <v>872</v>
      </c>
      <c r="G411">
        <v>2091</v>
      </c>
      <c r="H411">
        <v>0</v>
      </c>
      <c r="I411">
        <v>2024</v>
      </c>
      <c r="J411">
        <v>20</v>
      </c>
      <c r="K411">
        <v>10</v>
      </c>
      <c r="M411" t="s">
        <v>247</v>
      </c>
      <c r="N411" t="s">
        <v>31</v>
      </c>
      <c r="O411" t="s">
        <v>58</v>
      </c>
      <c r="P411" t="s">
        <v>280</v>
      </c>
      <c r="Q411" t="s">
        <v>86</v>
      </c>
      <c r="R411" t="s">
        <v>412</v>
      </c>
      <c r="S411" t="s">
        <v>651</v>
      </c>
      <c r="T411" t="s">
        <v>54</v>
      </c>
      <c r="U411" t="s">
        <v>238</v>
      </c>
      <c r="V411">
        <v>1</v>
      </c>
      <c r="Z411" t="s">
        <v>36</v>
      </c>
      <c r="AB411" t="s">
        <v>45</v>
      </c>
    </row>
    <row r="412" spans="1:28" hidden="1" x14ac:dyDescent="0.2">
      <c r="A412" s="1">
        <v>45581</v>
      </c>
      <c r="B412" s="1">
        <v>45581</v>
      </c>
      <c r="C412" t="s">
        <v>651</v>
      </c>
      <c r="D412" t="s">
        <v>871</v>
      </c>
      <c r="E412">
        <v>-76.723248421740607</v>
      </c>
      <c r="F412" s="2" t="s">
        <v>872</v>
      </c>
      <c r="G412">
        <v>2091</v>
      </c>
      <c r="H412">
        <v>0</v>
      </c>
      <c r="I412">
        <v>2024</v>
      </c>
      <c r="J412">
        <v>20</v>
      </c>
      <c r="K412">
        <v>10</v>
      </c>
      <c r="M412" t="s">
        <v>247</v>
      </c>
      <c r="N412" t="s">
        <v>31</v>
      </c>
      <c r="O412" t="s">
        <v>58</v>
      </c>
      <c r="P412" t="s">
        <v>280</v>
      </c>
      <c r="Q412" t="s">
        <v>86</v>
      </c>
      <c r="R412" t="s">
        <v>412</v>
      </c>
      <c r="S412" t="s">
        <v>666</v>
      </c>
      <c r="T412" t="s">
        <v>91</v>
      </c>
      <c r="U412" t="s">
        <v>88</v>
      </c>
      <c r="V412">
        <v>1</v>
      </c>
      <c r="Z412" t="s">
        <v>36</v>
      </c>
      <c r="AB412" t="s">
        <v>45</v>
      </c>
    </row>
    <row r="413" spans="1:28" hidden="1" x14ac:dyDescent="0.2">
      <c r="A413" s="1">
        <v>45581</v>
      </c>
      <c r="B413" s="1">
        <v>45581</v>
      </c>
      <c r="C413" t="s">
        <v>651</v>
      </c>
      <c r="D413" t="s">
        <v>873</v>
      </c>
      <c r="E413">
        <v>-76.723244521959003</v>
      </c>
      <c r="F413">
        <v>3.4803323613476702</v>
      </c>
      <c r="G413">
        <v>2091</v>
      </c>
      <c r="H413">
        <v>0</v>
      </c>
      <c r="I413">
        <v>2024</v>
      </c>
      <c r="J413">
        <v>20</v>
      </c>
      <c r="K413">
        <v>10</v>
      </c>
      <c r="M413" t="s">
        <v>247</v>
      </c>
      <c r="N413" t="s">
        <v>31</v>
      </c>
      <c r="O413" t="s">
        <v>58</v>
      </c>
      <c r="P413" t="s">
        <v>280</v>
      </c>
      <c r="Q413" t="s">
        <v>86</v>
      </c>
      <c r="R413" t="s">
        <v>412</v>
      </c>
      <c r="S413" t="s">
        <v>651</v>
      </c>
      <c r="T413" t="s">
        <v>91</v>
      </c>
      <c r="U413" t="s">
        <v>88</v>
      </c>
      <c r="V413">
        <v>1</v>
      </c>
      <c r="Z413" t="s">
        <v>36</v>
      </c>
      <c r="AA413" t="s">
        <v>160</v>
      </c>
      <c r="AB413" t="s">
        <v>45</v>
      </c>
    </row>
    <row r="414" spans="1:28" hidden="1" x14ac:dyDescent="0.2">
      <c r="A414" s="1">
        <v>45581</v>
      </c>
      <c r="B414" s="1">
        <v>45581</v>
      </c>
      <c r="C414" t="s">
        <v>651</v>
      </c>
      <c r="D414" t="s">
        <v>874</v>
      </c>
      <c r="E414">
        <v>-76.723334287942706</v>
      </c>
      <c r="F414" s="2">
        <v>3.48029043137588</v>
      </c>
      <c r="G414">
        <v>2091</v>
      </c>
      <c r="H414">
        <v>0</v>
      </c>
      <c r="I414">
        <v>2024</v>
      </c>
      <c r="J414">
        <v>20</v>
      </c>
      <c r="K414">
        <v>10</v>
      </c>
      <c r="M414" t="s">
        <v>247</v>
      </c>
      <c r="N414" t="s">
        <v>31</v>
      </c>
      <c r="O414" t="s">
        <v>58</v>
      </c>
      <c r="P414" t="s">
        <v>280</v>
      </c>
      <c r="Q414" t="s">
        <v>86</v>
      </c>
      <c r="R414" t="s">
        <v>412</v>
      </c>
      <c r="S414" t="s">
        <v>666</v>
      </c>
      <c r="T414" t="s">
        <v>54</v>
      </c>
      <c r="U414" t="s">
        <v>88</v>
      </c>
      <c r="V414">
        <v>1</v>
      </c>
      <c r="Z414" t="s">
        <v>36</v>
      </c>
      <c r="AA414" t="s">
        <v>160</v>
      </c>
    </row>
    <row r="415" spans="1:28" hidden="1" x14ac:dyDescent="0.2">
      <c r="A415" s="1">
        <v>45581</v>
      </c>
      <c r="B415" s="1">
        <v>45581</v>
      </c>
      <c r="C415" t="s">
        <v>651</v>
      </c>
      <c r="D415" t="s">
        <v>875</v>
      </c>
      <c r="E415">
        <v>-76.7235192167213</v>
      </c>
      <c r="F415" s="2">
        <v>3.4834221216222998</v>
      </c>
      <c r="G415">
        <v>2054</v>
      </c>
      <c r="H415">
        <v>0</v>
      </c>
      <c r="I415">
        <v>2024</v>
      </c>
      <c r="J415">
        <v>15</v>
      </c>
      <c r="K415">
        <v>5</v>
      </c>
      <c r="M415" t="s">
        <v>247</v>
      </c>
      <c r="N415" t="s">
        <v>31</v>
      </c>
      <c r="O415" t="s">
        <v>32</v>
      </c>
      <c r="P415" t="s">
        <v>248</v>
      </c>
      <c r="Q415" t="s">
        <v>86</v>
      </c>
      <c r="R415" t="s">
        <v>412</v>
      </c>
      <c r="U415" t="s">
        <v>36</v>
      </c>
      <c r="V415">
        <v>0</v>
      </c>
      <c r="Z415" t="s">
        <v>36</v>
      </c>
    </row>
    <row r="416" spans="1:28" hidden="1" x14ac:dyDescent="0.2">
      <c r="A416" s="1">
        <v>45581</v>
      </c>
      <c r="B416" s="1">
        <v>45581</v>
      </c>
      <c r="C416" t="s">
        <v>651</v>
      </c>
      <c r="D416" t="s">
        <v>876</v>
      </c>
      <c r="E416">
        <v>-76.723483470037706</v>
      </c>
      <c r="F416">
        <v>3.4836949295509898</v>
      </c>
      <c r="G416">
        <v>2042</v>
      </c>
      <c r="H416">
        <v>0</v>
      </c>
      <c r="I416">
        <v>2024</v>
      </c>
      <c r="J416">
        <v>15</v>
      </c>
      <c r="K416">
        <v>5</v>
      </c>
      <c r="M416" t="s">
        <v>247</v>
      </c>
      <c r="N416" t="s">
        <v>31</v>
      </c>
      <c r="O416" t="s">
        <v>38</v>
      </c>
      <c r="P416" t="s">
        <v>248</v>
      </c>
      <c r="Q416" t="s">
        <v>86</v>
      </c>
      <c r="R416" t="s">
        <v>412</v>
      </c>
      <c r="S416" t="s">
        <v>666</v>
      </c>
      <c r="T416" t="s">
        <v>54</v>
      </c>
      <c r="U416" t="s">
        <v>238</v>
      </c>
      <c r="V416">
        <v>1</v>
      </c>
      <c r="Z416" t="s">
        <v>36</v>
      </c>
      <c r="AA416" t="s">
        <v>44</v>
      </c>
      <c r="AB416" t="s">
        <v>45</v>
      </c>
    </row>
    <row r="417" spans="1:28" hidden="1" x14ac:dyDescent="0.2">
      <c r="A417" s="1">
        <v>45581</v>
      </c>
      <c r="B417" s="1">
        <v>45581</v>
      </c>
      <c r="C417" t="s">
        <v>651</v>
      </c>
      <c r="D417" t="s">
        <v>877</v>
      </c>
      <c r="E417">
        <v>-76.722810636981094</v>
      </c>
      <c r="F417" s="2">
        <v>3.47866983663851</v>
      </c>
      <c r="G417">
        <v>2119</v>
      </c>
      <c r="H417">
        <v>0</v>
      </c>
      <c r="I417">
        <v>2024</v>
      </c>
      <c r="J417">
        <v>20</v>
      </c>
      <c r="K417">
        <v>10</v>
      </c>
      <c r="M417" t="s">
        <v>247</v>
      </c>
      <c r="N417" t="s">
        <v>31</v>
      </c>
      <c r="O417" t="s">
        <v>40</v>
      </c>
      <c r="P417" t="s">
        <v>280</v>
      </c>
      <c r="Q417" t="s">
        <v>86</v>
      </c>
      <c r="R417" t="s">
        <v>412</v>
      </c>
      <c r="S417" t="s">
        <v>651</v>
      </c>
      <c r="T417" t="s">
        <v>54</v>
      </c>
      <c r="U417" t="s">
        <v>88</v>
      </c>
      <c r="V417">
        <v>1</v>
      </c>
      <c r="Z417" t="s">
        <v>36</v>
      </c>
      <c r="AA417" t="s">
        <v>44</v>
      </c>
      <c r="AB417" t="s">
        <v>45</v>
      </c>
    </row>
    <row r="418" spans="1:28" hidden="1" x14ac:dyDescent="0.2">
      <c r="A418" s="1">
        <v>45581</v>
      </c>
      <c r="B418" s="1">
        <v>45581</v>
      </c>
      <c r="C418" t="s">
        <v>651</v>
      </c>
      <c r="D418" t="s">
        <v>878</v>
      </c>
      <c r="E418">
        <v>-76.722854605048596</v>
      </c>
      <c r="F418" s="2">
        <v>3.47851658728205</v>
      </c>
      <c r="G418">
        <v>2119</v>
      </c>
      <c r="H418">
        <v>0</v>
      </c>
      <c r="I418">
        <v>2024</v>
      </c>
      <c r="J418">
        <v>20</v>
      </c>
      <c r="K418">
        <v>10</v>
      </c>
      <c r="M418" t="s">
        <v>247</v>
      </c>
      <c r="N418" t="s">
        <v>31</v>
      </c>
      <c r="O418" t="s">
        <v>40</v>
      </c>
      <c r="P418" t="s">
        <v>280</v>
      </c>
      <c r="Q418" t="s">
        <v>86</v>
      </c>
      <c r="R418" t="s">
        <v>412</v>
      </c>
      <c r="S418" t="s">
        <v>651</v>
      </c>
      <c r="T418" t="s">
        <v>54</v>
      </c>
      <c r="U418" t="s">
        <v>88</v>
      </c>
      <c r="V418">
        <v>1</v>
      </c>
      <c r="Z418" t="s">
        <v>36</v>
      </c>
      <c r="AA418" t="s">
        <v>44</v>
      </c>
    </row>
    <row r="419" spans="1:28" hidden="1" x14ac:dyDescent="0.2">
      <c r="A419" s="1">
        <v>45581</v>
      </c>
      <c r="B419" s="1">
        <v>45581</v>
      </c>
      <c r="C419" t="s">
        <v>651</v>
      </c>
      <c r="D419" t="s">
        <v>879</v>
      </c>
      <c r="E419">
        <v>-76.722772906107707</v>
      </c>
      <c r="F419" s="2">
        <v>3.4783144085273401</v>
      </c>
      <c r="G419">
        <v>2119</v>
      </c>
      <c r="H419">
        <v>0</v>
      </c>
      <c r="I419">
        <v>2024</v>
      </c>
      <c r="J419">
        <v>20</v>
      </c>
      <c r="K419">
        <v>10</v>
      </c>
      <c r="M419" t="s">
        <v>247</v>
      </c>
      <c r="N419" t="s">
        <v>31</v>
      </c>
      <c r="O419" t="s">
        <v>40</v>
      </c>
      <c r="P419" t="s">
        <v>280</v>
      </c>
      <c r="Q419" t="s">
        <v>86</v>
      </c>
      <c r="R419" t="s">
        <v>412</v>
      </c>
      <c r="S419" t="s">
        <v>651</v>
      </c>
      <c r="T419" t="s">
        <v>54</v>
      </c>
      <c r="U419" t="s">
        <v>313</v>
      </c>
      <c r="V419">
        <v>1</v>
      </c>
      <c r="Z419" t="s">
        <v>36</v>
      </c>
      <c r="AA419" t="s">
        <v>44</v>
      </c>
      <c r="AB419" t="s">
        <v>45</v>
      </c>
    </row>
    <row r="420" spans="1:28" hidden="1" x14ac:dyDescent="0.2">
      <c r="A420" s="1">
        <v>45581</v>
      </c>
      <c r="B420" s="1">
        <v>45581</v>
      </c>
      <c r="C420" t="s">
        <v>651</v>
      </c>
      <c r="D420" t="s">
        <v>880</v>
      </c>
      <c r="E420">
        <v>-76.722813517232098</v>
      </c>
      <c r="F420" s="2">
        <v>3.47812759084638</v>
      </c>
      <c r="G420">
        <v>2119</v>
      </c>
      <c r="H420">
        <v>0</v>
      </c>
      <c r="I420">
        <v>2024</v>
      </c>
      <c r="J420">
        <v>20</v>
      </c>
      <c r="K420">
        <v>10</v>
      </c>
      <c r="M420" t="s">
        <v>247</v>
      </c>
      <c r="N420" t="s">
        <v>31</v>
      </c>
      <c r="O420" t="s">
        <v>40</v>
      </c>
      <c r="P420" t="s">
        <v>280</v>
      </c>
      <c r="Q420" t="s">
        <v>86</v>
      </c>
      <c r="R420" t="s">
        <v>412</v>
      </c>
      <c r="S420" t="s">
        <v>666</v>
      </c>
      <c r="T420" t="s">
        <v>54</v>
      </c>
      <c r="U420" t="s">
        <v>252</v>
      </c>
      <c r="V420">
        <v>1</v>
      </c>
      <c r="Z420" t="s">
        <v>36</v>
      </c>
      <c r="AA420" t="s">
        <v>44</v>
      </c>
      <c r="AB420" t="s">
        <v>45</v>
      </c>
    </row>
    <row r="421" spans="1:28" hidden="1" x14ac:dyDescent="0.2">
      <c r="A421" s="1">
        <v>45581</v>
      </c>
      <c r="B421" s="1">
        <v>45581</v>
      </c>
      <c r="C421" t="s">
        <v>651</v>
      </c>
      <c r="D421" t="s">
        <v>881</v>
      </c>
      <c r="E421">
        <v>-76.722798618016995</v>
      </c>
      <c r="F421" s="2">
        <v>3.4781354674379199</v>
      </c>
      <c r="G421">
        <v>2119</v>
      </c>
      <c r="H421">
        <v>0</v>
      </c>
      <c r="I421">
        <v>2024</v>
      </c>
      <c r="J421">
        <v>20</v>
      </c>
      <c r="K421">
        <v>10</v>
      </c>
      <c r="M421" t="s">
        <v>247</v>
      </c>
      <c r="N421" t="s">
        <v>31</v>
      </c>
      <c r="O421" t="s">
        <v>40</v>
      </c>
      <c r="P421" t="s">
        <v>280</v>
      </c>
      <c r="Q421" t="s">
        <v>86</v>
      </c>
      <c r="R421" t="s">
        <v>412</v>
      </c>
      <c r="S421" t="s">
        <v>666</v>
      </c>
      <c r="T421" t="s">
        <v>54</v>
      </c>
      <c r="U421" t="s">
        <v>88</v>
      </c>
      <c r="V421">
        <v>1</v>
      </c>
      <c r="Z421" t="s">
        <v>36</v>
      </c>
      <c r="AA421" t="s">
        <v>44</v>
      </c>
      <c r="AB421" t="s">
        <v>45</v>
      </c>
    </row>
    <row r="422" spans="1:28" hidden="1" x14ac:dyDescent="0.2">
      <c r="A422" s="1">
        <v>45581</v>
      </c>
      <c r="B422" s="1">
        <v>45581</v>
      </c>
      <c r="C422" t="s">
        <v>651</v>
      </c>
      <c r="D422" t="s">
        <v>882</v>
      </c>
      <c r="E422">
        <v>-76.721656053440697</v>
      </c>
      <c r="F422" s="2">
        <v>3.48478607022943</v>
      </c>
      <c r="G422">
        <v>2001</v>
      </c>
      <c r="H422">
        <v>0</v>
      </c>
      <c r="I422">
        <v>2024</v>
      </c>
      <c r="J422">
        <v>15</v>
      </c>
      <c r="K422">
        <v>0</v>
      </c>
      <c r="M422" t="s">
        <v>247</v>
      </c>
      <c r="N422" t="s">
        <v>31</v>
      </c>
      <c r="O422" t="s">
        <v>47</v>
      </c>
      <c r="P422" t="s">
        <v>248</v>
      </c>
      <c r="Q422" t="s">
        <v>86</v>
      </c>
      <c r="R422" t="s">
        <v>35</v>
      </c>
      <c r="S422" t="s">
        <v>651</v>
      </c>
      <c r="T422" t="s">
        <v>54</v>
      </c>
      <c r="U422" t="s">
        <v>252</v>
      </c>
      <c r="V422">
        <v>1</v>
      </c>
      <c r="Z422" t="s">
        <v>36</v>
      </c>
      <c r="AA422" t="s">
        <v>160</v>
      </c>
      <c r="AB422" t="s">
        <v>45</v>
      </c>
    </row>
    <row r="423" spans="1:28" hidden="1" x14ac:dyDescent="0.2">
      <c r="A423" s="1">
        <v>45581</v>
      </c>
      <c r="B423" s="1">
        <v>45581</v>
      </c>
      <c r="C423" t="s">
        <v>651</v>
      </c>
      <c r="D423" t="s">
        <v>883</v>
      </c>
      <c r="E423">
        <v>-76.7230146301697</v>
      </c>
      <c r="F423" s="2">
        <v>3.48401900464079</v>
      </c>
      <c r="G423">
        <v>2004</v>
      </c>
      <c r="H423">
        <v>0</v>
      </c>
      <c r="I423">
        <v>2024</v>
      </c>
      <c r="J423">
        <v>10</v>
      </c>
      <c r="K423">
        <v>0</v>
      </c>
      <c r="M423" t="s">
        <v>247</v>
      </c>
      <c r="N423" t="s">
        <v>31</v>
      </c>
      <c r="O423" t="s">
        <v>40</v>
      </c>
      <c r="P423" t="s">
        <v>248</v>
      </c>
      <c r="Q423" t="s">
        <v>86</v>
      </c>
      <c r="R423" t="s">
        <v>35</v>
      </c>
      <c r="S423" t="s">
        <v>666</v>
      </c>
      <c r="T423" t="s">
        <v>91</v>
      </c>
      <c r="U423" t="s">
        <v>238</v>
      </c>
      <c r="V423">
        <v>1</v>
      </c>
      <c r="Z423" t="s">
        <v>259</v>
      </c>
      <c r="AA423" t="s">
        <v>44</v>
      </c>
      <c r="AB423" t="s">
        <v>45</v>
      </c>
    </row>
    <row r="424" spans="1:28" hidden="1" x14ac:dyDescent="0.2">
      <c r="A424" s="1">
        <v>45581</v>
      </c>
      <c r="B424" s="1">
        <v>45581</v>
      </c>
      <c r="C424" t="s">
        <v>651</v>
      </c>
      <c r="D424" t="s">
        <v>884</v>
      </c>
      <c r="E424">
        <v>-76.723234678871805</v>
      </c>
      <c r="F424" s="2">
        <v>3.4799917597369401</v>
      </c>
      <c r="G424">
        <v>2119</v>
      </c>
      <c r="H424">
        <v>0</v>
      </c>
      <c r="I424">
        <v>2024</v>
      </c>
      <c r="J424">
        <v>20</v>
      </c>
      <c r="K424">
        <v>5</v>
      </c>
      <c r="M424" t="s">
        <v>247</v>
      </c>
      <c r="N424" t="s">
        <v>31</v>
      </c>
      <c r="O424" t="s">
        <v>47</v>
      </c>
      <c r="P424" t="s">
        <v>280</v>
      </c>
      <c r="Q424" t="s">
        <v>86</v>
      </c>
      <c r="R424" t="s">
        <v>412</v>
      </c>
      <c r="U424" t="s">
        <v>36</v>
      </c>
      <c r="V424">
        <v>0</v>
      </c>
      <c r="Z424" t="s">
        <v>36</v>
      </c>
    </row>
    <row r="425" spans="1:28" hidden="1" x14ac:dyDescent="0.2">
      <c r="A425" s="1">
        <v>45581</v>
      </c>
      <c r="B425" s="1">
        <v>45581</v>
      </c>
      <c r="C425" t="s">
        <v>41</v>
      </c>
      <c r="D425" t="s">
        <v>885</v>
      </c>
      <c r="E425">
        <v>-76.658763333333297</v>
      </c>
      <c r="F425" s="2">
        <v>3.3574399999999902</v>
      </c>
      <c r="G425">
        <v>2495</v>
      </c>
      <c r="H425">
        <v>15</v>
      </c>
      <c r="I425">
        <v>2024</v>
      </c>
      <c r="J425">
        <v>20</v>
      </c>
      <c r="K425">
        <v>5</v>
      </c>
      <c r="M425" t="s">
        <v>624</v>
      </c>
      <c r="N425" t="s">
        <v>31</v>
      </c>
      <c r="O425" t="s">
        <v>47</v>
      </c>
      <c r="P425" t="s">
        <v>720</v>
      </c>
      <c r="Q425" t="s">
        <v>341</v>
      </c>
      <c r="R425" t="s">
        <v>53</v>
      </c>
      <c r="U425" t="s">
        <v>36</v>
      </c>
    </row>
    <row r="426" spans="1:28" hidden="1" x14ac:dyDescent="0.2">
      <c r="A426" s="1">
        <v>45581</v>
      </c>
      <c r="B426" s="1">
        <v>45581</v>
      </c>
      <c r="C426" t="s">
        <v>41</v>
      </c>
      <c r="D426" t="s">
        <v>886</v>
      </c>
      <c r="E426">
        <v>-76.657399999999996</v>
      </c>
      <c r="F426" s="2">
        <v>3.3567216666666599</v>
      </c>
      <c r="G426">
        <v>2648</v>
      </c>
      <c r="H426">
        <v>1</v>
      </c>
      <c r="I426">
        <v>2024</v>
      </c>
      <c r="J426">
        <v>25</v>
      </c>
      <c r="K426">
        <v>5</v>
      </c>
      <c r="M426" t="s">
        <v>624</v>
      </c>
      <c r="N426" t="s">
        <v>31</v>
      </c>
      <c r="O426" t="s">
        <v>40</v>
      </c>
      <c r="P426" t="s">
        <v>720</v>
      </c>
      <c r="Q426" t="s">
        <v>381</v>
      </c>
      <c r="R426" t="s">
        <v>53</v>
      </c>
      <c r="S426" t="s">
        <v>695</v>
      </c>
      <c r="T426" t="s">
        <v>91</v>
      </c>
      <c r="U426" t="s">
        <v>238</v>
      </c>
      <c r="V426">
        <v>2</v>
      </c>
      <c r="Z426" t="s">
        <v>36</v>
      </c>
      <c r="AA426" t="s">
        <v>44</v>
      </c>
      <c r="AB426" t="s">
        <v>66</v>
      </c>
    </row>
    <row r="427" spans="1:28" hidden="1" x14ac:dyDescent="0.2">
      <c r="A427" s="1">
        <v>45581</v>
      </c>
      <c r="B427" s="1">
        <v>45581</v>
      </c>
      <c r="C427" t="s">
        <v>41</v>
      </c>
      <c r="D427" t="s">
        <v>887</v>
      </c>
      <c r="E427">
        <v>-76.657426666666595</v>
      </c>
      <c r="F427" s="2">
        <v>3.3569200000000001</v>
      </c>
      <c r="G427">
        <v>2648</v>
      </c>
      <c r="H427">
        <v>1</v>
      </c>
      <c r="I427">
        <v>2024</v>
      </c>
      <c r="J427">
        <v>25</v>
      </c>
      <c r="K427">
        <v>5</v>
      </c>
      <c r="M427" t="s">
        <v>624</v>
      </c>
      <c r="N427" t="s">
        <v>31</v>
      </c>
      <c r="O427" t="s">
        <v>40</v>
      </c>
      <c r="P427" t="s">
        <v>720</v>
      </c>
      <c r="Q427" t="s">
        <v>381</v>
      </c>
      <c r="R427" t="s">
        <v>53</v>
      </c>
      <c r="S427" t="s">
        <v>695</v>
      </c>
      <c r="T427" t="s">
        <v>91</v>
      </c>
      <c r="U427" t="s">
        <v>238</v>
      </c>
      <c r="V427">
        <v>3</v>
      </c>
      <c r="Z427" t="s">
        <v>36</v>
      </c>
      <c r="AA427" t="s">
        <v>44</v>
      </c>
      <c r="AB427" t="s">
        <v>66</v>
      </c>
    </row>
    <row r="428" spans="1:28" hidden="1" x14ac:dyDescent="0.2">
      <c r="A428" s="1">
        <v>45581</v>
      </c>
      <c r="B428" s="1">
        <v>45581</v>
      </c>
      <c r="C428" t="s">
        <v>41</v>
      </c>
      <c r="D428" t="s">
        <v>888</v>
      </c>
      <c r="E428">
        <v>-76.657788333333301</v>
      </c>
      <c r="F428" s="2">
        <v>3.35707333333333</v>
      </c>
      <c r="G428">
        <v>2648</v>
      </c>
      <c r="H428">
        <v>1</v>
      </c>
      <c r="I428">
        <v>2024</v>
      </c>
      <c r="J428">
        <v>25</v>
      </c>
      <c r="K428">
        <v>5</v>
      </c>
      <c r="M428" t="s">
        <v>624</v>
      </c>
      <c r="N428" t="s">
        <v>31</v>
      </c>
      <c r="O428" t="s">
        <v>40</v>
      </c>
      <c r="P428" t="s">
        <v>720</v>
      </c>
      <c r="Q428" t="s">
        <v>381</v>
      </c>
      <c r="R428" t="s">
        <v>53</v>
      </c>
      <c r="S428" t="s">
        <v>695</v>
      </c>
      <c r="T428" t="s">
        <v>91</v>
      </c>
      <c r="U428" t="s">
        <v>238</v>
      </c>
      <c r="V428">
        <v>5</v>
      </c>
      <c r="W428" t="s">
        <v>889</v>
      </c>
      <c r="Z428" t="s">
        <v>36</v>
      </c>
      <c r="AA428" t="s">
        <v>44</v>
      </c>
      <c r="AB428" t="s">
        <v>154</v>
      </c>
    </row>
    <row r="429" spans="1:28" hidden="1" x14ac:dyDescent="0.2">
      <c r="A429" s="1">
        <v>45581</v>
      </c>
      <c r="B429" s="1">
        <v>45581</v>
      </c>
      <c r="C429" t="s">
        <v>41</v>
      </c>
      <c r="D429" t="s">
        <v>890</v>
      </c>
      <c r="E429">
        <v>-76.656083333333299</v>
      </c>
      <c r="F429" s="2">
        <v>3.35554833333333</v>
      </c>
      <c r="G429">
        <v>2554</v>
      </c>
      <c r="H429">
        <v>50</v>
      </c>
      <c r="I429">
        <v>2024</v>
      </c>
      <c r="J429">
        <v>25</v>
      </c>
      <c r="K429">
        <v>15</v>
      </c>
      <c r="M429" t="s">
        <v>624</v>
      </c>
      <c r="N429" t="s">
        <v>108</v>
      </c>
      <c r="O429" t="s">
        <v>47</v>
      </c>
      <c r="P429" t="s">
        <v>720</v>
      </c>
      <c r="Q429" t="s">
        <v>381</v>
      </c>
      <c r="R429" t="s">
        <v>35</v>
      </c>
      <c r="U429" t="s">
        <v>36</v>
      </c>
    </row>
    <row r="430" spans="1:28" hidden="1" x14ac:dyDescent="0.2">
      <c r="A430" s="1">
        <v>45581</v>
      </c>
      <c r="B430" s="1">
        <v>45581</v>
      </c>
      <c r="C430" t="s">
        <v>41</v>
      </c>
      <c r="D430" t="s">
        <v>891</v>
      </c>
      <c r="E430">
        <v>-76.656031666666607</v>
      </c>
      <c r="F430">
        <v>3.355245</v>
      </c>
      <c r="G430">
        <v>2634</v>
      </c>
      <c r="H430">
        <v>1</v>
      </c>
      <c r="I430">
        <v>2024</v>
      </c>
      <c r="J430">
        <v>18</v>
      </c>
      <c r="K430">
        <v>5</v>
      </c>
      <c r="M430" t="s">
        <v>624</v>
      </c>
      <c r="N430" t="s">
        <v>31</v>
      </c>
      <c r="O430" t="s">
        <v>40</v>
      </c>
      <c r="P430" t="s">
        <v>720</v>
      </c>
      <c r="Q430" t="s">
        <v>381</v>
      </c>
      <c r="R430" t="s">
        <v>53</v>
      </c>
      <c r="S430" t="s">
        <v>695</v>
      </c>
      <c r="T430" t="s">
        <v>54</v>
      </c>
      <c r="U430" t="s">
        <v>71</v>
      </c>
      <c r="V430">
        <v>1</v>
      </c>
      <c r="Z430" t="s">
        <v>36</v>
      </c>
      <c r="AA430" t="s">
        <v>44</v>
      </c>
      <c r="AB430" t="s">
        <v>45</v>
      </c>
    </row>
    <row r="431" spans="1:28" hidden="1" x14ac:dyDescent="0.2">
      <c r="A431" s="1">
        <v>45581</v>
      </c>
      <c r="B431" s="1">
        <v>45581</v>
      </c>
      <c r="C431" t="s">
        <v>41</v>
      </c>
      <c r="D431" t="s">
        <v>892</v>
      </c>
      <c r="E431">
        <v>-76.656355000000005</v>
      </c>
      <c r="F431" s="2">
        <v>3.3552599999999999</v>
      </c>
      <c r="G431">
        <v>2634</v>
      </c>
      <c r="H431">
        <v>1</v>
      </c>
      <c r="I431">
        <v>2024</v>
      </c>
      <c r="J431">
        <v>18</v>
      </c>
      <c r="K431">
        <v>5</v>
      </c>
      <c r="M431" t="s">
        <v>624</v>
      </c>
      <c r="N431" t="s">
        <v>31</v>
      </c>
      <c r="O431" t="s">
        <v>40</v>
      </c>
      <c r="P431" t="s">
        <v>720</v>
      </c>
      <c r="Q431" t="s">
        <v>381</v>
      </c>
      <c r="R431" t="s">
        <v>53</v>
      </c>
      <c r="S431" t="s">
        <v>635</v>
      </c>
      <c r="T431" t="s">
        <v>54</v>
      </c>
      <c r="U431" t="s">
        <v>71</v>
      </c>
      <c r="V431">
        <v>1</v>
      </c>
      <c r="W431" t="s">
        <v>814</v>
      </c>
      <c r="Z431" t="s">
        <v>36</v>
      </c>
      <c r="AA431" t="s">
        <v>44</v>
      </c>
      <c r="AB431" t="s">
        <v>45</v>
      </c>
    </row>
    <row r="432" spans="1:28" hidden="1" x14ac:dyDescent="0.2">
      <c r="A432" s="1">
        <v>45581</v>
      </c>
      <c r="B432" s="1">
        <v>45581</v>
      </c>
      <c r="C432" t="s">
        <v>41</v>
      </c>
      <c r="D432" t="s">
        <v>893</v>
      </c>
      <c r="E432">
        <v>-76.6592633333333</v>
      </c>
      <c r="F432" s="2">
        <v>3.3580733333333299</v>
      </c>
      <c r="G432">
        <v>2658</v>
      </c>
      <c r="H432">
        <v>1</v>
      </c>
      <c r="I432">
        <v>2024</v>
      </c>
      <c r="J432">
        <v>20</v>
      </c>
      <c r="K432">
        <v>10</v>
      </c>
      <c r="M432" t="s">
        <v>624</v>
      </c>
      <c r="N432" t="s">
        <v>31</v>
      </c>
      <c r="O432" t="s">
        <v>58</v>
      </c>
      <c r="P432" t="s">
        <v>720</v>
      </c>
      <c r="Q432" t="s">
        <v>341</v>
      </c>
      <c r="R432" t="s">
        <v>105</v>
      </c>
      <c r="U432" t="s">
        <v>36</v>
      </c>
    </row>
    <row r="433" spans="1:28" hidden="1" x14ac:dyDescent="0.2">
      <c r="A433" s="1">
        <v>45581</v>
      </c>
      <c r="B433" s="1">
        <v>45582</v>
      </c>
      <c r="C433" t="s">
        <v>41</v>
      </c>
      <c r="D433" t="s">
        <v>894</v>
      </c>
      <c r="E433">
        <v>-76.656118333333296</v>
      </c>
      <c r="F433" s="2">
        <v>3.3547933333333302</v>
      </c>
      <c r="G433">
        <v>2621</v>
      </c>
      <c r="I433">
        <v>2024</v>
      </c>
      <c r="J433">
        <v>20</v>
      </c>
      <c r="K433">
        <v>15</v>
      </c>
      <c r="M433" t="s">
        <v>624</v>
      </c>
      <c r="N433" t="s">
        <v>31</v>
      </c>
      <c r="O433" t="s">
        <v>38</v>
      </c>
      <c r="P433" t="s">
        <v>720</v>
      </c>
      <c r="Q433" t="s">
        <v>381</v>
      </c>
      <c r="R433" t="s">
        <v>35</v>
      </c>
      <c r="S433" t="s">
        <v>695</v>
      </c>
      <c r="T433" t="s">
        <v>54</v>
      </c>
      <c r="U433" t="s">
        <v>238</v>
      </c>
      <c r="V433">
        <v>1</v>
      </c>
      <c r="Z433" t="s">
        <v>36</v>
      </c>
      <c r="AA433" t="s">
        <v>44</v>
      </c>
      <c r="AB433" t="s">
        <v>45</v>
      </c>
    </row>
    <row r="434" spans="1:28" hidden="1" x14ac:dyDescent="0.2">
      <c r="A434" s="1">
        <v>45581</v>
      </c>
      <c r="B434" s="1">
        <v>45582</v>
      </c>
      <c r="C434" t="s">
        <v>41</v>
      </c>
      <c r="D434" t="s">
        <v>895</v>
      </c>
      <c r="E434">
        <v>-76.656371666666601</v>
      </c>
      <c r="F434" s="2">
        <v>3.3549433333333298</v>
      </c>
      <c r="G434">
        <v>2621</v>
      </c>
      <c r="I434">
        <v>2024</v>
      </c>
      <c r="J434">
        <v>20</v>
      </c>
      <c r="K434">
        <v>15</v>
      </c>
      <c r="M434" t="s">
        <v>624</v>
      </c>
      <c r="N434" t="s">
        <v>31</v>
      </c>
      <c r="O434" t="s">
        <v>38</v>
      </c>
      <c r="P434" t="s">
        <v>720</v>
      </c>
      <c r="Q434" t="s">
        <v>381</v>
      </c>
      <c r="R434" t="s">
        <v>35</v>
      </c>
      <c r="S434" t="s">
        <v>41</v>
      </c>
      <c r="T434" t="s">
        <v>54</v>
      </c>
      <c r="U434" t="s">
        <v>723</v>
      </c>
      <c r="V434">
        <v>1</v>
      </c>
      <c r="Z434" t="s">
        <v>36</v>
      </c>
      <c r="AA434" t="s">
        <v>160</v>
      </c>
      <c r="AB434" t="s">
        <v>45</v>
      </c>
    </row>
    <row r="435" spans="1:28" hidden="1" x14ac:dyDescent="0.2">
      <c r="A435" s="1">
        <v>45581</v>
      </c>
      <c r="B435" s="1">
        <v>45582</v>
      </c>
      <c r="C435" t="s">
        <v>41</v>
      </c>
      <c r="D435" t="s">
        <v>896</v>
      </c>
      <c r="E435">
        <v>-76.656589999999994</v>
      </c>
      <c r="F435">
        <v>3.355035</v>
      </c>
      <c r="G435">
        <v>2621</v>
      </c>
      <c r="I435">
        <v>2024</v>
      </c>
      <c r="J435">
        <v>20</v>
      </c>
      <c r="K435">
        <v>15</v>
      </c>
      <c r="M435" t="s">
        <v>624</v>
      </c>
      <c r="N435" t="s">
        <v>31</v>
      </c>
      <c r="O435" t="s">
        <v>38</v>
      </c>
      <c r="P435" t="s">
        <v>720</v>
      </c>
      <c r="Q435" t="s">
        <v>381</v>
      </c>
      <c r="R435" t="s">
        <v>35</v>
      </c>
      <c r="S435" t="s">
        <v>41</v>
      </c>
      <c r="T435" t="s">
        <v>91</v>
      </c>
      <c r="U435" t="s">
        <v>238</v>
      </c>
      <c r="V435">
        <v>3</v>
      </c>
      <c r="Z435" t="s">
        <v>36</v>
      </c>
      <c r="AA435" t="s">
        <v>44</v>
      </c>
      <c r="AB435" t="s">
        <v>66</v>
      </c>
    </row>
    <row r="436" spans="1:28" hidden="1" x14ac:dyDescent="0.2">
      <c r="A436" s="1">
        <v>45581</v>
      </c>
      <c r="B436" s="1">
        <v>45581</v>
      </c>
      <c r="C436" t="s">
        <v>41</v>
      </c>
      <c r="D436" t="s">
        <v>897</v>
      </c>
      <c r="E436">
        <v>-76.656988333333302</v>
      </c>
      <c r="F436" s="2">
        <v>3.3564483333333301</v>
      </c>
      <c r="G436">
        <v>2608</v>
      </c>
      <c r="I436">
        <v>2024</v>
      </c>
      <c r="J436">
        <v>23</v>
      </c>
      <c r="K436">
        <v>15</v>
      </c>
      <c r="M436" t="s">
        <v>624</v>
      </c>
      <c r="N436" t="s">
        <v>31</v>
      </c>
      <c r="O436" t="s">
        <v>32</v>
      </c>
      <c r="P436" t="s">
        <v>720</v>
      </c>
      <c r="Q436" t="s">
        <v>381</v>
      </c>
      <c r="R436" t="s">
        <v>35</v>
      </c>
      <c r="S436" t="s">
        <v>695</v>
      </c>
      <c r="T436" t="s">
        <v>54</v>
      </c>
      <c r="U436" t="s">
        <v>238</v>
      </c>
      <c r="V436">
        <v>1</v>
      </c>
      <c r="Z436" t="s">
        <v>36</v>
      </c>
      <c r="AA436" t="s">
        <v>44</v>
      </c>
      <c r="AB436" t="s">
        <v>45</v>
      </c>
    </row>
    <row r="437" spans="1:28" hidden="1" x14ac:dyDescent="0.2">
      <c r="A437" s="1">
        <v>45581</v>
      </c>
      <c r="B437" s="1">
        <v>45581</v>
      </c>
      <c r="C437" t="s">
        <v>41</v>
      </c>
      <c r="D437" t="s">
        <v>898</v>
      </c>
      <c r="E437">
        <v>-76.657548333333295</v>
      </c>
      <c r="F437" s="2">
        <v>3.3566533333333299</v>
      </c>
      <c r="G437">
        <v>2608</v>
      </c>
      <c r="I437">
        <v>2024</v>
      </c>
      <c r="J437">
        <v>23</v>
      </c>
      <c r="K437">
        <v>15</v>
      </c>
      <c r="M437" t="s">
        <v>624</v>
      </c>
      <c r="N437" t="s">
        <v>31</v>
      </c>
      <c r="O437" t="s">
        <v>32</v>
      </c>
      <c r="P437" t="s">
        <v>720</v>
      </c>
      <c r="Q437" t="s">
        <v>381</v>
      </c>
      <c r="R437" t="s">
        <v>35</v>
      </c>
      <c r="S437" t="s">
        <v>41</v>
      </c>
      <c r="T437" t="s">
        <v>91</v>
      </c>
      <c r="U437" t="s">
        <v>238</v>
      </c>
      <c r="V437">
        <v>3</v>
      </c>
      <c r="Z437" t="s">
        <v>36</v>
      </c>
      <c r="AA437" t="s">
        <v>44</v>
      </c>
      <c r="AB437" t="s">
        <v>66</v>
      </c>
    </row>
    <row r="438" spans="1:28" hidden="1" x14ac:dyDescent="0.2">
      <c r="A438" s="1">
        <v>45581</v>
      </c>
      <c r="B438" s="1">
        <v>45581</v>
      </c>
      <c r="C438" t="s">
        <v>41</v>
      </c>
      <c r="D438" t="s">
        <v>899</v>
      </c>
      <c r="E438">
        <v>-76.657346666666598</v>
      </c>
      <c r="F438" s="2">
        <v>3.3566133333333301</v>
      </c>
      <c r="G438">
        <v>2608</v>
      </c>
      <c r="I438">
        <v>2024</v>
      </c>
      <c r="J438">
        <v>23</v>
      </c>
      <c r="K438">
        <v>15</v>
      </c>
      <c r="M438" t="s">
        <v>624</v>
      </c>
      <c r="N438" t="s">
        <v>31</v>
      </c>
      <c r="O438" t="s">
        <v>32</v>
      </c>
      <c r="P438" t="s">
        <v>720</v>
      </c>
      <c r="Q438" t="s">
        <v>381</v>
      </c>
      <c r="R438" t="s">
        <v>35</v>
      </c>
      <c r="S438" t="s">
        <v>695</v>
      </c>
      <c r="T438" t="s">
        <v>91</v>
      </c>
      <c r="U438" t="s">
        <v>238</v>
      </c>
      <c r="V438">
        <v>1</v>
      </c>
      <c r="W438" t="s">
        <v>900</v>
      </c>
      <c r="Z438" t="s">
        <v>36</v>
      </c>
      <c r="AA438" t="s">
        <v>44</v>
      </c>
      <c r="AB438" t="s">
        <v>45</v>
      </c>
    </row>
    <row r="439" spans="1:28" hidden="1" x14ac:dyDescent="0.2">
      <c r="A439" s="1">
        <v>45581</v>
      </c>
      <c r="B439" s="1">
        <v>45581</v>
      </c>
      <c r="C439" t="s">
        <v>41</v>
      </c>
      <c r="D439" t="s">
        <v>901</v>
      </c>
      <c r="E439">
        <v>-76.656665000000004</v>
      </c>
      <c r="F439" s="2">
        <v>3.3565383333333298</v>
      </c>
      <c r="G439">
        <v>2608</v>
      </c>
      <c r="I439">
        <v>2024</v>
      </c>
      <c r="J439">
        <v>23</v>
      </c>
      <c r="K439">
        <v>15</v>
      </c>
      <c r="M439" t="s">
        <v>624</v>
      </c>
      <c r="N439" t="s">
        <v>31</v>
      </c>
      <c r="O439" t="s">
        <v>32</v>
      </c>
      <c r="P439" t="s">
        <v>720</v>
      </c>
      <c r="Q439" t="s">
        <v>381</v>
      </c>
      <c r="R439" t="s">
        <v>35</v>
      </c>
      <c r="S439" t="s">
        <v>41</v>
      </c>
      <c r="U439" t="s">
        <v>238</v>
      </c>
      <c r="V439">
        <v>2</v>
      </c>
      <c r="Z439" t="s">
        <v>36</v>
      </c>
      <c r="AA439" t="s">
        <v>44</v>
      </c>
      <c r="AB439" t="s">
        <v>66</v>
      </c>
    </row>
    <row r="440" spans="1:28" hidden="1" x14ac:dyDescent="0.2">
      <c r="A440" s="1">
        <v>45580</v>
      </c>
      <c r="B440" s="1">
        <v>45580</v>
      </c>
      <c r="C440" t="s">
        <v>651</v>
      </c>
      <c r="D440" t="s">
        <v>902</v>
      </c>
      <c r="E440">
        <v>-76.725547307636702</v>
      </c>
      <c r="F440" s="2">
        <v>3.4996134972550199</v>
      </c>
      <c r="G440">
        <v>1803</v>
      </c>
      <c r="H440">
        <v>2</v>
      </c>
      <c r="I440">
        <v>2024</v>
      </c>
      <c r="J440">
        <v>25</v>
      </c>
      <c r="K440">
        <v>2</v>
      </c>
      <c r="M440" t="s">
        <v>247</v>
      </c>
      <c r="N440" t="s">
        <v>31</v>
      </c>
      <c r="O440" t="s">
        <v>40</v>
      </c>
      <c r="P440" t="s">
        <v>340</v>
      </c>
      <c r="R440" t="s">
        <v>35</v>
      </c>
      <c r="S440" t="s">
        <v>666</v>
      </c>
      <c r="T440" t="s">
        <v>54</v>
      </c>
      <c r="U440" t="s">
        <v>252</v>
      </c>
      <c r="V440">
        <v>1</v>
      </c>
      <c r="Z440" t="s">
        <v>36</v>
      </c>
      <c r="AA440" t="s">
        <v>44</v>
      </c>
      <c r="AB440" t="s">
        <v>45</v>
      </c>
    </row>
    <row r="441" spans="1:28" hidden="1" x14ac:dyDescent="0.2">
      <c r="A441" s="1">
        <v>45580</v>
      </c>
      <c r="B441" s="1">
        <v>45580</v>
      </c>
      <c r="C441" t="s">
        <v>651</v>
      </c>
      <c r="D441" t="s">
        <v>903</v>
      </c>
      <c r="E441">
        <v>-76.7255830053778</v>
      </c>
      <c r="F441" s="2">
        <v>3.4996020226037401</v>
      </c>
      <c r="G441">
        <v>1803</v>
      </c>
      <c r="H441">
        <v>2</v>
      </c>
      <c r="I441">
        <v>2024</v>
      </c>
      <c r="J441">
        <v>25</v>
      </c>
      <c r="K441">
        <v>2</v>
      </c>
      <c r="M441" t="s">
        <v>247</v>
      </c>
      <c r="N441" t="s">
        <v>31</v>
      </c>
      <c r="O441" t="s">
        <v>40</v>
      </c>
      <c r="P441" t="s">
        <v>340</v>
      </c>
      <c r="Q441" t="s">
        <v>381</v>
      </c>
      <c r="R441" t="s">
        <v>35</v>
      </c>
      <c r="S441" t="s">
        <v>651</v>
      </c>
      <c r="T441" t="s">
        <v>91</v>
      </c>
      <c r="U441" t="s">
        <v>238</v>
      </c>
      <c r="V441">
        <v>1</v>
      </c>
      <c r="Z441" t="s">
        <v>36</v>
      </c>
      <c r="AA441" t="s">
        <v>44</v>
      </c>
      <c r="AB441" t="s">
        <v>45</v>
      </c>
    </row>
    <row r="442" spans="1:28" hidden="1" x14ac:dyDescent="0.2">
      <c r="A442" s="1">
        <v>45580</v>
      </c>
      <c r="B442" s="1">
        <v>45580</v>
      </c>
      <c r="C442" t="s">
        <v>651</v>
      </c>
      <c r="D442" t="s">
        <v>904</v>
      </c>
      <c r="E442">
        <v>-76.725643206868497</v>
      </c>
      <c r="F442" s="2">
        <v>3.4996316029446</v>
      </c>
      <c r="G442">
        <v>1803</v>
      </c>
      <c r="H442">
        <v>2</v>
      </c>
      <c r="I442">
        <v>2024</v>
      </c>
      <c r="J442">
        <v>25</v>
      </c>
      <c r="K442">
        <v>2</v>
      </c>
      <c r="M442" t="s">
        <v>247</v>
      </c>
      <c r="N442" t="s">
        <v>31</v>
      </c>
      <c r="O442" t="s">
        <v>40</v>
      </c>
      <c r="P442" t="s">
        <v>340</v>
      </c>
      <c r="Q442" t="s">
        <v>381</v>
      </c>
      <c r="R442" t="s">
        <v>35</v>
      </c>
      <c r="S442" t="s">
        <v>666</v>
      </c>
      <c r="T442" t="s">
        <v>91</v>
      </c>
      <c r="U442" t="s">
        <v>88</v>
      </c>
      <c r="V442">
        <v>1</v>
      </c>
      <c r="Z442" t="s">
        <v>36</v>
      </c>
      <c r="AA442" t="s">
        <v>44</v>
      </c>
      <c r="AB442" t="s">
        <v>45</v>
      </c>
    </row>
    <row r="443" spans="1:28" hidden="1" x14ac:dyDescent="0.2">
      <c r="A443" s="1">
        <v>45580</v>
      </c>
      <c r="B443" s="1">
        <v>45580</v>
      </c>
      <c r="C443" t="s">
        <v>651</v>
      </c>
      <c r="D443" t="s">
        <v>905</v>
      </c>
      <c r="E443">
        <v>-76.726122470897195</v>
      </c>
      <c r="F443" s="2">
        <v>3.4996101082871198</v>
      </c>
      <c r="G443">
        <v>1796</v>
      </c>
      <c r="H443">
        <v>2</v>
      </c>
      <c r="I443">
        <v>2024</v>
      </c>
      <c r="J443">
        <v>20</v>
      </c>
      <c r="K443">
        <v>0</v>
      </c>
      <c r="M443" t="s">
        <v>247</v>
      </c>
      <c r="N443" t="s">
        <v>31</v>
      </c>
      <c r="O443" t="s">
        <v>38</v>
      </c>
      <c r="P443" t="s">
        <v>340</v>
      </c>
      <c r="R443" t="s">
        <v>105</v>
      </c>
      <c r="S443" t="s">
        <v>666</v>
      </c>
      <c r="T443" t="s">
        <v>91</v>
      </c>
      <c r="U443" t="s">
        <v>238</v>
      </c>
      <c r="V443">
        <v>1</v>
      </c>
      <c r="Z443" t="s">
        <v>36</v>
      </c>
      <c r="AA443" t="s">
        <v>65</v>
      </c>
      <c r="AB443" t="s">
        <v>45</v>
      </c>
    </row>
    <row r="444" spans="1:28" hidden="1" x14ac:dyDescent="0.2">
      <c r="A444" s="1">
        <v>45580</v>
      </c>
      <c r="B444" s="1">
        <v>45580</v>
      </c>
      <c r="C444" t="s">
        <v>651</v>
      </c>
      <c r="D444" t="s">
        <v>906</v>
      </c>
      <c r="E444">
        <v>-76.726200183035203</v>
      </c>
      <c r="F444" s="2">
        <v>3.4997722524120198</v>
      </c>
      <c r="G444">
        <v>1796</v>
      </c>
      <c r="H444">
        <v>2</v>
      </c>
      <c r="I444">
        <v>2024</v>
      </c>
      <c r="J444">
        <v>20</v>
      </c>
      <c r="K444">
        <v>0</v>
      </c>
      <c r="M444" t="s">
        <v>247</v>
      </c>
      <c r="N444" t="s">
        <v>31</v>
      </c>
      <c r="O444" t="s">
        <v>38</v>
      </c>
      <c r="P444" t="s">
        <v>340</v>
      </c>
      <c r="Q444" t="s">
        <v>381</v>
      </c>
      <c r="R444" t="s">
        <v>105</v>
      </c>
      <c r="S444" t="s">
        <v>666</v>
      </c>
      <c r="T444" t="s">
        <v>54</v>
      </c>
      <c r="U444" t="s">
        <v>238</v>
      </c>
      <c r="V444">
        <v>1</v>
      </c>
      <c r="Z444" t="s">
        <v>36</v>
      </c>
      <c r="AA444" t="s">
        <v>44</v>
      </c>
      <c r="AB444" t="s">
        <v>45</v>
      </c>
    </row>
    <row r="445" spans="1:28" hidden="1" x14ac:dyDescent="0.2">
      <c r="A445" s="1">
        <v>45580</v>
      </c>
      <c r="B445" s="1">
        <v>45580</v>
      </c>
      <c r="C445" t="s">
        <v>651</v>
      </c>
      <c r="D445" t="s">
        <v>906</v>
      </c>
      <c r="E445">
        <v>-76.726200183035203</v>
      </c>
      <c r="F445" s="2">
        <v>3.4997722524120198</v>
      </c>
      <c r="G445">
        <v>1796</v>
      </c>
      <c r="H445">
        <v>2</v>
      </c>
      <c r="I445">
        <v>2024</v>
      </c>
      <c r="J445">
        <v>20</v>
      </c>
      <c r="K445">
        <v>0</v>
      </c>
      <c r="M445" t="s">
        <v>247</v>
      </c>
      <c r="N445" t="s">
        <v>31</v>
      </c>
      <c r="O445" t="s">
        <v>38</v>
      </c>
      <c r="P445" t="s">
        <v>340</v>
      </c>
      <c r="Q445" t="s">
        <v>381</v>
      </c>
      <c r="R445" t="s">
        <v>105</v>
      </c>
      <c r="S445" t="s">
        <v>651</v>
      </c>
      <c r="T445" t="s">
        <v>54</v>
      </c>
      <c r="U445" t="s">
        <v>238</v>
      </c>
      <c r="V445">
        <v>1</v>
      </c>
      <c r="Z445" t="s">
        <v>36</v>
      </c>
      <c r="AA445" t="s">
        <v>65</v>
      </c>
      <c r="AB445" t="s">
        <v>45</v>
      </c>
    </row>
    <row r="446" spans="1:28" hidden="1" x14ac:dyDescent="0.2">
      <c r="A446" s="1">
        <v>45580</v>
      </c>
      <c r="B446" s="1">
        <v>45580</v>
      </c>
      <c r="C446" t="s">
        <v>41</v>
      </c>
      <c r="D446" t="s">
        <v>907</v>
      </c>
      <c r="E446">
        <v>-76.647130000000004</v>
      </c>
      <c r="F446" s="2">
        <v>3.34948333333333</v>
      </c>
      <c r="G446">
        <v>2400</v>
      </c>
      <c r="H446">
        <v>1</v>
      </c>
      <c r="I446">
        <v>2024</v>
      </c>
      <c r="J446">
        <v>7</v>
      </c>
      <c r="K446">
        <v>5</v>
      </c>
      <c r="M446" t="s">
        <v>624</v>
      </c>
      <c r="N446" t="s">
        <v>31</v>
      </c>
      <c r="O446" t="s">
        <v>38</v>
      </c>
      <c r="P446" t="s">
        <v>643</v>
      </c>
      <c r="Q446" t="s">
        <v>341</v>
      </c>
      <c r="R446" t="s">
        <v>258</v>
      </c>
      <c r="S446" t="s">
        <v>41</v>
      </c>
      <c r="T446" t="s">
        <v>42</v>
      </c>
      <c r="U446" t="s">
        <v>252</v>
      </c>
      <c r="V446">
        <v>1</v>
      </c>
      <c r="Z446" t="s">
        <v>36</v>
      </c>
      <c r="AA446" t="s">
        <v>65</v>
      </c>
      <c r="AB446" t="s">
        <v>45</v>
      </c>
    </row>
    <row r="447" spans="1:28" hidden="1" x14ac:dyDescent="0.2">
      <c r="A447" s="1">
        <v>45580</v>
      </c>
      <c r="B447" s="1">
        <v>45580</v>
      </c>
      <c r="C447" t="s">
        <v>41</v>
      </c>
      <c r="D447" t="s">
        <v>908</v>
      </c>
      <c r="E447">
        <v>-76.647108333333307</v>
      </c>
      <c r="F447" s="2">
        <v>3.3484833333333301</v>
      </c>
      <c r="G447">
        <v>2400</v>
      </c>
      <c r="H447">
        <v>30</v>
      </c>
      <c r="I447">
        <v>2024</v>
      </c>
      <c r="J447">
        <v>6</v>
      </c>
      <c r="K447">
        <v>10</v>
      </c>
      <c r="M447" t="s">
        <v>624</v>
      </c>
      <c r="N447" t="s">
        <v>31</v>
      </c>
      <c r="O447" t="s">
        <v>32</v>
      </c>
      <c r="P447" t="s">
        <v>643</v>
      </c>
      <c r="Q447" t="s">
        <v>341</v>
      </c>
      <c r="R447" t="s">
        <v>53</v>
      </c>
      <c r="S447" t="s">
        <v>695</v>
      </c>
      <c r="T447" t="s">
        <v>91</v>
      </c>
      <c r="U447" t="s">
        <v>909</v>
      </c>
      <c r="V447">
        <v>1</v>
      </c>
      <c r="W447" t="s">
        <v>910</v>
      </c>
      <c r="Z447" t="s">
        <v>36</v>
      </c>
      <c r="AA447" t="s">
        <v>44</v>
      </c>
      <c r="AB447" t="s">
        <v>45</v>
      </c>
    </row>
    <row r="448" spans="1:28" hidden="1" x14ac:dyDescent="0.2">
      <c r="A448" s="1">
        <v>45580</v>
      </c>
      <c r="B448" s="1">
        <v>45580</v>
      </c>
      <c r="C448" t="s">
        <v>41</v>
      </c>
      <c r="D448" t="s">
        <v>911</v>
      </c>
      <c r="E448">
        <v>-76.646879999999996</v>
      </c>
      <c r="F448" s="2">
        <v>3.34896666666666</v>
      </c>
      <c r="G448">
        <v>2400</v>
      </c>
      <c r="H448">
        <v>30</v>
      </c>
      <c r="I448">
        <v>2024</v>
      </c>
      <c r="J448">
        <v>6</v>
      </c>
      <c r="K448">
        <v>10</v>
      </c>
      <c r="M448" t="s">
        <v>624</v>
      </c>
      <c r="N448" t="s">
        <v>31</v>
      </c>
      <c r="O448" t="s">
        <v>32</v>
      </c>
      <c r="P448" t="s">
        <v>643</v>
      </c>
      <c r="Q448" t="s">
        <v>341</v>
      </c>
      <c r="R448" t="s">
        <v>258</v>
      </c>
      <c r="S448" t="s">
        <v>695</v>
      </c>
      <c r="T448" t="s">
        <v>54</v>
      </c>
      <c r="U448" t="s">
        <v>238</v>
      </c>
      <c r="V448">
        <v>1</v>
      </c>
      <c r="Z448" t="s">
        <v>36</v>
      </c>
      <c r="AA448" t="s">
        <v>44</v>
      </c>
      <c r="AB448" t="s">
        <v>45</v>
      </c>
    </row>
    <row r="449" spans="1:28" hidden="1" x14ac:dyDescent="0.2">
      <c r="A449" s="1">
        <v>45555</v>
      </c>
      <c r="B449" s="1">
        <v>45555</v>
      </c>
      <c r="C449" t="s">
        <v>651</v>
      </c>
      <c r="D449" t="s">
        <v>912</v>
      </c>
      <c r="E449">
        <v>-76.680930000000004</v>
      </c>
      <c r="F449" s="2">
        <v>3.40150666666666</v>
      </c>
      <c r="G449">
        <v>3124</v>
      </c>
      <c r="H449">
        <v>0</v>
      </c>
      <c r="I449">
        <v>2024</v>
      </c>
      <c r="J449">
        <v>20</v>
      </c>
      <c r="K449">
        <v>5</v>
      </c>
      <c r="M449" t="s">
        <v>916</v>
      </c>
      <c r="N449" t="s">
        <v>31</v>
      </c>
      <c r="O449" t="s">
        <v>32</v>
      </c>
      <c r="P449" t="s">
        <v>913</v>
      </c>
      <c r="Q449" t="s">
        <v>34</v>
      </c>
      <c r="R449" t="s">
        <v>412</v>
      </c>
      <c r="U449" t="s">
        <v>36</v>
      </c>
    </row>
    <row r="450" spans="1:28" hidden="1" x14ac:dyDescent="0.2">
      <c r="A450" s="1">
        <v>45555</v>
      </c>
      <c r="B450" s="1">
        <v>45555</v>
      </c>
      <c r="C450" t="s">
        <v>651</v>
      </c>
      <c r="D450" t="s">
        <v>914</v>
      </c>
      <c r="E450">
        <v>-76.679458333333301</v>
      </c>
      <c r="F450" s="2">
        <v>3.4008366666666601</v>
      </c>
      <c r="G450">
        <v>3124</v>
      </c>
      <c r="H450">
        <v>0</v>
      </c>
      <c r="I450">
        <v>2024</v>
      </c>
      <c r="J450">
        <v>20</v>
      </c>
      <c r="K450">
        <v>5</v>
      </c>
      <c r="M450" t="s">
        <v>916</v>
      </c>
      <c r="N450" t="s">
        <v>31</v>
      </c>
      <c r="O450" t="s">
        <v>38</v>
      </c>
      <c r="P450" t="s">
        <v>913</v>
      </c>
      <c r="Q450" t="s">
        <v>34</v>
      </c>
      <c r="R450" t="s">
        <v>412</v>
      </c>
      <c r="S450" t="s">
        <v>695</v>
      </c>
      <c r="T450" t="s">
        <v>54</v>
      </c>
      <c r="U450" t="s">
        <v>915</v>
      </c>
      <c r="V450">
        <v>1</v>
      </c>
      <c r="Z450" t="s">
        <v>36</v>
      </c>
      <c r="AA450" t="s">
        <v>44</v>
      </c>
      <c r="AB450" t="s">
        <v>45</v>
      </c>
    </row>
    <row r="451" spans="1:28" hidden="1" x14ac:dyDescent="0.2">
      <c r="A451" s="3">
        <v>42997</v>
      </c>
      <c r="D451" s="5">
        <v>0.38333333333333336</v>
      </c>
      <c r="E451">
        <v>-76.688502777777785</v>
      </c>
      <c r="F451">
        <v>3.4086722222222221</v>
      </c>
      <c r="G451">
        <v>3410</v>
      </c>
      <c r="H451">
        <v>2</v>
      </c>
      <c r="I451">
        <v>2017</v>
      </c>
      <c r="J451">
        <v>5</v>
      </c>
      <c r="K451">
        <v>30</v>
      </c>
      <c r="M451" t="s">
        <v>916</v>
      </c>
      <c r="O451" t="s">
        <v>32</v>
      </c>
      <c r="P451" t="s">
        <v>1151</v>
      </c>
      <c r="S451" t="s">
        <v>945</v>
      </c>
      <c r="U451" t="s">
        <v>36</v>
      </c>
      <c r="V451">
        <v>0</v>
      </c>
      <c r="W451" t="s">
        <v>1034</v>
      </c>
      <c r="Z451" t="s">
        <v>36</v>
      </c>
    </row>
    <row r="452" spans="1:28" hidden="1" x14ac:dyDescent="0.2">
      <c r="A452" s="3">
        <v>42997</v>
      </c>
      <c r="D452" s="5">
        <v>0.4</v>
      </c>
      <c r="E452">
        <v>-76.688802777777781</v>
      </c>
      <c r="F452">
        <v>3.409130555555556</v>
      </c>
      <c r="G452">
        <v>3389</v>
      </c>
      <c r="H452">
        <v>1.3</v>
      </c>
      <c r="I452">
        <v>2017</v>
      </c>
      <c r="J452">
        <v>3</v>
      </c>
      <c r="K452">
        <v>35</v>
      </c>
      <c r="M452" t="s">
        <v>916</v>
      </c>
      <c r="O452" t="s">
        <v>32</v>
      </c>
      <c r="P452" t="s">
        <v>1151</v>
      </c>
      <c r="S452" t="s">
        <v>945</v>
      </c>
      <c r="U452" t="s">
        <v>36</v>
      </c>
      <c r="V452">
        <v>0</v>
      </c>
      <c r="Z452" t="s">
        <v>36</v>
      </c>
    </row>
    <row r="453" spans="1:28" hidden="1" x14ac:dyDescent="0.2">
      <c r="A453" s="3">
        <v>42997</v>
      </c>
      <c r="D453" s="5">
        <v>0.38472222222222224</v>
      </c>
      <c r="E453">
        <v>-76.688336111111099</v>
      </c>
      <c r="F453">
        <v>3.4086722222222221</v>
      </c>
      <c r="G453">
        <v>3410</v>
      </c>
      <c r="H453">
        <v>2</v>
      </c>
      <c r="I453">
        <v>2017</v>
      </c>
      <c r="J453">
        <v>5</v>
      </c>
      <c r="K453">
        <v>30</v>
      </c>
      <c r="M453" t="s">
        <v>916</v>
      </c>
      <c r="O453" t="s">
        <v>32</v>
      </c>
      <c r="P453" t="s">
        <v>1151</v>
      </c>
      <c r="S453" t="s">
        <v>946</v>
      </c>
      <c r="U453" t="s">
        <v>36</v>
      </c>
      <c r="V453">
        <v>0</v>
      </c>
      <c r="Z453" t="s">
        <v>36</v>
      </c>
    </row>
    <row r="454" spans="1:28" hidden="1" x14ac:dyDescent="0.2">
      <c r="A454" s="3">
        <v>42997</v>
      </c>
      <c r="D454" s="5">
        <v>0.40347222222222223</v>
      </c>
      <c r="E454">
        <v>-76.688600000000008</v>
      </c>
      <c r="F454">
        <v>3.4091916666666671</v>
      </c>
      <c r="G454">
        <v>3391</v>
      </c>
      <c r="H454">
        <v>0.8</v>
      </c>
      <c r="I454">
        <v>2017</v>
      </c>
      <c r="J454">
        <v>5</v>
      </c>
      <c r="K454">
        <v>60</v>
      </c>
      <c r="M454" t="s">
        <v>916</v>
      </c>
      <c r="O454" t="s">
        <v>32</v>
      </c>
      <c r="P454" t="s">
        <v>1151</v>
      </c>
      <c r="S454" t="s">
        <v>946</v>
      </c>
      <c r="U454" t="s">
        <v>36</v>
      </c>
      <c r="V454">
        <v>0</v>
      </c>
      <c r="W454" t="s">
        <v>1034</v>
      </c>
      <c r="Z454" t="s">
        <v>36</v>
      </c>
    </row>
    <row r="455" spans="1:28" hidden="1" x14ac:dyDescent="0.2">
      <c r="A455" s="3">
        <v>42997</v>
      </c>
      <c r="D455" s="5">
        <v>0.42638888888888887</v>
      </c>
      <c r="E455">
        <v>-76.688336111111113</v>
      </c>
      <c r="F455">
        <v>3.409880555555556</v>
      </c>
      <c r="G455">
        <v>3367</v>
      </c>
      <c r="H455">
        <v>1.3</v>
      </c>
      <c r="I455">
        <v>2017</v>
      </c>
      <c r="J455">
        <v>6</v>
      </c>
      <c r="K455">
        <v>5</v>
      </c>
      <c r="M455" t="s">
        <v>916</v>
      </c>
      <c r="O455" t="s">
        <v>38</v>
      </c>
      <c r="P455" t="s">
        <v>1151</v>
      </c>
      <c r="S455" t="s">
        <v>946</v>
      </c>
      <c r="U455" t="s">
        <v>36</v>
      </c>
      <c r="V455">
        <v>0</v>
      </c>
      <c r="Z455" t="s">
        <v>36</v>
      </c>
    </row>
    <row r="456" spans="1:28" hidden="1" x14ac:dyDescent="0.2">
      <c r="A456" s="3">
        <v>42997</v>
      </c>
      <c r="D456" s="5">
        <v>0.43819444444444444</v>
      </c>
      <c r="E456">
        <v>-76.688472222222231</v>
      </c>
      <c r="F456">
        <v>3.4099861111111109</v>
      </c>
      <c r="G456">
        <v>3355</v>
      </c>
      <c r="H456">
        <v>1.1000000000000001</v>
      </c>
      <c r="I456">
        <v>2017</v>
      </c>
      <c r="J456">
        <v>8</v>
      </c>
      <c r="K456">
        <v>15</v>
      </c>
      <c r="M456" t="s">
        <v>916</v>
      </c>
      <c r="O456" t="s">
        <v>38</v>
      </c>
      <c r="P456" t="s">
        <v>1151</v>
      </c>
      <c r="S456" t="s">
        <v>946</v>
      </c>
      <c r="U456" t="s">
        <v>36</v>
      </c>
      <c r="V456">
        <v>0</v>
      </c>
      <c r="W456" t="s">
        <v>1035</v>
      </c>
      <c r="Z456" t="s">
        <v>36</v>
      </c>
    </row>
    <row r="457" spans="1:28" hidden="1" x14ac:dyDescent="0.2">
      <c r="A457" s="3">
        <v>42997</v>
      </c>
      <c r="D457" s="5">
        <v>0.44444444444444442</v>
      </c>
      <c r="E457">
        <v>-76.688394444444455</v>
      </c>
      <c r="F457">
        <v>3.410563888888889</v>
      </c>
      <c r="G457">
        <v>3354</v>
      </c>
      <c r="H457">
        <v>1</v>
      </c>
      <c r="I457">
        <v>2017</v>
      </c>
      <c r="J457">
        <v>6</v>
      </c>
      <c r="K457">
        <v>7</v>
      </c>
      <c r="M457" t="s">
        <v>916</v>
      </c>
      <c r="O457" t="s">
        <v>38</v>
      </c>
      <c r="P457" t="s">
        <v>1151</v>
      </c>
      <c r="S457" t="s">
        <v>946</v>
      </c>
      <c r="U457" t="s">
        <v>36</v>
      </c>
      <c r="V457">
        <v>0</v>
      </c>
      <c r="W457" t="s">
        <v>1036</v>
      </c>
      <c r="Z457" t="s">
        <v>36</v>
      </c>
    </row>
    <row r="458" spans="1:28" hidden="1" x14ac:dyDescent="0.2">
      <c r="A458" s="3">
        <v>42997</v>
      </c>
      <c r="D458" s="5">
        <v>0.45</v>
      </c>
      <c r="E458">
        <v>-76.688547222222226</v>
      </c>
      <c r="F458">
        <v>3.410566666666667</v>
      </c>
      <c r="G458">
        <v>3352</v>
      </c>
      <c r="H458">
        <v>1.3</v>
      </c>
      <c r="I458">
        <v>2017</v>
      </c>
      <c r="J458">
        <v>5</v>
      </c>
      <c r="K458">
        <v>12</v>
      </c>
      <c r="M458" t="s">
        <v>916</v>
      </c>
      <c r="O458" t="s">
        <v>38</v>
      </c>
      <c r="P458" t="s">
        <v>1151</v>
      </c>
      <c r="S458" t="s">
        <v>945</v>
      </c>
      <c r="U458" t="s">
        <v>36</v>
      </c>
      <c r="V458">
        <v>0</v>
      </c>
      <c r="W458" t="s">
        <v>1037</v>
      </c>
      <c r="Z458" t="s">
        <v>36</v>
      </c>
    </row>
    <row r="459" spans="1:28" hidden="1" x14ac:dyDescent="0.2">
      <c r="A459" s="3">
        <v>42997</v>
      </c>
      <c r="D459" s="5">
        <v>0.45416666666666666</v>
      </c>
      <c r="E459">
        <v>-76.688541666666666</v>
      </c>
      <c r="F459">
        <v>3.410563888888889</v>
      </c>
      <c r="G459">
        <v>3356</v>
      </c>
      <c r="H459">
        <v>1</v>
      </c>
      <c r="I459">
        <v>2017</v>
      </c>
      <c r="J459">
        <v>4</v>
      </c>
      <c r="K459">
        <v>10</v>
      </c>
      <c r="M459" t="s">
        <v>916</v>
      </c>
      <c r="O459" t="s">
        <v>38</v>
      </c>
      <c r="P459" t="s">
        <v>1151</v>
      </c>
      <c r="S459" t="s">
        <v>945</v>
      </c>
      <c r="U459" t="s">
        <v>36</v>
      </c>
      <c r="V459">
        <v>0</v>
      </c>
      <c r="W459" t="s">
        <v>1034</v>
      </c>
      <c r="Z459" t="s">
        <v>36</v>
      </c>
    </row>
    <row r="460" spans="1:28" hidden="1" x14ac:dyDescent="0.2">
      <c r="A460" s="3">
        <v>42997</v>
      </c>
      <c r="D460" s="5">
        <v>0.47916666666666669</v>
      </c>
      <c r="E460">
        <v>-76.689163888888899</v>
      </c>
      <c r="F460">
        <v>3.4109472222222221</v>
      </c>
      <c r="G460">
        <v>3313</v>
      </c>
      <c r="I460">
        <v>2017</v>
      </c>
      <c r="J460">
        <v>3</v>
      </c>
      <c r="K460">
        <v>25</v>
      </c>
      <c r="M460" t="s">
        <v>916</v>
      </c>
      <c r="O460" t="s">
        <v>40</v>
      </c>
      <c r="P460" t="s">
        <v>1151</v>
      </c>
      <c r="S460" t="s">
        <v>946</v>
      </c>
      <c r="U460" t="s">
        <v>36</v>
      </c>
      <c r="V460">
        <v>0</v>
      </c>
      <c r="W460" t="s">
        <v>1038</v>
      </c>
      <c r="Z460" t="s">
        <v>36</v>
      </c>
    </row>
    <row r="461" spans="1:28" hidden="1" x14ac:dyDescent="0.2">
      <c r="A461" s="3">
        <v>42997</v>
      </c>
      <c r="D461" s="5">
        <v>0.49236111111111114</v>
      </c>
      <c r="E461">
        <v>-76.689147222222232</v>
      </c>
      <c r="F461">
        <v>3.4113833333333332</v>
      </c>
      <c r="G461">
        <v>3314</v>
      </c>
      <c r="I461">
        <v>2017</v>
      </c>
      <c r="J461">
        <v>6</v>
      </c>
      <c r="K461">
        <v>30</v>
      </c>
      <c r="M461" t="s">
        <v>916</v>
      </c>
      <c r="O461" t="s">
        <v>40</v>
      </c>
      <c r="P461" t="s">
        <v>1151</v>
      </c>
      <c r="S461" t="s">
        <v>946</v>
      </c>
      <c r="U461" t="s">
        <v>36</v>
      </c>
      <c r="V461">
        <v>0</v>
      </c>
      <c r="W461" t="s">
        <v>1039</v>
      </c>
      <c r="Z461" t="s">
        <v>36</v>
      </c>
    </row>
    <row r="462" spans="1:28" hidden="1" x14ac:dyDescent="0.2">
      <c r="A462" s="3">
        <v>42997</v>
      </c>
      <c r="D462" s="5">
        <v>0.4861111111111111</v>
      </c>
      <c r="E462">
        <v>-76.689163888888899</v>
      </c>
      <c r="F462">
        <v>3.4109472222222221</v>
      </c>
      <c r="G462">
        <v>3312</v>
      </c>
      <c r="I462">
        <v>2017</v>
      </c>
      <c r="J462">
        <v>6</v>
      </c>
      <c r="K462">
        <v>20</v>
      </c>
      <c r="M462" t="s">
        <v>916</v>
      </c>
      <c r="O462" t="s">
        <v>40</v>
      </c>
      <c r="P462" t="s">
        <v>1151</v>
      </c>
      <c r="S462" t="s">
        <v>945</v>
      </c>
      <c r="U462" t="s">
        <v>36</v>
      </c>
      <c r="V462">
        <v>0</v>
      </c>
      <c r="W462" t="s">
        <v>1040</v>
      </c>
      <c r="Z462" t="s">
        <v>36</v>
      </c>
    </row>
    <row r="463" spans="1:28" hidden="1" x14ac:dyDescent="0.2">
      <c r="A463" s="3">
        <v>42997</v>
      </c>
      <c r="D463" s="5">
        <v>0.5</v>
      </c>
      <c r="E463">
        <v>-76.689111111111117</v>
      </c>
      <c r="F463">
        <v>3.4113027777777778</v>
      </c>
      <c r="G463">
        <v>3315</v>
      </c>
      <c r="I463">
        <v>2017</v>
      </c>
      <c r="J463">
        <v>7</v>
      </c>
      <c r="K463">
        <v>10</v>
      </c>
      <c r="M463" t="s">
        <v>916</v>
      </c>
      <c r="O463" t="s">
        <v>40</v>
      </c>
      <c r="P463" t="s">
        <v>1151</v>
      </c>
      <c r="S463" t="s">
        <v>945</v>
      </c>
      <c r="U463" t="s">
        <v>36</v>
      </c>
      <c r="V463">
        <v>0</v>
      </c>
      <c r="W463" t="s">
        <v>1040</v>
      </c>
      <c r="Z463" t="s">
        <v>36</v>
      </c>
    </row>
    <row r="464" spans="1:28" hidden="1" x14ac:dyDescent="0.2">
      <c r="A464" s="3">
        <v>42997</v>
      </c>
      <c r="D464" s="5"/>
      <c r="E464">
        <v>-76.689163888888899</v>
      </c>
      <c r="F464">
        <v>3.411661111111111</v>
      </c>
      <c r="G464">
        <v>3314</v>
      </c>
      <c r="I464">
        <v>2017</v>
      </c>
      <c r="J464">
        <v>4</v>
      </c>
      <c r="K464">
        <v>6</v>
      </c>
      <c r="M464" t="s">
        <v>916</v>
      </c>
      <c r="O464" t="s">
        <v>40</v>
      </c>
      <c r="P464" t="s">
        <v>1151</v>
      </c>
      <c r="U464" t="s">
        <v>36</v>
      </c>
      <c r="V464">
        <v>0</v>
      </c>
      <c r="W464" t="s">
        <v>1041</v>
      </c>
      <c r="Z464" t="s">
        <v>36</v>
      </c>
    </row>
    <row r="465" spans="1:26" hidden="1" x14ac:dyDescent="0.2">
      <c r="A465" s="3">
        <v>42997</v>
      </c>
      <c r="D465" s="5">
        <v>0.42638888888888887</v>
      </c>
      <c r="E465">
        <v>-76.688336111111113</v>
      </c>
      <c r="F465">
        <v>3.409880555555556</v>
      </c>
      <c r="G465">
        <v>3367</v>
      </c>
      <c r="H465">
        <v>1.3</v>
      </c>
      <c r="I465">
        <v>2017</v>
      </c>
      <c r="J465">
        <v>6</v>
      </c>
      <c r="K465">
        <v>5</v>
      </c>
      <c r="M465" t="s">
        <v>916</v>
      </c>
      <c r="O465" t="s">
        <v>38</v>
      </c>
      <c r="P465" t="s">
        <v>1151</v>
      </c>
      <c r="S465" t="s">
        <v>946</v>
      </c>
      <c r="U465" t="s">
        <v>36</v>
      </c>
      <c r="V465">
        <v>0</v>
      </c>
      <c r="Z465" t="s">
        <v>36</v>
      </c>
    </row>
    <row r="466" spans="1:26" hidden="1" x14ac:dyDescent="0.2">
      <c r="A466" s="3">
        <v>42997</v>
      </c>
      <c r="D466" s="5">
        <v>0.43819444444444444</v>
      </c>
      <c r="E466">
        <v>-76.688472222222231</v>
      </c>
      <c r="F466">
        <v>3.4099861111111109</v>
      </c>
      <c r="G466">
        <v>3355</v>
      </c>
      <c r="H466">
        <v>1.1000000000000001</v>
      </c>
      <c r="I466">
        <v>2017</v>
      </c>
      <c r="J466">
        <v>8</v>
      </c>
      <c r="K466">
        <v>15</v>
      </c>
      <c r="M466" t="s">
        <v>916</v>
      </c>
      <c r="O466" t="s">
        <v>38</v>
      </c>
      <c r="P466" t="s">
        <v>1151</v>
      </c>
      <c r="S466" t="s">
        <v>946</v>
      </c>
      <c r="U466" t="s">
        <v>36</v>
      </c>
      <c r="V466">
        <v>0</v>
      </c>
      <c r="W466" t="s">
        <v>1035</v>
      </c>
      <c r="Z466" t="s">
        <v>36</v>
      </c>
    </row>
    <row r="467" spans="1:26" hidden="1" x14ac:dyDescent="0.2">
      <c r="A467" s="3">
        <v>42997</v>
      </c>
      <c r="D467" s="5">
        <v>0.44444444444444442</v>
      </c>
      <c r="E467">
        <v>-76.688394444444455</v>
      </c>
      <c r="F467">
        <v>3.410563888888889</v>
      </c>
      <c r="G467">
        <v>3354</v>
      </c>
      <c r="H467">
        <v>1</v>
      </c>
      <c r="I467">
        <v>2017</v>
      </c>
      <c r="J467">
        <v>6</v>
      </c>
      <c r="K467">
        <v>7</v>
      </c>
      <c r="M467" t="s">
        <v>916</v>
      </c>
      <c r="O467" t="s">
        <v>38</v>
      </c>
      <c r="P467" t="s">
        <v>1151</v>
      </c>
      <c r="S467" t="s">
        <v>946</v>
      </c>
      <c r="U467" t="s">
        <v>36</v>
      </c>
      <c r="V467">
        <v>0</v>
      </c>
      <c r="W467" t="s">
        <v>1036</v>
      </c>
      <c r="Z467" t="s">
        <v>36</v>
      </c>
    </row>
    <row r="468" spans="1:26" hidden="1" x14ac:dyDescent="0.2">
      <c r="A468" s="3">
        <v>42997</v>
      </c>
      <c r="D468" s="5">
        <v>0.91666666666666663</v>
      </c>
      <c r="E468">
        <v>-76.689166666666665</v>
      </c>
      <c r="F468">
        <v>3.4113055555555549</v>
      </c>
      <c r="G468">
        <v>3293</v>
      </c>
      <c r="I468">
        <v>2017</v>
      </c>
      <c r="J468">
        <v>4</v>
      </c>
      <c r="K468">
        <v>25</v>
      </c>
      <c r="M468" t="s">
        <v>916</v>
      </c>
      <c r="O468" t="s">
        <v>40</v>
      </c>
      <c r="P468" t="s">
        <v>1151</v>
      </c>
      <c r="S468" t="s">
        <v>945</v>
      </c>
      <c r="U468" t="s">
        <v>923</v>
      </c>
      <c r="V468">
        <v>1</v>
      </c>
      <c r="W468" t="s">
        <v>1042</v>
      </c>
      <c r="Z468" t="s">
        <v>36</v>
      </c>
    </row>
    <row r="469" spans="1:26" hidden="1" x14ac:dyDescent="0.2">
      <c r="A469" s="3">
        <v>42997</v>
      </c>
      <c r="D469" s="5">
        <v>0.95138888888888884</v>
      </c>
      <c r="E469">
        <v>-76.689361111111111</v>
      </c>
      <c r="F469">
        <v>3.4115833333333332</v>
      </c>
      <c r="G469">
        <v>3295</v>
      </c>
      <c r="H469">
        <v>0.5</v>
      </c>
      <c r="I469">
        <v>2017</v>
      </c>
      <c r="J469">
        <v>6</v>
      </c>
      <c r="K469">
        <v>10</v>
      </c>
      <c r="M469" t="s">
        <v>916</v>
      </c>
      <c r="O469" t="s">
        <v>47</v>
      </c>
      <c r="P469" t="s">
        <v>1151</v>
      </c>
      <c r="S469" t="s">
        <v>947</v>
      </c>
      <c r="U469" t="s">
        <v>36</v>
      </c>
      <c r="V469">
        <v>0</v>
      </c>
      <c r="W469" t="s">
        <v>1043</v>
      </c>
      <c r="Z469" t="s">
        <v>36</v>
      </c>
    </row>
    <row r="470" spans="1:26" hidden="1" x14ac:dyDescent="0.2">
      <c r="A470" s="3">
        <v>42998</v>
      </c>
      <c r="D470" s="5">
        <v>0.4236111111111111</v>
      </c>
      <c r="E470">
        <v>-76.690694444444446</v>
      </c>
      <c r="F470">
        <v>3.406194444444445</v>
      </c>
      <c r="G470">
        <v>3416</v>
      </c>
      <c r="I470">
        <v>2017</v>
      </c>
      <c r="J470">
        <v>0.3</v>
      </c>
      <c r="K470">
        <v>14</v>
      </c>
      <c r="M470" t="s">
        <v>916</v>
      </c>
      <c r="O470" t="s">
        <v>47</v>
      </c>
      <c r="P470" t="s">
        <v>1152</v>
      </c>
      <c r="S470" t="s">
        <v>946</v>
      </c>
      <c r="U470" t="s">
        <v>36</v>
      </c>
      <c r="V470">
        <v>0</v>
      </c>
      <c r="W470" t="s">
        <v>1034</v>
      </c>
      <c r="Z470" t="s">
        <v>36</v>
      </c>
    </row>
    <row r="471" spans="1:26" hidden="1" x14ac:dyDescent="0.2">
      <c r="A471" s="3">
        <v>42998</v>
      </c>
      <c r="D471" s="5">
        <v>0.41736111111111113</v>
      </c>
      <c r="E471">
        <v>-76.690777777777782</v>
      </c>
      <c r="F471">
        <v>3.4060555555555561</v>
      </c>
      <c r="G471">
        <v>3422</v>
      </c>
      <c r="I471">
        <v>2017</v>
      </c>
      <c r="J471">
        <v>1.5</v>
      </c>
      <c r="K471">
        <v>15</v>
      </c>
      <c r="M471" t="s">
        <v>916</v>
      </c>
      <c r="O471" t="s">
        <v>47</v>
      </c>
      <c r="P471" t="s">
        <v>1152</v>
      </c>
      <c r="S471" t="s">
        <v>945</v>
      </c>
      <c r="U471" t="s">
        <v>36</v>
      </c>
      <c r="V471">
        <v>0</v>
      </c>
      <c r="W471" t="s">
        <v>1044</v>
      </c>
      <c r="Z471" t="s">
        <v>36</v>
      </c>
    </row>
    <row r="472" spans="1:26" hidden="1" x14ac:dyDescent="0.2">
      <c r="A472" s="3">
        <v>42998</v>
      </c>
      <c r="D472" s="5">
        <v>0.4236111111111111</v>
      </c>
      <c r="E472">
        <v>-76.690750000000008</v>
      </c>
      <c r="F472">
        <v>3.4061111111111111</v>
      </c>
      <c r="G472">
        <v>3419</v>
      </c>
      <c r="I472">
        <v>2017</v>
      </c>
      <c r="J472">
        <v>2</v>
      </c>
      <c r="K472">
        <v>12</v>
      </c>
      <c r="M472" t="s">
        <v>916</v>
      </c>
      <c r="O472" t="s">
        <v>47</v>
      </c>
      <c r="P472" t="s">
        <v>1152</v>
      </c>
      <c r="S472" t="s">
        <v>948</v>
      </c>
      <c r="U472" t="s">
        <v>36</v>
      </c>
      <c r="V472">
        <v>0</v>
      </c>
      <c r="W472" t="s">
        <v>1045</v>
      </c>
      <c r="Z472" t="s">
        <v>36</v>
      </c>
    </row>
    <row r="473" spans="1:26" hidden="1" x14ac:dyDescent="0.2">
      <c r="A473" s="3">
        <v>42998</v>
      </c>
      <c r="D473" s="5">
        <v>0.45902777777777776</v>
      </c>
      <c r="E473">
        <v>-76.688527777777779</v>
      </c>
      <c r="F473">
        <v>3.4080277777777779</v>
      </c>
      <c r="G473">
        <v>3420</v>
      </c>
      <c r="I473">
        <v>2017</v>
      </c>
      <c r="J473">
        <v>2</v>
      </c>
      <c r="K473">
        <v>8</v>
      </c>
      <c r="M473" t="s">
        <v>916</v>
      </c>
      <c r="O473" t="s">
        <v>32</v>
      </c>
      <c r="P473" t="s">
        <v>1152</v>
      </c>
      <c r="S473" t="s">
        <v>946</v>
      </c>
      <c r="U473" t="s">
        <v>36</v>
      </c>
      <c r="V473">
        <v>0</v>
      </c>
      <c r="W473" t="s">
        <v>1034</v>
      </c>
      <c r="Z473" t="s">
        <v>36</v>
      </c>
    </row>
    <row r="474" spans="1:26" hidden="1" x14ac:dyDescent="0.2">
      <c r="A474" s="3">
        <v>42998</v>
      </c>
      <c r="D474" s="5">
        <v>0.90833333333333333</v>
      </c>
      <c r="E474">
        <v>-76.690583333333336</v>
      </c>
      <c r="F474">
        <v>3.4066666666666672</v>
      </c>
      <c r="G474">
        <v>3420</v>
      </c>
      <c r="I474">
        <v>2017</v>
      </c>
      <c r="J474">
        <v>2</v>
      </c>
      <c r="K474">
        <v>6</v>
      </c>
      <c r="M474" t="s">
        <v>916</v>
      </c>
      <c r="O474" t="s">
        <v>40</v>
      </c>
      <c r="P474" t="s">
        <v>1152</v>
      </c>
      <c r="R474" t="s">
        <v>919</v>
      </c>
      <c r="S474" t="s">
        <v>946</v>
      </c>
      <c r="U474" t="s">
        <v>924</v>
      </c>
      <c r="V474">
        <v>1</v>
      </c>
      <c r="Z474" t="s">
        <v>36</v>
      </c>
    </row>
    <row r="475" spans="1:26" hidden="1" x14ac:dyDescent="0.2">
      <c r="A475" s="3">
        <v>42998</v>
      </c>
      <c r="D475" s="5">
        <v>0.92361111111111116</v>
      </c>
      <c r="E475">
        <v>-76.69061111111111</v>
      </c>
      <c r="F475">
        <v>3.4063888888888889</v>
      </c>
      <c r="G475">
        <v>3429</v>
      </c>
      <c r="I475">
        <v>2017</v>
      </c>
      <c r="K475">
        <v>8</v>
      </c>
      <c r="M475" t="s">
        <v>916</v>
      </c>
      <c r="O475" t="s">
        <v>47</v>
      </c>
      <c r="P475" t="s">
        <v>1152</v>
      </c>
      <c r="R475" t="s">
        <v>919</v>
      </c>
      <c r="S475" t="s">
        <v>946</v>
      </c>
      <c r="U475" t="s">
        <v>924</v>
      </c>
      <c r="V475">
        <v>1</v>
      </c>
      <c r="Z475" t="s">
        <v>36</v>
      </c>
    </row>
    <row r="476" spans="1:26" hidden="1" x14ac:dyDescent="0.2">
      <c r="A476" s="3">
        <v>42998</v>
      </c>
      <c r="D476" s="5">
        <v>0.96111111111111114</v>
      </c>
      <c r="E476">
        <v>-76.690555555555562</v>
      </c>
      <c r="F476">
        <v>3.4060833333333331</v>
      </c>
      <c r="G476">
        <v>3430</v>
      </c>
      <c r="I476">
        <v>2017</v>
      </c>
      <c r="J476">
        <v>2</v>
      </c>
      <c r="K476">
        <v>15</v>
      </c>
      <c r="M476" t="s">
        <v>916</v>
      </c>
      <c r="O476" t="s">
        <v>47</v>
      </c>
      <c r="P476" t="s">
        <v>1152</v>
      </c>
      <c r="R476" t="s">
        <v>919</v>
      </c>
      <c r="S476" t="s">
        <v>946</v>
      </c>
      <c r="U476" t="s">
        <v>924</v>
      </c>
      <c r="V476">
        <v>1</v>
      </c>
      <c r="Z476" t="s">
        <v>36</v>
      </c>
    </row>
    <row r="477" spans="1:26" hidden="1" x14ac:dyDescent="0.2">
      <c r="A477" s="3">
        <v>42998</v>
      </c>
      <c r="D477" s="5">
        <v>0.89930555555555558</v>
      </c>
      <c r="E477">
        <v>-76.6905</v>
      </c>
      <c r="F477">
        <v>3.4067777777777781</v>
      </c>
      <c r="G477">
        <v>3430</v>
      </c>
      <c r="I477">
        <v>2017</v>
      </c>
      <c r="J477">
        <v>3.5</v>
      </c>
      <c r="K477">
        <v>10</v>
      </c>
      <c r="M477" t="s">
        <v>916</v>
      </c>
      <c r="O477" t="s">
        <v>40</v>
      </c>
      <c r="P477" t="s">
        <v>1152</v>
      </c>
      <c r="R477" t="s">
        <v>919</v>
      </c>
      <c r="S477" t="s">
        <v>949</v>
      </c>
      <c r="U477" t="s">
        <v>924</v>
      </c>
      <c r="V477">
        <v>1</v>
      </c>
      <c r="Z477" t="s">
        <v>36</v>
      </c>
    </row>
    <row r="478" spans="1:26" hidden="1" x14ac:dyDescent="0.2">
      <c r="A478" s="3">
        <v>42998</v>
      </c>
      <c r="D478" s="5">
        <v>0.91666666666666663</v>
      </c>
      <c r="E478">
        <v>-76.69061111111111</v>
      </c>
      <c r="F478">
        <v>3.4063888888888889</v>
      </c>
      <c r="G478">
        <v>3429</v>
      </c>
      <c r="I478">
        <v>2017</v>
      </c>
      <c r="J478">
        <v>1</v>
      </c>
      <c r="K478">
        <v>20</v>
      </c>
      <c r="M478" t="s">
        <v>916</v>
      </c>
      <c r="O478" t="s">
        <v>47</v>
      </c>
      <c r="P478" t="s">
        <v>1152</v>
      </c>
      <c r="R478" t="s">
        <v>919</v>
      </c>
      <c r="S478" t="s">
        <v>949</v>
      </c>
      <c r="U478" t="s">
        <v>924</v>
      </c>
      <c r="V478">
        <v>1</v>
      </c>
      <c r="Z478" t="s">
        <v>36</v>
      </c>
    </row>
    <row r="479" spans="1:26" hidden="1" x14ac:dyDescent="0.2">
      <c r="A479" s="3">
        <v>42998</v>
      </c>
      <c r="D479" s="5">
        <v>0.93263888888888891</v>
      </c>
      <c r="E479">
        <v>-76.69061111111111</v>
      </c>
      <c r="F479">
        <v>3.4063888888888889</v>
      </c>
      <c r="G479">
        <v>3429</v>
      </c>
      <c r="I479">
        <v>2017</v>
      </c>
      <c r="J479">
        <v>1</v>
      </c>
      <c r="K479">
        <v>20</v>
      </c>
      <c r="M479" t="s">
        <v>916</v>
      </c>
      <c r="O479" t="s">
        <v>47</v>
      </c>
      <c r="P479" t="s">
        <v>1152</v>
      </c>
      <c r="R479" t="s">
        <v>919</v>
      </c>
      <c r="S479" t="s">
        <v>949</v>
      </c>
      <c r="U479" t="s">
        <v>924</v>
      </c>
      <c r="V479">
        <v>1</v>
      </c>
      <c r="Z479" t="s">
        <v>36</v>
      </c>
    </row>
    <row r="480" spans="1:26" hidden="1" x14ac:dyDescent="0.2">
      <c r="A480" s="3">
        <v>42998</v>
      </c>
      <c r="D480" s="5">
        <v>0.93263888888888891</v>
      </c>
      <c r="E480">
        <v>-76.69061111111111</v>
      </c>
      <c r="F480">
        <v>3.4063888888888889</v>
      </c>
      <c r="G480">
        <v>3429</v>
      </c>
      <c r="I480">
        <v>2017</v>
      </c>
      <c r="J480">
        <v>1</v>
      </c>
      <c r="K480">
        <v>20</v>
      </c>
      <c r="M480" t="s">
        <v>916</v>
      </c>
      <c r="O480" t="s">
        <v>47</v>
      </c>
      <c r="P480" t="s">
        <v>1152</v>
      </c>
      <c r="R480" t="s">
        <v>919</v>
      </c>
      <c r="S480" t="s">
        <v>949</v>
      </c>
      <c r="U480" t="s">
        <v>924</v>
      </c>
      <c r="V480">
        <v>1</v>
      </c>
      <c r="Z480" t="s">
        <v>36</v>
      </c>
    </row>
    <row r="481" spans="1:26" hidden="1" x14ac:dyDescent="0.2">
      <c r="A481" s="3">
        <v>42998</v>
      </c>
      <c r="D481" s="5">
        <v>0.9458333333333333</v>
      </c>
      <c r="E481">
        <v>-76.690583333333336</v>
      </c>
      <c r="F481">
        <v>3.406222222222222</v>
      </c>
      <c r="G481">
        <v>3420</v>
      </c>
      <c r="I481">
        <v>2017</v>
      </c>
      <c r="J481">
        <v>2.5</v>
      </c>
      <c r="K481">
        <v>15</v>
      </c>
      <c r="M481" t="s">
        <v>916</v>
      </c>
      <c r="O481" t="s">
        <v>47</v>
      </c>
      <c r="P481" t="s">
        <v>1152</v>
      </c>
      <c r="R481" t="s">
        <v>919</v>
      </c>
      <c r="S481" t="s">
        <v>949</v>
      </c>
      <c r="U481" t="s">
        <v>924</v>
      </c>
      <c r="V481">
        <v>1</v>
      </c>
      <c r="Z481" t="s">
        <v>36</v>
      </c>
    </row>
    <row r="482" spans="1:26" hidden="1" x14ac:dyDescent="0.2">
      <c r="A482" s="3">
        <v>42998</v>
      </c>
      <c r="D482" s="5">
        <v>0.95347222222222228</v>
      </c>
      <c r="E482">
        <v>-76.690694444444446</v>
      </c>
      <c r="F482">
        <v>3.406138888888889</v>
      </c>
      <c r="G482">
        <v>3430</v>
      </c>
      <c r="I482">
        <v>2017</v>
      </c>
      <c r="J482">
        <v>1</v>
      </c>
      <c r="K482">
        <v>10</v>
      </c>
      <c r="M482" t="s">
        <v>916</v>
      </c>
      <c r="O482" t="s">
        <v>47</v>
      </c>
      <c r="P482" t="s">
        <v>1152</v>
      </c>
      <c r="R482" t="s">
        <v>919</v>
      </c>
      <c r="S482" t="s">
        <v>949</v>
      </c>
      <c r="U482" t="s">
        <v>924</v>
      </c>
      <c r="V482">
        <v>1</v>
      </c>
      <c r="Z482" t="s">
        <v>36</v>
      </c>
    </row>
    <row r="483" spans="1:26" hidden="1" x14ac:dyDescent="0.2">
      <c r="A483" s="3">
        <v>42998</v>
      </c>
      <c r="D483" s="5">
        <v>0.96250000000000002</v>
      </c>
      <c r="E483">
        <v>-76.69072222222222</v>
      </c>
      <c r="F483">
        <v>3.4060555555555561</v>
      </c>
      <c r="G483">
        <v>3420</v>
      </c>
      <c r="I483">
        <v>2017</v>
      </c>
      <c r="J483">
        <v>1</v>
      </c>
      <c r="K483">
        <v>25</v>
      </c>
      <c r="M483" t="s">
        <v>916</v>
      </c>
      <c r="O483" t="s">
        <v>47</v>
      </c>
      <c r="P483" t="s">
        <v>1152</v>
      </c>
      <c r="R483" t="s">
        <v>919</v>
      </c>
      <c r="S483" t="s">
        <v>949</v>
      </c>
      <c r="U483" t="s">
        <v>924</v>
      </c>
      <c r="V483">
        <v>1</v>
      </c>
      <c r="Z483" t="s">
        <v>36</v>
      </c>
    </row>
    <row r="484" spans="1:26" hidden="1" x14ac:dyDescent="0.2">
      <c r="A484" s="3">
        <v>42998</v>
      </c>
      <c r="D484" s="5">
        <v>0.89583333333333337</v>
      </c>
      <c r="E484">
        <v>-76.690222222222232</v>
      </c>
      <c r="F484">
        <v>3.407027777777778</v>
      </c>
      <c r="G484">
        <v>3497</v>
      </c>
      <c r="I484">
        <v>2017</v>
      </c>
      <c r="M484" t="s">
        <v>916</v>
      </c>
      <c r="O484" t="s">
        <v>40</v>
      </c>
      <c r="P484" t="s">
        <v>1152</v>
      </c>
      <c r="S484" t="s">
        <v>945</v>
      </c>
      <c r="U484" t="s">
        <v>36</v>
      </c>
      <c r="V484">
        <v>0</v>
      </c>
      <c r="Z484" t="s">
        <v>36</v>
      </c>
    </row>
    <row r="485" spans="1:26" hidden="1" x14ac:dyDescent="0.2">
      <c r="A485" s="3">
        <v>42998</v>
      </c>
      <c r="D485" s="5">
        <v>0.8305555555555556</v>
      </c>
      <c r="E485">
        <v>-76.688638888888889</v>
      </c>
      <c r="F485">
        <v>3.4079999999999999</v>
      </c>
      <c r="G485">
        <v>3420</v>
      </c>
      <c r="I485">
        <v>2017</v>
      </c>
      <c r="J485">
        <v>0.6</v>
      </c>
      <c r="K485">
        <v>6</v>
      </c>
      <c r="M485" t="s">
        <v>916</v>
      </c>
      <c r="O485" t="s">
        <v>32</v>
      </c>
      <c r="P485" t="s">
        <v>1152</v>
      </c>
      <c r="S485" t="s">
        <v>946</v>
      </c>
      <c r="U485" t="s">
        <v>36</v>
      </c>
      <c r="V485">
        <v>0</v>
      </c>
      <c r="W485" t="s">
        <v>1034</v>
      </c>
      <c r="Z485" t="s">
        <v>36</v>
      </c>
    </row>
    <row r="486" spans="1:26" hidden="1" x14ac:dyDescent="0.2">
      <c r="A486" s="3">
        <v>42999</v>
      </c>
      <c r="D486" s="5">
        <v>0.83333333333333337</v>
      </c>
      <c r="E486">
        <v>-76.680027777777781</v>
      </c>
      <c r="F486">
        <v>3.4011111111111112</v>
      </c>
      <c r="G486">
        <v>3070</v>
      </c>
      <c r="I486">
        <v>2017</v>
      </c>
      <c r="M486" t="s">
        <v>916</v>
      </c>
      <c r="O486" t="s">
        <v>38</v>
      </c>
      <c r="P486" t="s">
        <v>913</v>
      </c>
      <c r="S486" t="s">
        <v>945</v>
      </c>
      <c r="U486" t="s">
        <v>36</v>
      </c>
      <c r="V486">
        <v>0</v>
      </c>
      <c r="Z486" t="s">
        <v>36</v>
      </c>
    </row>
    <row r="487" spans="1:26" hidden="1" x14ac:dyDescent="0.2">
      <c r="A487" s="3">
        <v>42999</v>
      </c>
      <c r="D487" s="5">
        <v>0.94791666666666663</v>
      </c>
      <c r="E487">
        <v>-76.678472222222226</v>
      </c>
      <c r="F487">
        <v>3.401666666666666</v>
      </c>
      <c r="G487">
        <v>2990</v>
      </c>
      <c r="I487">
        <v>2017</v>
      </c>
      <c r="J487">
        <v>20</v>
      </c>
      <c r="K487">
        <v>15</v>
      </c>
      <c r="M487" t="s">
        <v>916</v>
      </c>
      <c r="O487" t="s">
        <v>32</v>
      </c>
      <c r="P487" t="s">
        <v>1146</v>
      </c>
      <c r="S487" t="s">
        <v>945</v>
      </c>
      <c r="U487" t="s">
        <v>36</v>
      </c>
      <c r="V487">
        <v>0</v>
      </c>
      <c r="W487" t="s">
        <v>1046</v>
      </c>
      <c r="Z487" t="s">
        <v>36</v>
      </c>
    </row>
    <row r="488" spans="1:26" hidden="1" x14ac:dyDescent="0.2">
      <c r="A488" s="3">
        <v>42999</v>
      </c>
      <c r="D488" s="5">
        <v>0.95138888888888884</v>
      </c>
      <c r="E488">
        <v>-76.678750000000008</v>
      </c>
      <c r="F488">
        <v>3.4009722222222218</v>
      </c>
      <c r="G488">
        <v>3110</v>
      </c>
      <c r="I488">
        <v>2017</v>
      </c>
      <c r="M488" t="s">
        <v>916</v>
      </c>
      <c r="O488" t="s">
        <v>40</v>
      </c>
      <c r="P488" t="s">
        <v>913</v>
      </c>
      <c r="S488" t="s">
        <v>945</v>
      </c>
      <c r="U488" t="s">
        <v>36</v>
      </c>
      <c r="V488">
        <v>0</v>
      </c>
      <c r="Z488" t="s">
        <v>36</v>
      </c>
    </row>
    <row r="489" spans="1:26" hidden="1" x14ac:dyDescent="0.2">
      <c r="A489" s="3">
        <v>42999</v>
      </c>
      <c r="D489" s="5">
        <v>0.97916666666666663</v>
      </c>
      <c r="E489">
        <v>-76.678166666666669</v>
      </c>
      <c r="F489">
        <v>3.4021111111111111</v>
      </c>
      <c r="G489">
        <v>3000</v>
      </c>
      <c r="I489">
        <v>2017</v>
      </c>
      <c r="M489" t="s">
        <v>916</v>
      </c>
      <c r="O489" t="s">
        <v>32</v>
      </c>
      <c r="P489" t="s">
        <v>1146</v>
      </c>
      <c r="S489" t="s">
        <v>945</v>
      </c>
      <c r="U489" t="s">
        <v>36</v>
      </c>
      <c r="V489">
        <v>0</v>
      </c>
      <c r="Z489" t="s">
        <v>36</v>
      </c>
    </row>
    <row r="490" spans="1:26" hidden="1" x14ac:dyDescent="0.2">
      <c r="A490" s="3">
        <v>43000</v>
      </c>
      <c r="D490" s="5">
        <v>0.83333333333333337</v>
      </c>
      <c r="E490">
        <v>-76.687305555555554</v>
      </c>
      <c r="F490">
        <v>3.3858888888888892</v>
      </c>
      <c r="G490">
        <v>3600</v>
      </c>
      <c r="I490">
        <v>2017</v>
      </c>
      <c r="M490" t="s">
        <v>916</v>
      </c>
      <c r="O490" t="s">
        <v>32</v>
      </c>
      <c r="P490" t="s">
        <v>917</v>
      </c>
      <c r="S490" t="s">
        <v>945</v>
      </c>
      <c r="U490" t="s">
        <v>36</v>
      </c>
      <c r="V490">
        <v>0</v>
      </c>
      <c r="Z490" t="s">
        <v>36</v>
      </c>
    </row>
    <row r="491" spans="1:26" hidden="1" x14ac:dyDescent="0.2">
      <c r="A491" s="3">
        <v>43000</v>
      </c>
      <c r="D491" s="5">
        <v>0.875</v>
      </c>
      <c r="E491">
        <v>-76.687638888888898</v>
      </c>
      <c r="F491">
        <v>3.3858611111111112</v>
      </c>
      <c r="G491">
        <v>3610</v>
      </c>
      <c r="I491">
        <v>2017</v>
      </c>
      <c r="M491" t="s">
        <v>916</v>
      </c>
      <c r="O491" t="s">
        <v>38</v>
      </c>
      <c r="P491" t="s">
        <v>917</v>
      </c>
      <c r="S491" t="s">
        <v>945</v>
      </c>
      <c r="U491" t="s">
        <v>36</v>
      </c>
      <c r="V491">
        <v>0</v>
      </c>
      <c r="Z491" t="s">
        <v>36</v>
      </c>
    </row>
    <row r="492" spans="1:26" hidden="1" x14ac:dyDescent="0.2">
      <c r="A492" s="3">
        <v>43000</v>
      </c>
      <c r="D492" s="5">
        <v>0.91666666666666663</v>
      </c>
      <c r="E492">
        <v>-76.688416666666669</v>
      </c>
      <c r="F492">
        <v>3.385472222222222</v>
      </c>
      <c r="G492">
        <v>3600</v>
      </c>
      <c r="I492">
        <v>2017</v>
      </c>
      <c r="M492" t="s">
        <v>916</v>
      </c>
      <c r="O492" t="s">
        <v>58</v>
      </c>
      <c r="P492" t="s">
        <v>917</v>
      </c>
      <c r="S492" t="s">
        <v>945</v>
      </c>
      <c r="U492" t="s">
        <v>36</v>
      </c>
      <c r="V492">
        <v>0</v>
      </c>
      <c r="Z492" t="s">
        <v>36</v>
      </c>
    </row>
    <row r="493" spans="1:26" hidden="1" x14ac:dyDescent="0.2">
      <c r="A493" s="3">
        <v>43060</v>
      </c>
      <c r="D493" s="5">
        <v>0.82291666666666663</v>
      </c>
      <c r="E493">
        <v>-76.722916666666663</v>
      </c>
      <c r="F493">
        <v>3.4827499999999998</v>
      </c>
      <c r="G493">
        <v>1975</v>
      </c>
      <c r="I493">
        <v>2017</v>
      </c>
      <c r="J493">
        <v>8</v>
      </c>
      <c r="K493">
        <v>3</v>
      </c>
      <c r="M493" t="s">
        <v>247</v>
      </c>
      <c r="O493" t="s">
        <v>32</v>
      </c>
      <c r="P493" t="s">
        <v>248</v>
      </c>
      <c r="R493" t="s">
        <v>919</v>
      </c>
      <c r="S493" t="s">
        <v>946</v>
      </c>
      <c r="U493" t="s">
        <v>238</v>
      </c>
      <c r="V493">
        <v>1</v>
      </c>
      <c r="Z493" t="s">
        <v>36</v>
      </c>
    </row>
    <row r="494" spans="1:26" hidden="1" x14ac:dyDescent="0.2">
      <c r="A494" s="3">
        <v>43060</v>
      </c>
      <c r="D494" s="5">
        <v>0.83333333333333337</v>
      </c>
      <c r="E494">
        <v>-76.722972222222225</v>
      </c>
      <c r="F494">
        <v>3.4827222222222218</v>
      </c>
      <c r="G494">
        <v>2019</v>
      </c>
      <c r="I494">
        <v>2017</v>
      </c>
      <c r="J494">
        <v>8</v>
      </c>
      <c r="K494">
        <v>15</v>
      </c>
      <c r="M494" t="s">
        <v>247</v>
      </c>
      <c r="O494" t="s">
        <v>32</v>
      </c>
      <c r="P494" t="s">
        <v>248</v>
      </c>
      <c r="R494" t="s">
        <v>919</v>
      </c>
      <c r="S494" t="s">
        <v>945</v>
      </c>
      <c r="U494" t="s">
        <v>270</v>
      </c>
      <c r="V494">
        <v>1</v>
      </c>
      <c r="Z494" t="s">
        <v>36</v>
      </c>
    </row>
    <row r="495" spans="1:26" hidden="1" x14ac:dyDescent="0.2">
      <c r="A495" s="3">
        <v>43060</v>
      </c>
      <c r="D495" s="5">
        <v>0.83750000000000002</v>
      </c>
      <c r="E495">
        <v>-76.722972222222225</v>
      </c>
      <c r="F495">
        <v>3.4827222222222218</v>
      </c>
      <c r="G495">
        <v>2019</v>
      </c>
      <c r="I495">
        <v>2017</v>
      </c>
      <c r="J495">
        <v>4</v>
      </c>
      <c r="K495">
        <v>5</v>
      </c>
      <c r="M495" t="s">
        <v>247</v>
      </c>
      <c r="O495" t="s">
        <v>32</v>
      </c>
      <c r="P495" t="s">
        <v>248</v>
      </c>
      <c r="R495" t="s">
        <v>919</v>
      </c>
      <c r="S495" t="s">
        <v>949</v>
      </c>
      <c r="U495" t="s">
        <v>270</v>
      </c>
      <c r="V495">
        <v>1</v>
      </c>
      <c r="Z495" t="s">
        <v>36</v>
      </c>
    </row>
    <row r="496" spans="1:26" hidden="1" x14ac:dyDescent="0.2">
      <c r="A496" s="3">
        <v>43060</v>
      </c>
      <c r="D496" s="5">
        <v>0.84444444444444444</v>
      </c>
      <c r="E496">
        <v>-76.722972222222225</v>
      </c>
      <c r="F496">
        <v>3.4827222222222218</v>
      </c>
      <c r="G496">
        <v>2019</v>
      </c>
      <c r="I496">
        <v>2017</v>
      </c>
      <c r="J496">
        <v>5</v>
      </c>
      <c r="K496">
        <v>3</v>
      </c>
      <c r="M496" t="s">
        <v>247</v>
      </c>
      <c r="O496" t="s">
        <v>32</v>
      </c>
      <c r="P496" t="s">
        <v>248</v>
      </c>
      <c r="R496" t="s">
        <v>919</v>
      </c>
      <c r="S496" t="s">
        <v>950</v>
      </c>
      <c r="U496" t="s">
        <v>270</v>
      </c>
      <c r="V496">
        <v>1</v>
      </c>
      <c r="Z496" t="s">
        <v>36</v>
      </c>
    </row>
    <row r="497" spans="1:26" hidden="1" x14ac:dyDescent="0.2">
      <c r="A497" s="3">
        <v>43060</v>
      </c>
      <c r="D497" s="5">
        <v>0.84722222222222221</v>
      </c>
      <c r="E497">
        <v>-76.722916666666663</v>
      </c>
      <c r="F497">
        <v>3.4827499999999998</v>
      </c>
      <c r="G497">
        <v>2035</v>
      </c>
      <c r="I497">
        <v>2017</v>
      </c>
      <c r="J497">
        <v>8</v>
      </c>
      <c r="K497">
        <v>5</v>
      </c>
      <c r="M497" t="s">
        <v>247</v>
      </c>
      <c r="O497" t="s">
        <v>32</v>
      </c>
      <c r="P497" t="s">
        <v>248</v>
      </c>
      <c r="R497" t="s">
        <v>919</v>
      </c>
      <c r="S497" t="s">
        <v>946</v>
      </c>
      <c r="U497" t="s">
        <v>270</v>
      </c>
      <c r="V497">
        <v>1</v>
      </c>
      <c r="Z497" t="s">
        <v>36</v>
      </c>
    </row>
    <row r="498" spans="1:26" hidden="1" x14ac:dyDescent="0.2">
      <c r="A498" s="3">
        <v>43060</v>
      </c>
      <c r="D498" s="5">
        <v>0.82291666666666663</v>
      </c>
      <c r="E498">
        <v>-76.723194444444445</v>
      </c>
      <c r="F498">
        <v>3.4828055555555562</v>
      </c>
      <c r="G498">
        <v>1972</v>
      </c>
      <c r="I498">
        <v>2017</v>
      </c>
      <c r="J498">
        <v>6</v>
      </c>
      <c r="K498">
        <v>1</v>
      </c>
      <c r="M498" t="s">
        <v>247</v>
      </c>
      <c r="O498" t="s">
        <v>32</v>
      </c>
      <c r="P498" t="s">
        <v>248</v>
      </c>
      <c r="R498" t="s">
        <v>919</v>
      </c>
      <c r="S498" t="s">
        <v>945</v>
      </c>
      <c r="U498" t="s">
        <v>238</v>
      </c>
      <c r="V498">
        <v>1</v>
      </c>
      <c r="Z498" t="s">
        <v>36</v>
      </c>
    </row>
    <row r="499" spans="1:26" hidden="1" x14ac:dyDescent="0.2">
      <c r="A499" s="3">
        <v>43060</v>
      </c>
      <c r="D499" s="5">
        <v>0.82291666666666663</v>
      </c>
      <c r="E499">
        <v>-76.723194444444445</v>
      </c>
      <c r="F499">
        <v>3.4828055555555562</v>
      </c>
      <c r="G499">
        <v>1972</v>
      </c>
      <c r="I499">
        <v>2017</v>
      </c>
      <c r="J499">
        <v>6</v>
      </c>
      <c r="K499">
        <v>1</v>
      </c>
      <c r="M499" t="s">
        <v>247</v>
      </c>
      <c r="O499" t="s">
        <v>32</v>
      </c>
      <c r="P499" t="s">
        <v>248</v>
      </c>
      <c r="R499" t="s">
        <v>919</v>
      </c>
      <c r="S499" t="s">
        <v>951</v>
      </c>
      <c r="U499" t="s">
        <v>238</v>
      </c>
      <c r="V499">
        <v>1</v>
      </c>
      <c r="Z499" t="s">
        <v>36</v>
      </c>
    </row>
    <row r="500" spans="1:26" hidden="1" x14ac:dyDescent="0.2">
      <c r="A500" s="3">
        <v>43060</v>
      </c>
      <c r="D500" s="5">
        <v>0.82638888888888884</v>
      </c>
      <c r="E500">
        <v>-76.723194444444445</v>
      </c>
      <c r="F500">
        <v>3.4828055555555562</v>
      </c>
      <c r="G500">
        <v>1972</v>
      </c>
      <c r="I500">
        <v>2017</v>
      </c>
      <c r="J500">
        <v>9</v>
      </c>
      <c r="K500">
        <v>5</v>
      </c>
      <c r="M500" t="s">
        <v>247</v>
      </c>
      <c r="O500" t="s">
        <v>32</v>
      </c>
      <c r="P500" t="s">
        <v>248</v>
      </c>
      <c r="R500" t="s">
        <v>919</v>
      </c>
      <c r="S500" t="s">
        <v>945</v>
      </c>
      <c r="U500" t="s">
        <v>238</v>
      </c>
      <c r="V500">
        <v>1</v>
      </c>
      <c r="Z500" t="s">
        <v>36</v>
      </c>
    </row>
    <row r="501" spans="1:26" hidden="1" x14ac:dyDescent="0.2">
      <c r="A501" s="3">
        <v>43060</v>
      </c>
      <c r="D501" s="5">
        <v>0.84375</v>
      </c>
      <c r="E501">
        <v>-76.722972222222225</v>
      </c>
      <c r="F501">
        <v>3.4827222222222218</v>
      </c>
      <c r="G501">
        <v>2019</v>
      </c>
      <c r="I501">
        <v>2017</v>
      </c>
      <c r="K501">
        <v>50</v>
      </c>
      <c r="M501" t="s">
        <v>247</v>
      </c>
      <c r="O501" t="s">
        <v>32</v>
      </c>
      <c r="P501" t="s">
        <v>248</v>
      </c>
      <c r="R501" t="s">
        <v>919</v>
      </c>
      <c r="S501" t="s">
        <v>951</v>
      </c>
      <c r="U501" t="s">
        <v>238</v>
      </c>
      <c r="V501">
        <v>1</v>
      </c>
      <c r="Z501" t="s">
        <v>36</v>
      </c>
    </row>
    <row r="502" spans="1:26" hidden="1" x14ac:dyDescent="0.2">
      <c r="A502" s="3">
        <v>43060</v>
      </c>
      <c r="D502" s="5">
        <v>0.84444444444444444</v>
      </c>
      <c r="E502">
        <v>-76.722972222222225</v>
      </c>
      <c r="F502">
        <v>3.4827222222222218</v>
      </c>
      <c r="G502">
        <v>2019</v>
      </c>
      <c r="I502">
        <v>2017</v>
      </c>
      <c r="K502">
        <v>50</v>
      </c>
      <c r="M502" t="s">
        <v>247</v>
      </c>
      <c r="O502" t="s">
        <v>32</v>
      </c>
      <c r="P502" t="s">
        <v>248</v>
      </c>
      <c r="R502" t="s">
        <v>919</v>
      </c>
      <c r="S502" t="s">
        <v>951</v>
      </c>
      <c r="U502" t="s">
        <v>238</v>
      </c>
      <c r="V502">
        <v>1</v>
      </c>
      <c r="Z502" t="s">
        <v>36</v>
      </c>
    </row>
    <row r="503" spans="1:26" hidden="1" x14ac:dyDescent="0.2">
      <c r="A503" s="3">
        <v>43060</v>
      </c>
      <c r="D503" s="5">
        <v>0.88541666666666663</v>
      </c>
      <c r="E503">
        <v>-76.722805555555553</v>
      </c>
      <c r="F503">
        <v>3.4824166666666669</v>
      </c>
      <c r="G503">
        <v>2068</v>
      </c>
      <c r="I503">
        <v>2017</v>
      </c>
      <c r="J503">
        <v>6</v>
      </c>
      <c r="K503">
        <v>10</v>
      </c>
      <c r="M503" t="s">
        <v>247</v>
      </c>
      <c r="O503" t="s">
        <v>32</v>
      </c>
      <c r="P503" t="s">
        <v>248</v>
      </c>
      <c r="R503" t="s">
        <v>919</v>
      </c>
      <c r="S503" t="s">
        <v>946</v>
      </c>
      <c r="U503" t="s">
        <v>88</v>
      </c>
      <c r="V503">
        <v>1</v>
      </c>
      <c r="W503" t="s">
        <v>1047</v>
      </c>
      <c r="Z503" t="s">
        <v>36</v>
      </c>
    </row>
    <row r="504" spans="1:26" hidden="1" x14ac:dyDescent="0.2">
      <c r="A504" s="3">
        <v>43060</v>
      </c>
      <c r="D504" s="5">
        <v>0.93055555555555558</v>
      </c>
      <c r="E504">
        <v>-76.722972222222225</v>
      </c>
      <c r="F504">
        <v>3.481527777777778</v>
      </c>
      <c r="G504">
        <v>2086</v>
      </c>
      <c r="I504">
        <v>2017</v>
      </c>
      <c r="J504">
        <v>10</v>
      </c>
      <c r="K504">
        <v>15</v>
      </c>
      <c r="M504" t="s">
        <v>247</v>
      </c>
      <c r="O504" t="s">
        <v>58</v>
      </c>
      <c r="P504" t="s">
        <v>280</v>
      </c>
      <c r="R504" t="s">
        <v>919</v>
      </c>
      <c r="S504" t="s">
        <v>949</v>
      </c>
      <c r="U504" t="s">
        <v>88</v>
      </c>
      <c r="V504">
        <v>1</v>
      </c>
      <c r="W504" t="s">
        <v>1048</v>
      </c>
      <c r="Z504" t="s">
        <v>36</v>
      </c>
    </row>
    <row r="505" spans="1:26" hidden="1" x14ac:dyDescent="0.2">
      <c r="A505" s="3">
        <v>43060</v>
      </c>
      <c r="D505" s="5">
        <v>0.94930555555555551</v>
      </c>
      <c r="E505">
        <v>-76.723027777777773</v>
      </c>
      <c r="F505">
        <v>3.4813888888888891</v>
      </c>
      <c r="G505">
        <v>2094</v>
      </c>
      <c r="I505">
        <v>2017</v>
      </c>
      <c r="J505">
        <v>10</v>
      </c>
      <c r="K505">
        <v>5</v>
      </c>
      <c r="M505" t="s">
        <v>247</v>
      </c>
      <c r="O505" t="s">
        <v>58</v>
      </c>
      <c r="P505" t="s">
        <v>280</v>
      </c>
      <c r="R505" t="s">
        <v>919</v>
      </c>
      <c r="S505" t="s">
        <v>946</v>
      </c>
      <c r="U505" t="s">
        <v>88</v>
      </c>
      <c r="V505">
        <v>1</v>
      </c>
      <c r="Z505" t="s">
        <v>36</v>
      </c>
    </row>
    <row r="506" spans="1:26" hidden="1" x14ac:dyDescent="0.2">
      <c r="A506" s="3">
        <v>43060</v>
      </c>
      <c r="D506" s="5">
        <v>0.93402777777777779</v>
      </c>
      <c r="E506">
        <v>-76.722999999999999</v>
      </c>
      <c r="F506">
        <v>3.481527777777778</v>
      </c>
      <c r="G506">
        <v>2090</v>
      </c>
      <c r="I506">
        <v>2017</v>
      </c>
      <c r="J506">
        <v>12</v>
      </c>
      <c r="K506">
        <v>30</v>
      </c>
      <c r="M506" t="s">
        <v>247</v>
      </c>
      <c r="O506" t="s">
        <v>58</v>
      </c>
      <c r="P506" t="s">
        <v>280</v>
      </c>
      <c r="R506" t="s">
        <v>919</v>
      </c>
      <c r="S506" t="s">
        <v>951</v>
      </c>
      <c r="U506" t="s">
        <v>88</v>
      </c>
      <c r="V506">
        <v>1</v>
      </c>
      <c r="Z506" t="s">
        <v>36</v>
      </c>
    </row>
    <row r="507" spans="1:26" hidden="1" x14ac:dyDescent="0.2">
      <c r="A507" s="3">
        <v>43060</v>
      </c>
      <c r="D507" s="5">
        <v>0.94444444444444442</v>
      </c>
      <c r="E507">
        <v>-76.722861111111115</v>
      </c>
      <c r="F507">
        <v>3.4813611111111111</v>
      </c>
      <c r="G507">
        <v>2089</v>
      </c>
      <c r="I507">
        <v>2017</v>
      </c>
      <c r="J507">
        <v>10</v>
      </c>
      <c r="K507">
        <v>20</v>
      </c>
      <c r="M507" t="s">
        <v>247</v>
      </c>
      <c r="O507" t="s">
        <v>58</v>
      </c>
      <c r="P507" t="s">
        <v>280</v>
      </c>
      <c r="R507" t="s">
        <v>919</v>
      </c>
      <c r="S507" t="s">
        <v>951</v>
      </c>
      <c r="U507" t="s">
        <v>88</v>
      </c>
      <c r="V507">
        <v>1</v>
      </c>
      <c r="Z507" t="s">
        <v>36</v>
      </c>
    </row>
    <row r="508" spans="1:26" hidden="1" x14ac:dyDescent="0.2">
      <c r="A508" s="3">
        <v>43060</v>
      </c>
      <c r="D508" s="5">
        <v>0.9458333333333333</v>
      </c>
      <c r="E508">
        <v>-76.722861111111115</v>
      </c>
      <c r="F508">
        <v>3.4813611111111111</v>
      </c>
      <c r="G508">
        <v>2089</v>
      </c>
      <c r="I508">
        <v>2017</v>
      </c>
      <c r="J508">
        <v>15</v>
      </c>
      <c r="K508">
        <v>20</v>
      </c>
      <c r="M508" t="s">
        <v>247</v>
      </c>
      <c r="O508" t="s">
        <v>58</v>
      </c>
      <c r="P508" t="s">
        <v>280</v>
      </c>
      <c r="R508" t="s">
        <v>919</v>
      </c>
      <c r="S508" t="s">
        <v>951</v>
      </c>
      <c r="U508" t="s">
        <v>88</v>
      </c>
      <c r="V508">
        <v>1</v>
      </c>
      <c r="Z508" t="s">
        <v>36</v>
      </c>
    </row>
    <row r="509" spans="1:26" hidden="1" x14ac:dyDescent="0.2">
      <c r="A509" s="3">
        <v>43060</v>
      </c>
      <c r="D509" s="5">
        <v>0.98541666666666672</v>
      </c>
      <c r="E509">
        <v>-76.723138888888897</v>
      </c>
      <c r="F509">
        <v>3.480777777777778</v>
      </c>
      <c r="G509">
        <v>2108</v>
      </c>
      <c r="I509">
        <v>2017</v>
      </c>
      <c r="J509">
        <v>10</v>
      </c>
      <c r="K509">
        <v>15</v>
      </c>
      <c r="M509" t="s">
        <v>247</v>
      </c>
      <c r="O509" t="s">
        <v>58</v>
      </c>
      <c r="P509" t="s">
        <v>280</v>
      </c>
      <c r="R509" t="s">
        <v>919</v>
      </c>
      <c r="S509" t="s">
        <v>950</v>
      </c>
      <c r="U509" t="s">
        <v>316</v>
      </c>
      <c r="V509">
        <v>1</v>
      </c>
      <c r="Z509" t="s">
        <v>36</v>
      </c>
    </row>
    <row r="510" spans="1:26" hidden="1" x14ac:dyDescent="0.2">
      <c r="A510" s="3">
        <v>43060</v>
      </c>
      <c r="D510" s="5">
        <v>0.98750000000000004</v>
      </c>
      <c r="E510">
        <v>-76.723111111111109</v>
      </c>
      <c r="F510">
        <v>3.48075</v>
      </c>
      <c r="G510">
        <v>2108</v>
      </c>
      <c r="I510">
        <v>2017</v>
      </c>
      <c r="J510">
        <v>10</v>
      </c>
      <c r="K510">
        <v>20</v>
      </c>
      <c r="M510" t="s">
        <v>247</v>
      </c>
      <c r="O510" t="s">
        <v>58</v>
      </c>
      <c r="P510" t="s">
        <v>280</v>
      </c>
      <c r="R510" t="s">
        <v>919</v>
      </c>
      <c r="S510" t="s">
        <v>950</v>
      </c>
      <c r="U510" t="s">
        <v>88</v>
      </c>
      <c r="V510">
        <v>1</v>
      </c>
      <c r="Z510" t="s">
        <v>36</v>
      </c>
    </row>
    <row r="511" spans="1:26" hidden="1" x14ac:dyDescent="0.2">
      <c r="A511" s="3">
        <v>43060</v>
      </c>
      <c r="D511" s="5">
        <v>0.96875</v>
      </c>
      <c r="E511">
        <v>-76.723138888888897</v>
      </c>
      <c r="F511">
        <v>3.4810833333333329</v>
      </c>
      <c r="G511">
        <v>2101</v>
      </c>
      <c r="I511">
        <v>2017</v>
      </c>
      <c r="J511">
        <v>9</v>
      </c>
      <c r="K511">
        <v>15</v>
      </c>
      <c r="M511" t="s">
        <v>247</v>
      </c>
      <c r="O511" t="s">
        <v>58</v>
      </c>
      <c r="P511" t="s">
        <v>280</v>
      </c>
      <c r="R511" t="s">
        <v>919</v>
      </c>
      <c r="S511" t="s">
        <v>951</v>
      </c>
      <c r="U511" t="s">
        <v>238</v>
      </c>
      <c r="V511">
        <v>1</v>
      </c>
      <c r="Z511" t="s">
        <v>36</v>
      </c>
    </row>
    <row r="512" spans="1:26" hidden="1" x14ac:dyDescent="0.2">
      <c r="A512" s="3">
        <v>43060</v>
      </c>
      <c r="D512" s="5">
        <v>0.97569444444444442</v>
      </c>
      <c r="E512">
        <v>-76.723138888888897</v>
      </c>
      <c r="F512">
        <v>3.4809166666666669</v>
      </c>
      <c r="G512">
        <v>2101</v>
      </c>
      <c r="I512">
        <v>2017</v>
      </c>
      <c r="J512">
        <v>10</v>
      </c>
      <c r="K512">
        <v>10</v>
      </c>
      <c r="M512" t="s">
        <v>247</v>
      </c>
      <c r="O512" t="s">
        <v>58</v>
      </c>
      <c r="P512" t="s">
        <v>280</v>
      </c>
      <c r="R512" t="s">
        <v>919</v>
      </c>
      <c r="S512" t="s">
        <v>951</v>
      </c>
      <c r="U512" t="s">
        <v>88</v>
      </c>
      <c r="V512">
        <v>1</v>
      </c>
      <c r="Z512" t="s">
        <v>36</v>
      </c>
    </row>
    <row r="513" spans="1:26" hidden="1" x14ac:dyDescent="0.2">
      <c r="A513" s="3">
        <v>43060</v>
      </c>
      <c r="D513" s="5">
        <v>0.98263888888888884</v>
      </c>
      <c r="E513">
        <v>-76.723250000000007</v>
      </c>
      <c r="F513">
        <v>3.480777777777778</v>
      </c>
      <c r="G513">
        <v>2107</v>
      </c>
      <c r="I513">
        <v>2017</v>
      </c>
      <c r="J513">
        <v>12</v>
      </c>
      <c r="K513">
        <v>15</v>
      </c>
      <c r="M513" t="s">
        <v>247</v>
      </c>
      <c r="O513" t="s">
        <v>58</v>
      </c>
      <c r="P513" t="s">
        <v>280</v>
      </c>
      <c r="R513" t="s">
        <v>919</v>
      </c>
      <c r="S513" t="s">
        <v>951</v>
      </c>
      <c r="U513" t="s">
        <v>88</v>
      </c>
      <c r="V513">
        <v>1</v>
      </c>
      <c r="Z513" t="s">
        <v>36</v>
      </c>
    </row>
    <row r="514" spans="1:26" hidden="1" x14ac:dyDescent="0.2">
      <c r="A514" s="3">
        <v>43060</v>
      </c>
      <c r="D514" s="5">
        <v>0.98263888888888884</v>
      </c>
      <c r="E514">
        <v>-76.723250000000007</v>
      </c>
      <c r="F514">
        <v>3.480777777777778</v>
      </c>
      <c r="G514">
        <v>2107</v>
      </c>
      <c r="I514">
        <v>2017</v>
      </c>
      <c r="J514">
        <v>12</v>
      </c>
      <c r="K514">
        <v>15</v>
      </c>
      <c r="M514" t="s">
        <v>247</v>
      </c>
      <c r="O514" t="s">
        <v>58</v>
      </c>
      <c r="P514" t="s">
        <v>280</v>
      </c>
      <c r="R514" t="s">
        <v>919</v>
      </c>
      <c r="S514" t="s">
        <v>951</v>
      </c>
      <c r="U514" t="s">
        <v>316</v>
      </c>
      <c r="V514">
        <v>1</v>
      </c>
      <c r="Z514" t="s">
        <v>36</v>
      </c>
    </row>
    <row r="515" spans="1:26" hidden="1" x14ac:dyDescent="0.2">
      <c r="A515" s="3">
        <v>43060</v>
      </c>
      <c r="D515" s="5">
        <v>0.98958333333333337</v>
      </c>
      <c r="E515">
        <v>-76.723250000000007</v>
      </c>
      <c r="F515">
        <v>3.48075</v>
      </c>
      <c r="G515">
        <v>2108</v>
      </c>
      <c r="I515">
        <v>2017</v>
      </c>
      <c r="J515">
        <v>10</v>
      </c>
      <c r="K515">
        <v>5</v>
      </c>
      <c r="M515" t="s">
        <v>247</v>
      </c>
      <c r="O515" t="s">
        <v>58</v>
      </c>
      <c r="P515" t="s">
        <v>280</v>
      </c>
      <c r="R515" t="s">
        <v>919</v>
      </c>
      <c r="S515" t="s">
        <v>945</v>
      </c>
      <c r="U515" t="s">
        <v>88</v>
      </c>
      <c r="V515">
        <v>1</v>
      </c>
      <c r="Z515" t="s">
        <v>36</v>
      </c>
    </row>
    <row r="516" spans="1:26" hidden="1" x14ac:dyDescent="0.2">
      <c r="A516" s="3">
        <v>43060</v>
      </c>
      <c r="D516" s="5">
        <v>0.99305555555555558</v>
      </c>
      <c r="E516">
        <v>-76.723250000000007</v>
      </c>
      <c r="F516">
        <v>3.4805277777777781</v>
      </c>
      <c r="G516">
        <v>2137</v>
      </c>
      <c r="I516">
        <v>2017</v>
      </c>
      <c r="J516">
        <v>10</v>
      </c>
      <c r="K516">
        <v>5</v>
      </c>
      <c r="M516" t="s">
        <v>247</v>
      </c>
      <c r="O516" t="s">
        <v>58</v>
      </c>
      <c r="P516" t="s">
        <v>280</v>
      </c>
      <c r="R516" t="s">
        <v>919</v>
      </c>
      <c r="S516" t="s">
        <v>951</v>
      </c>
      <c r="U516" t="s">
        <v>88</v>
      </c>
      <c r="V516">
        <v>1</v>
      </c>
      <c r="Z516" t="s">
        <v>36</v>
      </c>
    </row>
    <row r="517" spans="1:26" hidden="1" x14ac:dyDescent="0.2">
      <c r="A517" s="3">
        <v>43060</v>
      </c>
      <c r="D517" s="5">
        <v>2.7777777777777776E-2</v>
      </c>
      <c r="E517">
        <v>-76.724000000000004</v>
      </c>
      <c r="F517">
        <v>3.4841666666666669</v>
      </c>
      <c r="G517">
        <v>2068</v>
      </c>
      <c r="I517">
        <v>2017</v>
      </c>
      <c r="J517">
        <v>8</v>
      </c>
      <c r="K517">
        <v>10</v>
      </c>
      <c r="M517" t="s">
        <v>247</v>
      </c>
      <c r="O517" t="s">
        <v>38</v>
      </c>
      <c r="P517" t="s">
        <v>248</v>
      </c>
      <c r="R517" t="s">
        <v>919</v>
      </c>
      <c r="S517" t="s">
        <v>946</v>
      </c>
      <c r="U517" t="s">
        <v>238</v>
      </c>
      <c r="V517">
        <v>1</v>
      </c>
      <c r="Z517" t="s">
        <v>36</v>
      </c>
    </row>
    <row r="518" spans="1:26" hidden="1" x14ac:dyDescent="0.2">
      <c r="A518" s="3">
        <v>43061</v>
      </c>
      <c r="D518" s="5">
        <v>0.85555555555555551</v>
      </c>
      <c r="E518">
        <v>-76.713916666666663</v>
      </c>
      <c r="F518">
        <v>3.487805555555556</v>
      </c>
      <c r="G518">
        <v>1859</v>
      </c>
      <c r="H518">
        <v>1.1499999999999999</v>
      </c>
      <c r="I518">
        <v>2017</v>
      </c>
      <c r="J518">
        <v>15</v>
      </c>
      <c r="K518">
        <v>30</v>
      </c>
      <c r="M518" t="s">
        <v>247</v>
      </c>
      <c r="O518" t="s">
        <v>32</v>
      </c>
      <c r="P518" t="s">
        <v>672</v>
      </c>
      <c r="R518" t="s">
        <v>920</v>
      </c>
      <c r="S518" t="s">
        <v>946</v>
      </c>
      <c r="U518" t="s">
        <v>238</v>
      </c>
      <c r="V518">
        <v>1</v>
      </c>
      <c r="Z518" t="s">
        <v>36</v>
      </c>
    </row>
    <row r="519" spans="1:26" hidden="1" x14ac:dyDescent="0.2">
      <c r="A519" s="3">
        <v>43061</v>
      </c>
      <c r="D519" s="5">
        <v>0.86041666666666672</v>
      </c>
      <c r="E519">
        <v>-76.714055555555561</v>
      </c>
      <c r="F519">
        <v>3.487805555555556</v>
      </c>
      <c r="G519">
        <v>1863</v>
      </c>
      <c r="H519">
        <v>1</v>
      </c>
      <c r="I519">
        <v>2017</v>
      </c>
      <c r="J519">
        <v>12</v>
      </c>
      <c r="K519">
        <v>20</v>
      </c>
      <c r="M519" t="s">
        <v>247</v>
      </c>
      <c r="O519" t="s">
        <v>32</v>
      </c>
      <c r="P519" t="s">
        <v>672</v>
      </c>
      <c r="R519" t="s">
        <v>920</v>
      </c>
      <c r="S519" t="s">
        <v>952</v>
      </c>
      <c r="U519" t="s">
        <v>238</v>
      </c>
      <c r="V519">
        <v>1</v>
      </c>
      <c r="Z519" t="s">
        <v>36</v>
      </c>
    </row>
    <row r="520" spans="1:26" hidden="1" x14ac:dyDescent="0.2">
      <c r="A520" s="3">
        <v>43061</v>
      </c>
      <c r="D520" s="5">
        <v>0.86111111111111116</v>
      </c>
      <c r="E520">
        <v>-76.713999999999999</v>
      </c>
      <c r="F520">
        <v>3.487805555555556</v>
      </c>
      <c r="G520">
        <v>1865</v>
      </c>
      <c r="H520">
        <v>1</v>
      </c>
      <c r="I520">
        <v>2017</v>
      </c>
      <c r="J520">
        <v>15</v>
      </c>
      <c r="K520">
        <v>15</v>
      </c>
      <c r="M520" t="s">
        <v>247</v>
      </c>
      <c r="O520" t="s">
        <v>32</v>
      </c>
      <c r="P520" t="s">
        <v>672</v>
      </c>
      <c r="R520" t="s">
        <v>920</v>
      </c>
      <c r="S520" t="s">
        <v>952</v>
      </c>
      <c r="U520" t="s">
        <v>88</v>
      </c>
      <c r="V520">
        <v>1</v>
      </c>
      <c r="W520" t="s">
        <v>1049</v>
      </c>
      <c r="Z520" t="s">
        <v>36</v>
      </c>
    </row>
    <row r="521" spans="1:26" hidden="1" x14ac:dyDescent="0.2">
      <c r="A521" s="3">
        <v>43061</v>
      </c>
      <c r="D521" s="5">
        <v>0.87152777777777779</v>
      </c>
      <c r="E521">
        <v>-76.714194444444445</v>
      </c>
      <c r="F521">
        <v>3.4877777777777781</v>
      </c>
      <c r="G521">
        <v>1863</v>
      </c>
      <c r="H521">
        <v>1.3</v>
      </c>
      <c r="I521">
        <v>2017</v>
      </c>
      <c r="J521">
        <v>15</v>
      </c>
      <c r="K521">
        <v>15</v>
      </c>
      <c r="M521" t="s">
        <v>247</v>
      </c>
      <c r="O521" t="s">
        <v>38</v>
      </c>
      <c r="P521" t="s">
        <v>672</v>
      </c>
      <c r="R521" t="s">
        <v>920</v>
      </c>
      <c r="S521" t="s">
        <v>951</v>
      </c>
      <c r="U521" t="s">
        <v>68</v>
      </c>
      <c r="V521">
        <v>1</v>
      </c>
      <c r="W521" t="s">
        <v>1050</v>
      </c>
      <c r="Z521" t="s">
        <v>36</v>
      </c>
    </row>
    <row r="522" spans="1:26" hidden="1" x14ac:dyDescent="0.2">
      <c r="A522" s="3">
        <v>43061</v>
      </c>
      <c r="D522" s="5">
        <v>0.87916666666666665</v>
      </c>
      <c r="E522">
        <v>-76.714194444444445</v>
      </c>
      <c r="F522">
        <v>3.4877500000000001</v>
      </c>
      <c r="G522">
        <v>1865</v>
      </c>
      <c r="H522">
        <v>1.1000000000000001</v>
      </c>
      <c r="I522">
        <v>2017</v>
      </c>
      <c r="J522">
        <v>15</v>
      </c>
      <c r="K522">
        <v>20</v>
      </c>
      <c r="M522" t="s">
        <v>247</v>
      </c>
      <c r="O522" t="s">
        <v>38</v>
      </c>
      <c r="P522" t="s">
        <v>672</v>
      </c>
      <c r="R522" t="s">
        <v>920</v>
      </c>
      <c r="S522" t="s">
        <v>952</v>
      </c>
      <c r="U522" t="s">
        <v>88</v>
      </c>
      <c r="V522">
        <v>1</v>
      </c>
      <c r="W522" t="s">
        <v>1051</v>
      </c>
      <c r="Z522" t="s">
        <v>36</v>
      </c>
    </row>
    <row r="523" spans="1:26" hidden="1" x14ac:dyDescent="0.2">
      <c r="A523" s="3">
        <v>43061</v>
      </c>
      <c r="D523" s="5">
        <v>0.86111111111111116</v>
      </c>
      <c r="E523">
        <v>-76.713999999999999</v>
      </c>
      <c r="F523">
        <v>3.487805555555556</v>
      </c>
      <c r="G523">
        <v>1865</v>
      </c>
      <c r="H523">
        <v>1</v>
      </c>
      <c r="I523">
        <v>2017</v>
      </c>
      <c r="J523">
        <v>15</v>
      </c>
      <c r="K523">
        <v>1</v>
      </c>
      <c r="M523" t="s">
        <v>247</v>
      </c>
      <c r="O523" t="s">
        <v>32</v>
      </c>
      <c r="P523" t="s">
        <v>672</v>
      </c>
      <c r="R523" t="s">
        <v>920</v>
      </c>
      <c r="S523" t="s">
        <v>951</v>
      </c>
      <c r="U523" t="s">
        <v>88</v>
      </c>
      <c r="V523">
        <v>1</v>
      </c>
      <c r="W523" t="s">
        <v>1052</v>
      </c>
      <c r="Z523" t="s">
        <v>36</v>
      </c>
    </row>
    <row r="524" spans="1:26" hidden="1" x14ac:dyDescent="0.2">
      <c r="A524" s="3">
        <v>43061</v>
      </c>
      <c r="D524" s="5">
        <v>0.875</v>
      </c>
      <c r="E524">
        <v>-76.714194444444445</v>
      </c>
      <c r="F524">
        <v>3.4877777777777781</v>
      </c>
      <c r="G524">
        <v>1863</v>
      </c>
      <c r="H524">
        <v>1.5</v>
      </c>
      <c r="I524">
        <v>2017</v>
      </c>
      <c r="J524">
        <v>20</v>
      </c>
      <c r="K524">
        <v>1.5</v>
      </c>
      <c r="M524" t="s">
        <v>247</v>
      </c>
      <c r="O524" t="s">
        <v>38</v>
      </c>
      <c r="P524" t="s">
        <v>672</v>
      </c>
      <c r="R524" t="s">
        <v>920</v>
      </c>
      <c r="S524" t="s">
        <v>950</v>
      </c>
      <c r="U524" t="s">
        <v>88</v>
      </c>
      <c r="V524">
        <v>1</v>
      </c>
      <c r="Z524" t="s">
        <v>36</v>
      </c>
    </row>
    <row r="525" spans="1:26" hidden="1" x14ac:dyDescent="0.2">
      <c r="A525" s="3">
        <v>43061</v>
      </c>
      <c r="D525" s="5">
        <v>0.91736111111111107</v>
      </c>
      <c r="E525">
        <v>-76.714666666666673</v>
      </c>
      <c r="F525">
        <v>3.4874999999999998</v>
      </c>
      <c r="G525">
        <v>1878</v>
      </c>
      <c r="H525">
        <v>1.2</v>
      </c>
      <c r="I525">
        <v>2017</v>
      </c>
      <c r="J525">
        <v>15</v>
      </c>
      <c r="K525">
        <v>10</v>
      </c>
      <c r="M525" t="s">
        <v>247</v>
      </c>
      <c r="O525" t="s">
        <v>38</v>
      </c>
      <c r="P525" t="s">
        <v>672</v>
      </c>
      <c r="R525" t="s">
        <v>920</v>
      </c>
      <c r="S525" t="s">
        <v>946</v>
      </c>
      <c r="U525" t="s">
        <v>88</v>
      </c>
      <c r="V525">
        <v>1</v>
      </c>
      <c r="Z525" t="s">
        <v>36</v>
      </c>
    </row>
    <row r="526" spans="1:26" hidden="1" x14ac:dyDescent="0.2">
      <c r="A526" s="3">
        <v>43061</v>
      </c>
      <c r="D526" s="5">
        <v>0.92013888888888884</v>
      </c>
      <c r="E526">
        <v>-76.714805555555557</v>
      </c>
      <c r="F526">
        <v>3.4873888888888889</v>
      </c>
      <c r="G526">
        <v>1878</v>
      </c>
      <c r="H526">
        <v>1.1599999999999999</v>
      </c>
      <c r="I526">
        <v>2017</v>
      </c>
      <c r="J526">
        <v>12</v>
      </c>
      <c r="K526">
        <v>7</v>
      </c>
      <c r="M526" t="s">
        <v>247</v>
      </c>
      <c r="O526" t="s">
        <v>38</v>
      </c>
      <c r="P526" t="s">
        <v>672</v>
      </c>
      <c r="R526" t="s">
        <v>920</v>
      </c>
      <c r="S526" t="s">
        <v>953</v>
      </c>
      <c r="U526" t="s">
        <v>88</v>
      </c>
      <c r="V526">
        <v>1</v>
      </c>
      <c r="Z526" t="s">
        <v>36</v>
      </c>
    </row>
    <row r="527" spans="1:26" hidden="1" x14ac:dyDescent="0.2">
      <c r="A527" s="3">
        <v>43061</v>
      </c>
      <c r="D527" s="5">
        <v>0.92708333333333337</v>
      </c>
      <c r="E527">
        <v>-76.714777777777783</v>
      </c>
      <c r="F527">
        <v>3.487305555555555</v>
      </c>
      <c r="G527">
        <v>1880</v>
      </c>
      <c r="H527">
        <v>1</v>
      </c>
      <c r="I527">
        <v>2017</v>
      </c>
      <c r="J527">
        <v>15</v>
      </c>
      <c r="M527" t="s">
        <v>247</v>
      </c>
      <c r="O527" t="s">
        <v>38</v>
      </c>
      <c r="P527" t="s">
        <v>672</v>
      </c>
      <c r="R527" t="s">
        <v>920</v>
      </c>
      <c r="S527" t="s">
        <v>946</v>
      </c>
      <c r="U527" t="s">
        <v>238</v>
      </c>
      <c r="V527">
        <v>1</v>
      </c>
      <c r="Z527" t="s">
        <v>36</v>
      </c>
    </row>
    <row r="528" spans="1:26" hidden="1" x14ac:dyDescent="0.2">
      <c r="A528" s="3">
        <v>43061</v>
      </c>
      <c r="D528" s="5">
        <v>0.92708333333333337</v>
      </c>
      <c r="E528">
        <v>-76.714777777777783</v>
      </c>
      <c r="F528">
        <v>3.487305555555555</v>
      </c>
      <c r="G528">
        <v>1880</v>
      </c>
      <c r="H528">
        <v>1</v>
      </c>
      <c r="I528">
        <v>2017</v>
      </c>
      <c r="J528">
        <v>15</v>
      </c>
      <c r="M528" t="s">
        <v>247</v>
      </c>
      <c r="O528" t="s">
        <v>38</v>
      </c>
      <c r="P528" t="s">
        <v>672</v>
      </c>
      <c r="R528" t="s">
        <v>920</v>
      </c>
      <c r="S528" t="s">
        <v>949</v>
      </c>
      <c r="U528" t="s">
        <v>88</v>
      </c>
      <c r="V528">
        <v>1</v>
      </c>
      <c r="Z528" t="s">
        <v>36</v>
      </c>
    </row>
    <row r="529" spans="1:26" hidden="1" x14ac:dyDescent="0.2">
      <c r="A529" s="3">
        <v>43061</v>
      </c>
      <c r="D529" s="5">
        <v>0.94374999999999998</v>
      </c>
      <c r="E529">
        <v>-76.714833333333331</v>
      </c>
      <c r="F529">
        <v>3.487055555555556</v>
      </c>
      <c r="G529">
        <v>1888</v>
      </c>
      <c r="H529">
        <v>1</v>
      </c>
      <c r="I529">
        <v>2017</v>
      </c>
      <c r="J529">
        <v>8</v>
      </c>
      <c r="K529">
        <v>20</v>
      </c>
      <c r="M529" t="s">
        <v>247</v>
      </c>
      <c r="O529" t="s">
        <v>40</v>
      </c>
      <c r="P529" t="s">
        <v>672</v>
      </c>
      <c r="R529" t="s">
        <v>920</v>
      </c>
      <c r="S529" t="s">
        <v>951</v>
      </c>
      <c r="U529" t="s">
        <v>88</v>
      </c>
      <c r="V529">
        <v>1</v>
      </c>
      <c r="Z529" t="s">
        <v>36</v>
      </c>
    </row>
    <row r="530" spans="1:26" hidden="1" x14ac:dyDescent="0.2">
      <c r="A530" s="3">
        <v>43061</v>
      </c>
      <c r="D530" s="5">
        <v>0.90972222222222221</v>
      </c>
      <c r="E530">
        <v>-76.714638888888885</v>
      </c>
      <c r="F530">
        <v>3.4875277777777778</v>
      </c>
      <c r="G530">
        <v>1876</v>
      </c>
      <c r="H530">
        <v>1</v>
      </c>
      <c r="I530">
        <v>2017</v>
      </c>
      <c r="J530">
        <v>15</v>
      </c>
      <c r="K530">
        <v>50</v>
      </c>
      <c r="M530" t="s">
        <v>247</v>
      </c>
      <c r="O530" t="s">
        <v>38</v>
      </c>
      <c r="P530" t="s">
        <v>672</v>
      </c>
      <c r="R530" t="s">
        <v>920</v>
      </c>
      <c r="S530" t="s">
        <v>951</v>
      </c>
      <c r="U530" t="s">
        <v>88</v>
      </c>
      <c r="V530">
        <v>1</v>
      </c>
      <c r="Z530" t="s">
        <v>36</v>
      </c>
    </row>
    <row r="531" spans="1:26" hidden="1" x14ac:dyDescent="0.2">
      <c r="A531" s="3">
        <v>43061</v>
      </c>
      <c r="D531" s="5">
        <v>0.92361111111111116</v>
      </c>
      <c r="E531">
        <v>-76.714722222222221</v>
      </c>
      <c r="F531">
        <v>3.487333333333333</v>
      </c>
      <c r="G531">
        <v>1878</v>
      </c>
      <c r="H531">
        <v>1</v>
      </c>
      <c r="I531">
        <v>2017</v>
      </c>
      <c r="J531">
        <v>12</v>
      </c>
      <c r="K531">
        <v>3</v>
      </c>
      <c r="M531" t="s">
        <v>247</v>
      </c>
      <c r="O531" t="s">
        <v>38</v>
      </c>
      <c r="P531" t="s">
        <v>672</v>
      </c>
      <c r="R531" t="s">
        <v>920</v>
      </c>
      <c r="S531" t="s">
        <v>951</v>
      </c>
      <c r="U531" t="s">
        <v>88</v>
      </c>
      <c r="V531">
        <v>1</v>
      </c>
      <c r="Z531" t="s">
        <v>36</v>
      </c>
    </row>
    <row r="532" spans="1:26" hidden="1" x14ac:dyDescent="0.2">
      <c r="A532" s="3">
        <v>43061</v>
      </c>
      <c r="D532" s="5"/>
      <c r="E532">
        <v>-76.713972222222225</v>
      </c>
      <c r="F532">
        <v>3.487833333333334</v>
      </c>
      <c r="G532">
        <v>1857</v>
      </c>
      <c r="I532">
        <v>2017</v>
      </c>
      <c r="M532" t="s">
        <v>247</v>
      </c>
      <c r="O532" t="s">
        <v>32</v>
      </c>
      <c r="P532" t="s">
        <v>672</v>
      </c>
      <c r="S532" t="s">
        <v>945</v>
      </c>
      <c r="U532" t="s">
        <v>36</v>
      </c>
      <c r="V532">
        <v>0</v>
      </c>
      <c r="Z532" t="s">
        <v>36</v>
      </c>
    </row>
    <row r="533" spans="1:26" hidden="1" x14ac:dyDescent="0.2">
      <c r="A533" s="3">
        <v>43013</v>
      </c>
      <c r="D533" s="5">
        <v>0.86805555555555558</v>
      </c>
      <c r="E533">
        <v>-76.644383333333337</v>
      </c>
      <c r="F533">
        <v>3.3494888888888892</v>
      </c>
      <c r="G533">
        <v>2479</v>
      </c>
      <c r="I533">
        <v>2017</v>
      </c>
      <c r="K533">
        <v>7</v>
      </c>
      <c r="M533" t="s">
        <v>624</v>
      </c>
      <c r="O533" t="s">
        <v>32</v>
      </c>
      <c r="P533" t="s">
        <v>625</v>
      </c>
      <c r="R533" t="s">
        <v>919</v>
      </c>
      <c r="S533" t="s">
        <v>950</v>
      </c>
      <c r="U533" t="s">
        <v>723</v>
      </c>
      <c r="V533">
        <v>1</v>
      </c>
      <c r="Z533" t="s">
        <v>36</v>
      </c>
    </row>
    <row r="534" spans="1:26" hidden="1" x14ac:dyDescent="0.2">
      <c r="A534" s="3">
        <v>43013</v>
      </c>
      <c r="D534" s="5"/>
      <c r="E534">
        <v>-76.64425</v>
      </c>
      <c r="F534">
        <v>3.3495833333333329</v>
      </c>
      <c r="G534">
        <v>2478</v>
      </c>
      <c r="I534">
        <v>2017</v>
      </c>
      <c r="M534" t="s">
        <v>624</v>
      </c>
      <c r="O534" t="s">
        <v>32</v>
      </c>
      <c r="P534" t="s">
        <v>625</v>
      </c>
      <c r="R534" t="s">
        <v>919</v>
      </c>
      <c r="S534" t="s">
        <v>946</v>
      </c>
      <c r="U534" t="s">
        <v>723</v>
      </c>
      <c r="V534">
        <v>1</v>
      </c>
      <c r="Z534" t="s">
        <v>36</v>
      </c>
    </row>
    <row r="535" spans="1:26" hidden="1" x14ac:dyDescent="0.2">
      <c r="A535" s="3">
        <v>43013</v>
      </c>
      <c r="D535" s="5"/>
      <c r="E535">
        <v>-76.64425</v>
      </c>
      <c r="F535">
        <v>3.3495833333333329</v>
      </c>
      <c r="G535">
        <v>2478</v>
      </c>
      <c r="I535">
        <v>2017</v>
      </c>
      <c r="J535">
        <v>10</v>
      </c>
      <c r="M535" t="s">
        <v>624</v>
      </c>
      <c r="O535" t="s">
        <v>32</v>
      </c>
      <c r="P535" t="s">
        <v>625</v>
      </c>
      <c r="R535" t="s">
        <v>919</v>
      </c>
      <c r="S535" t="s">
        <v>950</v>
      </c>
      <c r="U535" t="s">
        <v>723</v>
      </c>
      <c r="V535">
        <v>1</v>
      </c>
      <c r="Z535" t="s">
        <v>36</v>
      </c>
    </row>
    <row r="536" spans="1:26" hidden="1" x14ac:dyDescent="0.2">
      <c r="A536" s="3">
        <v>43013</v>
      </c>
      <c r="D536" s="5">
        <v>0.91249999999999998</v>
      </c>
      <c r="E536">
        <v>-76.644333333333336</v>
      </c>
      <c r="F536">
        <v>3.3495555555555558</v>
      </c>
      <c r="G536">
        <v>2472</v>
      </c>
      <c r="I536">
        <v>2017</v>
      </c>
      <c r="J536">
        <v>20</v>
      </c>
      <c r="M536" t="s">
        <v>624</v>
      </c>
      <c r="O536" t="s">
        <v>32</v>
      </c>
      <c r="P536" t="s">
        <v>625</v>
      </c>
      <c r="R536" t="s">
        <v>919</v>
      </c>
      <c r="S536" t="s">
        <v>954</v>
      </c>
      <c r="U536" t="s">
        <v>723</v>
      </c>
      <c r="V536">
        <v>1</v>
      </c>
      <c r="Z536" t="s">
        <v>36</v>
      </c>
    </row>
    <row r="537" spans="1:26" hidden="1" x14ac:dyDescent="0.2">
      <c r="A537" s="3">
        <v>43013</v>
      </c>
      <c r="D537" s="5">
        <v>0.85416666666666663</v>
      </c>
      <c r="E537">
        <v>-76.644383333333337</v>
      </c>
      <c r="F537">
        <v>3.3494888888888892</v>
      </c>
      <c r="G537">
        <v>2479</v>
      </c>
      <c r="I537">
        <v>2017</v>
      </c>
      <c r="J537">
        <v>8</v>
      </c>
      <c r="K537">
        <v>5</v>
      </c>
      <c r="M537" t="s">
        <v>624</v>
      </c>
      <c r="O537" t="s">
        <v>32</v>
      </c>
      <c r="P537" t="s">
        <v>625</v>
      </c>
      <c r="R537" t="s">
        <v>919</v>
      </c>
      <c r="S537" t="s">
        <v>951</v>
      </c>
      <c r="U537" t="s">
        <v>238</v>
      </c>
      <c r="V537">
        <v>1</v>
      </c>
      <c r="Z537" t="s">
        <v>36</v>
      </c>
    </row>
    <row r="538" spans="1:26" hidden="1" x14ac:dyDescent="0.2">
      <c r="A538" s="3">
        <v>43013</v>
      </c>
      <c r="D538" s="5">
        <v>0.88194444444444442</v>
      </c>
      <c r="E538">
        <v>-76.644383333333337</v>
      </c>
      <c r="F538">
        <v>3.3494888888888892</v>
      </c>
      <c r="G538">
        <v>2479</v>
      </c>
      <c r="I538">
        <v>2017</v>
      </c>
      <c r="J538">
        <v>8</v>
      </c>
      <c r="K538">
        <v>10</v>
      </c>
      <c r="M538" t="s">
        <v>624</v>
      </c>
      <c r="O538" t="s">
        <v>32</v>
      </c>
      <c r="P538" t="s">
        <v>625</v>
      </c>
      <c r="R538" t="s">
        <v>919</v>
      </c>
      <c r="S538" t="s">
        <v>951</v>
      </c>
      <c r="U538" t="s">
        <v>723</v>
      </c>
      <c r="V538">
        <v>1</v>
      </c>
      <c r="Z538" t="s">
        <v>36</v>
      </c>
    </row>
    <row r="539" spans="1:26" hidden="1" x14ac:dyDescent="0.2">
      <c r="A539" s="3">
        <v>43013</v>
      </c>
      <c r="D539" s="5">
        <v>0.89444444444444449</v>
      </c>
      <c r="E539">
        <v>-76.64425555555556</v>
      </c>
      <c r="F539">
        <v>3.3495833333333329</v>
      </c>
      <c r="G539">
        <v>2471</v>
      </c>
      <c r="I539">
        <v>2017</v>
      </c>
      <c r="J539">
        <v>10</v>
      </c>
      <c r="K539">
        <v>2</v>
      </c>
      <c r="M539" t="s">
        <v>624</v>
      </c>
      <c r="O539" t="s">
        <v>32</v>
      </c>
      <c r="P539" t="s">
        <v>625</v>
      </c>
      <c r="R539" t="s">
        <v>919</v>
      </c>
      <c r="S539" t="s">
        <v>951</v>
      </c>
      <c r="U539" t="s">
        <v>238</v>
      </c>
      <c r="V539">
        <v>1</v>
      </c>
      <c r="Z539" t="s">
        <v>36</v>
      </c>
    </row>
    <row r="540" spans="1:26" hidden="1" x14ac:dyDescent="0.2">
      <c r="A540" s="3">
        <v>43013</v>
      </c>
      <c r="D540" s="5">
        <v>0.90277777777777779</v>
      </c>
      <c r="E540">
        <v>-76.644194444444452</v>
      </c>
      <c r="F540">
        <v>3.3495833333333329</v>
      </c>
      <c r="G540">
        <v>2469</v>
      </c>
      <c r="I540">
        <v>2017</v>
      </c>
      <c r="J540">
        <v>12</v>
      </c>
      <c r="K540">
        <v>8</v>
      </c>
      <c r="M540" t="s">
        <v>624</v>
      </c>
      <c r="O540" t="s">
        <v>32</v>
      </c>
      <c r="P540" t="s">
        <v>625</v>
      </c>
      <c r="R540" t="s">
        <v>919</v>
      </c>
      <c r="S540" t="s">
        <v>945</v>
      </c>
      <c r="U540" t="s">
        <v>238</v>
      </c>
      <c r="V540">
        <v>1</v>
      </c>
      <c r="Z540" t="s">
        <v>36</v>
      </c>
    </row>
    <row r="541" spans="1:26" hidden="1" x14ac:dyDescent="0.2">
      <c r="A541" s="3">
        <v>43013</v>
      </c>
      <c r="D541" s="5">
        <v>0.92361111111111116</v>
      </c>
      <c r="E541">
        <v>-76.643416666666667</v>
      </c>
      <c r="F541">
        <v>3.3474444444444451</v>
      </c>
      <c r="G541">
        <v>2465</v>
      </c>
      <c r="I541">
        <v>2017</v>
      </c>
      <c r="J541">
        <v>5</v>
      </c>
      <c r="K541">
        <v>80</v>
      </c>
      <c r="M541" t="s">
        <v>624</v>
      </c>
      <c r="O541" t="s">
        <v>38</v>
      </c>
      <c r="P541" t="s">
        <v>625</v>
      </c>
      <c r="R541" t="s">
        <v>919</v>
      </c>
      <c r="S541" t="s">
        <v>950</v>
      </c>
      <c r="U541" t="s">
        <v>316</v>
      </c>
      <c r="V541">
        <v>1</v>
      </c>
      <c r="Z541" t="s">
        <v>36</v>
      </c>
    </row>
    <row r="542" spans="1:26" hidden="1" x14ac:dyDescent="0.2">
      <c r="A542" s="3">
        <v>43013</v>
      </c>
      <c r="D542" s="5">
        <v>0.93819444444444444</v>
      </c>
      <c r="E542">
        <v>-76.643305555555557</v>
      </c>
      <c r="F542">
        <v>3.349472222222222</v>
      </c>
      <c r="G542">
        <v>2466</v>
      </c>
      <c r="I542">
        <v>2017</v>
      </c>
      <c r="J542">
        <v>10</v>
      </c>
      <c r="K542">
        <v>85</v>
      </c>
      <c r="M542" t="s">
        <v>624</v>
      </c>
      <c r="O542" t="s">
        <v>38</v>
      </c>
      <c r="P542" t="s">
        <v>625</v>
      </c>
      <c r="R542" t="s">
        <v>919</v>
      </c>
      <c r="S542" t="s">
        <v>945</v>
      </c>
      <c r="U542" t="s">
        <v>723</v>
      </c>
      <c r="V542">
        <v>1</v>
      </c>
      <c r="Z542" t="s">
        <v>36</v>
      </c>
    </row>
    <row r="543" spans="1:26" hidden="1" x14ac:dyDescent="0.2">
      <c r="A543" s="3">
        <v>43014</v>
      </c>
      <c r="D543" s="5">
        <v>4.1666666666666664E-2</v>
      </c>
      <c r="E543">
        <v>-76.647083333333342</v>
      </c>
      <c r="F543">
        <v>3.3495833333333329</v>
      </c>
      <c r="G543">
        <v>2447</v>
      </c>
      <c r="H543">
        <v>1.5</v>
      </c>
      <c r="I543">
        <v>2017</v>
      </c>
      <c r="M543" t="s">
        <v>624</v>
      </c>
      <c r="O543" t="s">
        <v>38</v>
      </c>
      <c r="P543" t="s">
        <v>643</v>
      </c>
      <c r="R543" t="s">
        <v>920</v>
      </c>
      <c r="S543" t="s">
        <v>945</v>
      </c>
      <c r="U543" t="s">
        <v>36</v>
      </c>
      <c r="V543">
        <v>0</v>
      </c>
      <c r="Z543" t="s">
        <v>36</v>
      </c>
    </row>
    <row r="544" spans="1:26" x14ac:dyDescent="0.2">
      <c r="A544" s="3">
        <v>43014</v>
      </c>
      <c r="D544" s="5">
        <v>0.78472222222222221</v>
      </c>
      <c r="E544">
        <v>-76.6564388888889</v>
      </c>
      <c r="F544">
        <v>3.355202777777778</v>
      </c>
      <c r="G544">
        <v>2619</v>
      </c>
      <c r="H544">
        <v>0.57999999999999996</v>
      </c>
      <c r="I544">
        <v>2017</v>
      </c>
      <c r="J544">
        <v>8</v>
      </c>
      <c r="K544">
        <v>5</v>
      </c>
      <c r="M544" t="s">
        <v>624</v>
      </c>
      <c r="O544" t="s">
        <v>40</v>
      </c>
      <c r="P544" t="s">
        <v>720</v>
      </c>
      <c r="R544" t="s">
        <v>920</v>
      </c>
      <c r="S544" t="s">
        <v>951</v>
      </c>
      <c r="U544" t="s">
        <v>723</v>
      </c>
      <c r="V544">
        <v>1</v>
      </c>
      <c r="Z544" t="s">
        <v>36</v>
      </c>
    </row>
    <row r="545" spans="1:26" x14ac:dyDescent="0.2">
      <c r="A545" s="3">
        <v>43014</v>
      </c>
      <c r="D545" s="5">
        <v>0.78472222222222221</v>
      </c>
      <c r="E545">
        <v>-76.6564388888889</v>
      </c>
      <c r="F545">
        <v>3.355202777777778</v>
      </c>
      <c r="G545">
        <v>2619</v>
      </c>
      <c r="H545">
        <v>0.5</v>
      </c>
      <c r="I545">
        <v>2017</v>
      </c>
      <c r="J545">
        <v>8</v>
      </c>
      <c r="K545">
        <v>2</v>
      </c>
      <c r="M545" t="s">
        <v>624</v>
      </c>
      <c r="O545" t="s">
        <v>40</v>
      </c>
      <c r="P545" t="s">
        <v>720</v>
      </c>
      <c r="R545" t="s">
        <v>920</v>
      </c>
      <c r="S545" t="s">
        <v>951</v>
      </c>
      <c r="U545" t="s">
        <v>371</v>
      </c>
      <c r="V545">
        <v>1</v>
      </c>
      <c r="Z545" t="s">
        <v>36</v>
      </c>
    </row>
    <row r="546" spans="1:26" x14ac:dyDescent="0.2">
      <c r="A546" s="3">
        <v>43014</v>
      </c>
      <c r="D546" s="5">
        <v>0.80208333333333337</v>
      </c>
      <c r="E546">
        <v>-76.656166666666678</v>
      </c>
      <c r="F546">
        <v>3.3552499999999998</v>
      </c>
      <c r="G546">
        <v>2599</v>
      </c>
      <c r="H546">
        <v>0.8</v>
      </c>
      <c r="I546">
        <v>2017</v>
      </c>
      <c r="J546">
        <v>10</v>
      </c>
      <c r="K546">
        <v>10</v>
      </c>
      <c r="M546" t="s">
        <v>624</v>
      </c>
      <c r="O546" t="s">
        <v>40</v>
      </c>
      <c r="P546" t="s">
        <v>720</v>
      </c>
      <c r="R546" t="s">
        <v>920</v>
      </c>
      <c r="S546" t="s">
        <v>951</v>
      </c>
      <c r="U546" t="s">
        <v>723</v>
      </c>
      <c r="V546">
        <v>1</v>
      </c>
      <c r="Z546" t="s">
        <v>36</v>
      </c>
    </row>
    <row r="547" spans="1:26" x14ac:dyDescent="0.2">
      <c r="A547" s="3">
        <v>43014</v>
      </c>
      <c r="D547" s="5">
        <v>0.80277777777777781</v>
      </c>
      <c r="E547">
        <v>-76.656166666666678</v>
      </c>
      <c r="F547">
        <v>3.3552499999999998</v>
      </c>
      <c r="G547">
        <v>2599</v>
      </c>
      <c r="H547">
        <v>0.4</v>
      </c>
      <c r="I547">
        <v>2017</v>
      </c>
      <c r="J547">
        <v>10</v>
      </c>
      <c r="K547">
        <v>15</v>
      </c>
      <c r="M547" t="s">
        <v>624</v>
      </c>
      <c r="O547" t="s">
        <v>40</v>
      </c>
      <c r="P547" t="s">
        <v>720</v>
      </c>
      <c r="R547" t="s">
        <v>920</v>
      </c>
      <c r="S547" t="s">
        <v>950</v>
      </c>
      <c r="U547" t="s">
        <v>723</v>
      </c>
      <c r="V547">
        <v>1</v>
      </c>
      <c r="Z547" t="s">
        <v>36</v>
      </c>
    </row>
    <row r="548" spans="1:26" x14ac:dyDescent="0.2">
      <c r="A548" s="3">
        <v>43014</v>
      </c>
      <c r="D548" s="5">
        <v>0.83333333333333337</v>
      </c>
      <c r="E548">
        <v>-76.656194444444452</v>
      </c>
      <c r="F548">
        <v>3.3553888888888892</v>
      </c>
      <c r="G548">
        <v>2580</v>
      </c>
      <c r="H548">
        <v>0.4</v>
      </c>
      <c r="I548">
        <v>2017</v>
      </c>
      <c r="J548">
        <v>10</v>
      </c>
      <c r="K548">
        <v>30</v>
      </c>
      <c r="M548" t="s">
        <v>624</v>
      </c>
      <c r="O548" t="s">
        <v>40</v>
      </c>
      <c r="P548" t="s">
        <v>720</v>
      </c>
      <c r="R548" t="s">
        <v>920</v>
      </c>
      <c r="S548" t="s">
        <v>950</v>
      </c>
      <c r="U548" t="s">
        <v>238</v>
      </c>
      <c r="V548">
        <v>1</v>
      </c>
      <c r="Z548" t="s">
        <v>36</v>
      </c>
    </row>
    <row r="549" spans="1:26" x14ac:dyDescent="0.2">
      <c r="A549" s="3">
        <v>43014</v>
      </c>
      <c r="D549" s="5">
        <v>0.87361111111111112</v>
      </c>
      <c r="E549">
        <v>-76.65613888888889</v>
      </c>
      <c r="F549">
        <v>3.3547500000000001</v>
      </c>
      <c r="G549">
        <v>2585</v>
      </c>
      <c r="I549">
        <v>2017</v>
      </c>
      <c r="J549">
        <v>15</v>
      </c>
      <c r="K549">
        <v>20</v>
      </c>
      <c r="M549" t="s">
        <v>624</v>
      </c>
      <c r="O549" t="s">
        <v>38</v>
      </c>
      <c r="P549" t="s">
        <v>720</v>
      </c>
      <c r="R549" t="s">
        <v>919</v>
      </c>
      <c r="S549" t="s">
        <v>946</v>
      </c>
      <c r="U549" t="s">
        <v>238</v>
      </c>
      <c r="V549">
        <v>1</v>
      </c>
      <c r="W549" t="s">
        <v>49</v>
      </c>
      <c r="Z549" t="s">
        <v>36</v>
      </c>
    </row>
    <row r="550" spans="1:26" x14ac:dyDescent="0.2">
      <c r="A550" s="3">
        <v>43014</v>
      </c>
      <c r="D550" s="5">
        <v>0.86805555555555558</v>
      </c>
      <c r="E550">
        <v>-76.65613888888889</v>
      </c>
      <c r="F550">
        <v>3.3547500000000001</v>
      </c>
      <c r="G550">
        <v>2585</v>
      </c>
      <c r="I550">
        <v>2017</v>
      </c>
      <c r="J550">
        <v>10</v>
      </c>
      <c r="K550">
        <v>50</v>
      </c>
      <c r="M550" t="s">
        <v>624</v>
      </c>
      <c r="O550" t="s">
        <v>38</v>
      </c>
      <c r="P550" t="s">
        <v>720</v>
      </c>
      <c r="R550" t="s">
        <v>919</v>
      </c>
      <c r="S550" t="s">
        <v>951</v>
      </c>
      <c r="U550" t="s">
        <v>723</v>
      </c>
      <c r="V550">
        <v>1</v>
      </c>
      <c r="W550" t="s">
        <v>1053</v>
      </c>
      <c r="Z550" t="s">
        <v>36</v>
      </c>
    </row>
    <row r="551" spans="1:26" x14ac:dyDescent="0.2">
      <c r="A551" s="3">
        <v>43014</v>
      </c>
      <c r="D551" s="5">
        <v>0.88888888888888884</v>
      </c>
      <c r="E551">
        <v>-76.65591666666667</v>
      </c>
      <c r="F551">
        <v>3.354805555555556</v>
      </c>
      <c r="G551">
        <v>2588</v>
      </c>
      <c r="I551">
        <v>2017</v>
      </c>
      <c r="J551">
        <v>8</v>
      </c>
      <c r="K551">
        <v>80</v>
      </c>
      <c r="M551" t="s">
        <v>624</v>
      </c>
      <c r="O551" t="s">
        <v>38</v>
      </c>
      <c r="P551" t="s">
        <v>720</v>
      </c>
      <c r="R551" t="s">
        <v>919</v>
      </c>
      <c r="S551" t="s">
        <v>951</v>
      </c>
      <c r="U551" t="s">
        <v>723</v>
      </c>
      <c r="V551">
        <v>1</v>
      </c>
      <c r="Z551" t="s">
        <v>36</v>
      </c>
    </row>
    <row r="552" spans="1:26" x14ac:dyDescent="0.2">
      <c r="A552" s="3">
        <v>43014</v>
      </c>
      <c r="D552" s="5">
        <v>0.89583333333333337</v>
      </c>
      <c r="E552">
        <v>-76.65591666666667</v>
      </c>
      <c r="F552">
        <v>3.354805555555556</v>
      </c>
      <c r="G552">
        <v>2588</v>
      </c>
      <c r="I552">
        <v>2017</v>
      </c>
      <c r="J552">
        <v>10</v>
      </c>
      <c r="K552">
        <v>10</v>
      </c>
      <c r="M552" t="s">
        <v>624</v>
      </c>
      <c r="O552" t="s">
        <v>38</v>
      </c>
      <c r="P552" t="s">
        <v>720</v>
      </c>
      <c r="R552" t="s">
        <v>919</v>
      </c>
      <c r="S552" t="s">
        <v>945</v>
      </c>
      <c r="U552" t="s">
        <v>371</v>
      </c>
      <c r="V552">
        <v>1</v>
      </c>
      <c r="Z552" t="s">
        <v>36</v>
      </c>
    </row>
    <row r="553" spans="1:26" x14ac:dyDescent="0.2">
      <c r="A553" s="3">
        <v>43014</v>
      </c>
      <c r="D553" s="5">
        <v>0.89652777777777781</v>
      </c>
      <c r="E553">
        <v>-76.65591666666667</v>
      </c>
      <c r="F553">
        <v>3.354805555555556</v>
      </c>
      <c r="G553">
        <v>2588</v>
      </c>
      <c r="I553">
        <v>2017</v>
      </c>
      <c r="J553">
        <v>10</v>
      </c>
      <c r="K553">
        <v>10</v>
      </c>
      <c r="M553" t="s">
        <v>624</v>
      </c>
      <c r="O553" t="s">
        <v>38</v>
      </c>
      <c r="P553" t="s">
        <v>720</v>
      </c>
      <c r="R553" t="s">
        <v>919</v>
      </c>
      <c r="S553" t="s">
        <v>951</v>
      </c>
      <c r="U553" t="s">
        <v>371</v>
      </c>
      <c r="V553">
        <v>1</v>
      </c>
      <c r="Z553" t="s">
        <v>36</v>
      </c>
    </row>
    <row r="554" spans="1:26" hidden="1" x14ac:dyDescent="0.2">
      <c r="A554" s="3">
        <v>43014</v>
      </c>
      <c r="D554" s="5">
        <v>0.9458333333333333</v>
      </c>
      <c r="E554">
        <v>-76.654055555555558</v>
      </c>
      <c r="F554">
        <v>3.3535833333333329</v>
      </c>
      <c r="G554">
        <v>2594</v>
      </c>
      <c r="I554">
        <v>2017</v>
      </c>
      <c r="J554">
        <v>10</v>
      </c>
      <c r="K554">
        <v>5</v>
      </c>
      <c r="M554" t="s">
        <v>624</v>
      </c>
      <c r="O554" t="s">
        <v>58</v>
      </c>
      <c r="P554" t="s">
        <v>690</v>
      </c>
      <c r="R554" t="s">
        <v>919</v>
      </c>
      <c r="S554" t="s">
        <v>946</v>
      </c>
      <c r="U554" t="s">
        <v>723</v>
      </c>
      <c r="V554">
        <v>1</v>
      </c>
      <c r="Z554" t="s">
        <v>36</v>
      </c>
    </row>
    <row r="555" spans="1:26" hidden="1" x14ac:dyDescent="0.2">
      <c r="A555" s="3">
        <v>43014</v>
      </c>
      <c r="D555" s="5">
        <v>0.95277777777777772</v>
      </c>
      <c r="E555">
        <v>-76.654055555555558</v>
      </c>
      <c r="F555">
        <v>3.3535833333333329</v>
      </c>
      <c r="G555">
        <v>2594</v>
      </c>
      <c r="I555">
        <v>2017</v>
      </c>
      <c r="J555">
        <v>5</v>
      </c>
      <c r="K555">
        <v>10</v>
      </c>
      <c r="M555" t="s">
        <v>624</v>
      </c>
      <c r="O555" t="s">
        <v>58</v>
      </c>
      <c r="P555" t="s">
        <v>690</v>
      </c>
      <c r="R555" t="s">
        <v>919</v>
      </c>
      <c r="S555" t="s">
        <v>955</v>
      </c>
      <c r="U555" t="s">
        <v>723</v>
      </c>
      <c r="V555">
        <v>1</v>
      </c>
      <c r="W555" t="s">
        <v>1054</v>
      </c>
      <c r="Z555" t="s">
        <v>36</v>
      </c>
    </row>
    <row r="556" spans="1:26" hidden="1" x14ac:dyDescent="0.2">
      <c r="A556" s="3">
        <v>43014</v>
      </c>
      <c r="D556" s="5">
        <v>0.96250000000000002</v>
      </c>
      <c r="E556">
        <v>-76.653750000000002</v>
      </c>
      <c r="F556">
        <v>3.353444444444444</v>
      </c>
      <c r="G556">
        <v>2583</v>
      </c>
      <c r="I556">
        <v>2017</v>
      </c>
      <c r="J556">
        <v>12</v>
      </c>
      <c r="K556">
        <v>30</v>
      </c>
      <c r="M556" t="s">
        <v>624</v>
      </c>
      <c r="O556" t="s">
        <v>58</v>
      </c>
      <c r="P556" t="s">
        <v>690</v>
      </c>
      <c r="R556" t="s">
        <v>919</v>
      </c>
      <c r="S556" t="s">
        <v>946</v>
      </c>
      <c r="U556" t="s">
        <v>723</v>
      </c>
      <c r="V556">
        <v>1</v>
      </c>
      <c r="Z556" t="s">
        <v>36</v>
      </c>
    </row>
    <row r="557" spans="1:26" hidden="1" x14ac:dyDescent="0.2">
      <c r="A557" s="3">
        <v>43014</v>
      </c>
      <c r="D557" s="5">
        <v>0.97222222222222221</v>
      </c>
      <c r="E557">
        <v>-76.653472222222234</v>
      </c>
      <c r="F557">
        <v>3.353444444444444</v>
      </c>
      <c r="G557">
        <v>2585</v>
      </c>
      <c r="I557">
        <v>2017</v>
      </c>
      <c r="J557">
        <v>12</v>
      </c>
      <c r="K557">
        <v>40</v>
      </c>
      <c r="M557" t="s">
        <v>624</v>
      </c>
      <c r="O557" t="s">
        <v>58</v>
      </c>
      <c r="P557" t="s">
        <v>690</v>
      </c>
      <c r="R557" t="s">
        <v>919</v>
      </c>
      <c r="S557" t="s">
        <v>946</v>
      </c>
      <c r="U557" t="s">
        <v>723</v>
      </c>
      <c r="V557">
        <v>1</v>
      </c>
      <c r="Z557" t="s">
        <v>36</v>
      </c>
    </row>
    <row r="558" spans="1:26" hidden="1" x14ac:dyDescent="0.2">
      <c r="A558" s="3">
        <v>43014</v>
      </c>
      <c r="D558" s="5">
        <v>0.9375</v>
      </c>
      <c r="E558">
        <v>-76.654111111111121</v>
      </c>
      <c r="F558">
        <v>3.3535555555555558</v>
      </c>
      <c r="G558">
        <v>2583</v>
      </c>
      <c r="I558">
        <v>2017</v>
      </c>
      <c r="J558">
        <v>8</v>
      </c>
      <c r="K558">
        <v>15</v>
      </c>
      <c r="M558" t="s">
        <v>624</v>
      </c>
      <c r="O558" t="s">
        <v>58</v>
      </c>
      <c r="P558" t="s">
        <v>690</v>
      </c>
      <c r="R558" t="s">
        <v>919</v>
      </c>
      <c r="S558" t="s">
        <v>951</v>
      </c>
      <c r="U558" t="s">
        <v>723</v>
      </c>
      <c r="V558">
        <v>1</v>
      </c>
      <c r="Z558" t="s">
        <v>36</v>
      </c>
    </row>
    <row r="559" spans="1:26" hidden="1" x14ac:dyDescent="0.2">
      <c r="A559" s="3">
        <v>43014</v>
      </c>
      <c r="D559" s="5">
        <v>0.94513888888888886</v>
      </c>
      <c r="E559">
        <v>-76.653861111111112</v>
      </c>
      <c r="F559">
        <v>3.3535277777777779</v>
      </c>
      <c r="G559">
        <v>2582</v>
      </c>
      <c r="I559">
        <v>2017</v>
      </c>
      <c r="J559">
        <v>6</v>
      </c>
      <c r="K559">
        <v>6</v>
      </c>
      <c r="M559" t="s">
        <v>624</v>
      </c>
      <c r="O559" t="s">
        <v>58</v>
      </c>
      <c r="P559" t="s">
        <v>690</v>
      </c>
      <c r="R559" t="s">
        <v>919</v>
      </c>
      <c r="S559" t="s">
        <v>951</v>
      </c>
      <c r="U559" t="s">
        <v>723</v>
      </c>
      <c r="V559">
        <v>1</v>
      </c>
      <c r="Z559" t="s">
        <v>36</v>
      </c>
    </row>
    <row r="560" spans="1:26" hidden="1" x14ac:dyDescent="0.2">
      <c r="A560" s="3">
        <v>43014</v>
      </c>
      <c r="D560" s="5">
        <v>0.95</v>
      </c>
      <c r="E560">
        <v>-76.653750000000002</v>
      </c>
      <c r="F560">
        <v>3.353444444444444</v>
      </c>
      <c r="G560">
        <v>2585</v>
      </c>
      <c r="I560">
        <v>2017</v>
      </c>
      <c r="J560">
        <v>10</v>
      </c>
      <c r="K560">
        <v>70</v>
      </c>
      <c r="M560" t="s">
        <v>624</v>
      </c>
      <c r="O560" t="s">
        <v>58</v>
      </c>
      <c r="P560" t="s">
        <v>690</v>
      </c>
      <c r="R560" t="s">
        <v>919</v>
      </c>
      <c r="S560" t="s">
        <v>951</v>
      </c>
      <c r="U560" t="s">
        <v>723</v>
      </c>
      <c r="V560">
        <v>1</v>
      </c>
      <c r="Z560" t="s">
        <v>36</v>
      </c>
    </row>
    <row r="561" spans="1:26" hidden="1" x14ac:dyDescent="0.2">
      <c r="A561" s="3">
        <v>43014</v>
      </c>
      <c r="D561" s="5">
        <v>0</v>
      </c>
      <c r="E561">
        <v>-76.65269444444445</v>
      </c>
      <c r="F561">
        <v>3.3535555555555558</v>
      </c>
      <c r="G561">
        <v>2558</v>
      </c>
      <c r="I561">
        <v>2017</v>
      </c>
      <c r="J561">
        <v>10</v>
      </c>
      <c r="K561">
        <v>70</v>
      </c>
      <c r="M561" t="s">
        <v>624</v>
      </c>
      <c r="O561" t="s">
        <v>47</v>
      </c>
      <c r="P561" t="s">
        <v>690</v>
      </c>
      <c r="R561" t="s">
        <v>919</v>
      </c>
      <c r="S561" t="s">
        <v>951</v>
      </c>
      <c r="U561" t="s">
        <v>238</v>
      </c>
      <c r="V561">
        <v>1</v>
      </c>
      <c r="Z561" t="s">
        <v>36</v>
      </c>
    </row>
    <row r="562" spans="1:26" hidden="1" x14ac:dyDescent="0.2">
      <c r="A562" s="3">
        <v>43014</v>
      </c>
      <c r="D562" s="5">
        <v>1.9444444444444445E-2</v>
      </c>
      <c r="E562">
        <v>-76.652111111111111</v>
      </c>
      <c r="F562">
        <v>3.353444444444444</v>
      </c>
      <c r="G562">
        <v>2551</v>
      </c>
      <c r="I562">
        <v>2017</v>
      </c>
      <c r="J562">
        <v>15</v>
      </c>
      <c r="K562">
        <v>90</v>
      </c>
      <c r="M562" t="s">
        <v>624</v>
      </c>
      <c r="O562" t="s">
        <v>47</v>
      </c>
      <c r="P562" t="s">
        <v>690</v>
      </c>
      <c r="R562" t="s">
        <v>919</v>
      </c>
      <c r="S562" t="s">
        <v>950</v>
      </c>
      <c r="U562" t="s">
        <v>723</v>
      </c>
      <c r="V562">
        <v>1</v>
      </c>
      <c r="Z562" t="s">
        <v>36</v>
      </c>
    </row>
    <row r="563" spans="1:26" hidden="1" x14ac:dyDescent="0.2">
      <c r="A563" s="3">
        <v>43230</v>
      </c>
      <c r="D563" s="5">
        <v>0.80763888888888891</v>
      </c>
      <c r="E563">
        <v>-76.680588888888892</v>
      </c>
      <c r="F563">
        <v>3.4012361111111109</v>
      </c>
      <c r="G563">
        <v>3065</v>
      </c>
      <c r="I563">
        <v>2018</v>
      </c>
      <c r="J563">
        <v>10</v>
      </c>
      <c r="K563">
        <v>70</v>
      </c>
      <c r="M563" t="s">
        <v>916</v>
      </c>
      <c r="O563" t="s">
        <v>32</v>
      </c>
      <c r="P563" t="s">
        <v>913</v>
      </c>
      <c r="R563" t="s">
        <v>919</v>
      </c>
      <c r="S563" t="s">
        <v>949</v>
      </c>
      <c r="U563" t="s">
        <v>36</v>
      </c>
      <c r="V563">
        <v>0</v>
      </c>
      <c r="Z563" t="s">
        <v>36</v>
      </c>
    </row>
    <row r="564" spans="1:26" hidden="1" x14ac:dyDescent="0.2">
      <c r="A564" s="3">
        <v>43230</v>
      </c>
      <c r="D564" s="5">
        <v>0.86944444444444446</v>
      </c>
      <c r="E564">
        <v>-76.679702777777777</v>
      </c>
      <c r="F564">
        <v>3.400816666666667</v>
      </c>
      <c r="G564">
        <v>3088</v>
      </c>
      <c r="I564">
        <v>2018</v>
      </c>
      <c r="J564">
        <v>4</v>
      </c>
      <c r="K564">
        <v>70</v>
      </c>
      <c r="M564" t="s">
        <v>916</v>
      </c>
      <c r="O564" t="s">
        <v>38</v>
      </c>
      <c r="P564" t="s">
        <v>913</v>
      </c>
      <c r="R564" t="s">
        <v>919</v>
      </c>
      <c r="S564" t="s">
        <v>956</v>
      </c>
      <c r="U564" t="s">
        <v>925</v>
      </c>
      <c r="V564">
        <v>1</v>
      </c>
      <c r="Z564" t="s">
        <v>36</v>
      </c>
    </row>
    <row r="565" spans="1:26" hidden="1" x14ac:dyDescent="0.2">
      <c r="A565" s="3">
        <v>43230</v>
      </c>
      <c r="D565" s="5">
        <v>0.89583333333333337</v>
      </c>
      <c r="E565">
        <v>-76.67924444444445</v>
      </c>
      <c r="F565">
        <v>3.400816666666667</v>
      </c>
      <c r="G565">
        <v>3063</v>
      </c>
      <c r="I565">
        <v>2018</v>
      </c>
      <c r="J565">
        <v>4</v>
      </c>
      <c r="K565">
        <v>60</v>
      </c>
      <c r="M565" t="s">
        <v>916</v>
      </c>
      <c r="O565" t="s">
        <v>38</v>
      </c>
      <c r="P565" t="s">
        <v>913</v>
      </c>
      <c r="R565" t="s">
        <v>919</v>
      </c>
      <c r="S565" t="s">
        <v>957</v>
      </c>
      <c r="U565" t="s">
        <v>925</v>
      </c>
      <c r="V565">
        <v>1</v>
      </c>
      <c r="Z565" t="s">
        <v>36</v>
      </c>
    </row>
    <row r="566" spans="1:26" hidden="1" x14ac:dyDescent="0.2">
      <c r="A566" s="3">
        <v>43230</v>
      </c>
      <c r="D566" s="5">
        <v>0.91736111111111107</v>
      </c>
      <c r="E566">
        <v>-76.67902500000001</v>
      </c>
      <c r="F566">
        <v>3.4008305555555549</v>
      </c>
      <c r="G566">
        <v>3066</v>
      </c>
      <c r="I566">
        <v>2018</v>
      </c>
      <c r="J566">
        <v>8</v>
      </c>
      <c r="K566">
        <v>40</v>
      </c>
      <c r="M566" t="s">
        <v>916</v>
      </c>
      <c r="O566" t="s">
        <v>40</v>
      </c>
      <c r="P566" t="s">
        <v>913</v>
      </c>
      <c r="R566" t="s">
        <v>919</v>
      </c>
      <c r="S566" t="s">
        <v>956</v>
      </c>
      <c r="U566" t="s">
        <v>926</v>
      </c>
      <c r="V566">
        <v>1</v>
      </c>
      <c r="Z566" t="s">
        <v>36</v>
      </c>
    </row>
    <row r="567" spans="1:26" hidden="1" x14ac:dyDescent="0.2">
      <c r="A567" s="3">
        <v>43230</v>
      </c>
      <c r="D567" s="5">
        <v>0.82291666666666663</v>
      </c>
      <c r="E567">
        <v>-76.680930555555562</v>
      </c>
      <c r="F567">
        <v>3.4013949999999999</v>
      </c>
      <c r="G567">
        <v>3098</v>
      </c>
      <c r="H567">
        <v>1.5</v>
      </c>
      <c r="I567">
        <v>2018</v>
      </c>
      <c r="J567">
        <v>12</v>
      </c>
      <c r="K567">
        <v>70</v>
      </c>
      <c r="M567" t="s">
        <v>916</v>
      </c>
      <c r="O567" t="s">
        <v>32</v>
      </c>
      <c r="P567" t="s">
        <v>913</v>
      </c>
      <c r="R567" t="s">
        <v>919</v>
      </c>
      <c r="S567" t="s">
        <v>949</v>
      </c>
      <c r="U567" t="s">
        <v>925</v>
      </c>
      <c r="V567">
        <v>1</v>
      </c>
      <c r="Z567" t="s">
        <v>36</v>
      </c>
    </row>
    <row r="568" spans="1:26" hidden="1" x14ac:dyDescent="0.2">
      <c r="A568" s="3">
        <v>43230</v>
      </c>
      <c r="D568" s="5">
        <v>0.84791666666666665</v>
      </c>
      <c r="E568">
        <v>-76.680422222222234</v>
      </c>
      <c r="F568">
        <v>3.4010055555555549</v>
      </c>
      <c r="G568">
        <v>3050</v>
      </c>
      <c r="I568">
        <v>2018</v>
      </c>
      <c r="J568">
        <v>12</v>
      </c>
      <c r="K568">
        <v>80</v>
      </c>
      <c r="M568" t="s">
        <v>916</v>
      </c>
      <c r="O568" t="s">
        <v>32</v>
      </c>
      <c r="P568" t="s">
        <v>913</v>
      </c>
      <c r="R568" t="s">
        <v>919</v>
      </c>
      <c r="S568" t="s">
        <v>956</v>
      </c>
      <c r="U568" t="s">
        <v>925</v>
      </c>
      <c r="V568">
        <v>1</v>
      </c>
      <c r="Z568" t="s">
        <v>36</v>
      </c>
    </row>
    <row r="569" spans="1:26" hidden="1" x14ac:dyDescent="0.2">
      <c r="A569" s="3">
        <v>43230</v>
      </c>
      <c r="D569" s="5">
        <v>0.85486111111111107</v>
      </c>
      <c r="E569">
        <v>-76.680155555555558</v>
      </c>
      <c r="F569">
        <v>3.4010305555555549</v>
      </c>
      <c r="G569">
        <v>3072</v>
      </c>
      <c r="I569">
        <v>2018</v>
      </c>
      <c r="J569">
        <v>12</v>
      </c>
      <c r="K569">
        <v>70</v>
      </c>
      <c r="M569" t="s">
        <v>916</v>
      </c>
      <c r="O569" t="s">
        <v>32</v>
      </c>
      <c r="P569" t="s">
        <v>913</v>
      </c>
      <c r="R569" t="s">
        <v>919</v>
      </c>
      <c r="S569" t="s">
        <v>949</v>
      </c>
      <c r="U569" t="s">
        <v>925</v>
      </c>
      <c r="V569">
        <v>1</v>
      </c>
      <c r="Z569" t="s">
        <v>36</v>
      </c>
    </row>
    <row r="570" spans="1:26" hidden="1" x14ac:dyDescent="0.2">
      <c r="A570" s="3">
        <v>43230</v>
      </c>
      <c r="D570" s="5">
        <v>0.86527777777777781</v>
      </c>
      <c r="E570">
        <v>-76.680138888888891</v>
      </c>
      <c r="F570">
        <v>3.4007972222222218</v>
      </c>
      <c r="G570">
        <v>3078</v>
      </c>
      <c r="I570">
        <v>2018</v>
      </c>
      <c r="J570">
        <v>15</v>
      </c>
      <c r="K570">
        <v>70</v>
      </c>
      <c r="M570" t="s">
        <v>916</v>
      </c>
      <c r="O570" t="s">
        <v>38</v>
      </c>
      <c r="P570" t="s">
        <v>913</v>
      </c>
      <c r="R570" t="s">
        <v>919</v>
      </c>
      <c r="S570" t="s">
        <v>949</v>
      </c>
      <c r="U570" t="s">
        <v>915</v>
      </c>
      <c r="V570">
        <v>1</v>
      </c>
      <c r="Z570" t="s">
        <v>36</v>
      </c>
    </row>
    <row r="571" spans="1:26" hidden="1" x14ac:dyDescent="0.2">
      <c r="A571" s="3">
        <v>43230</v>
      </c>
      <c r="D571" s="5">
        <v>0.87916666666666665</v>
      </c>
      <c r="E571">
        <v>-76.679702777777777</v>
      </c>
      <c r="F571">
        <v>3.400816666666667</v>
      </c>
      <c r="G571">
        <v>3088</v>
      </c>
      <c r="I571">
        <v>2018</v>
      </c>
      <c r="J571">
        <v>15</v>
      </c>
      <c r="K571">
        <v>75</v>
      </c>
      <c r="M571" t="s">
        <v>916</v>
      </c>
      <c r="O571" t="s">
        <v>38</v>
      </c>
      <c r="P571" t="s">
        <v>913</v>
      </c>
      <c r="R571" t="s">
        <v>919</v>
      </c>
      <c r="S571" t="s">
        <v>950</v>
      </c>
      <c r="U571" t="s">
        <v>925</v>
      </c>
      <c r="V571">
        <v>1</v>
      </c>
      <c r="Z571" t="s">
        <v>36</v>
      </c>
    </row>
    <row r="572" spans="1:26" hidden="1" x14ac:dyDescent="0.2">
      <c r="A572" s="3">
        <v>43230</v>
      </c>
      <c r="D572" s="5">
        <v>0.88541666666666663</v>
      </c>
      <c r="E572">
        <v>-76.679269444444444</v>
      </c>
      <c r="F572">
        <v>3.4008027777777778</v>
      </c>
      <c r="G572">
        <v>3058</v>
      </c>
      <c r="I572">
        <v>2018</v>
      </c>
      <c r="J572">
        <v>15</v>
      </c>
      <c r="K572">
        <v>80</v>
      </c>
      <c r="M572" t="s">
        <v>916</v>
      </c>
      <c r="O572" t="s">
        <v>38</v>
      </c>
      <c r="P572" t="s">
        <v>913</v>
      </c>
      <c r="R572" t="s">
        <v>919</v>
      </c>
      <c r="S572" t="s">
        <v>950</v>
      </c>
      <c r="U572" t="s">
        <v>927</v>
      </c>
      <c r="V572">
        <v>1</v>
      </c>
      <c r="Z572" t="s">
        <v>36</v>
      </c>
    </row>
    <row r="573" spans="1:26" hidden="1" x14ac:dyDescent="0.2">
      <c r="A573" s="3">
        <v>43230</v>
      </c>
      <c r="D573" s="5">
        <v>0.92152777777777772</v>
      </c>
      <c r="E573">
        <v>-76.678866666666678</v>
      </c>
      <c r="F573">
        <v>3.4009472222222219</v>
      </c>
      <c r="G573">
        <v>3072</v>
      </c>
      <c r="I573">
        <v>2018</v>
      </c>
      <c r="M573" t="s">
        <v>916</v>
      </c>
      <c r="O573" t="s">
        <v>40</v>
      </c>
      <c r="P573" t="s">
        <v>913</v>
      </c>
      <c r="R573" t="s">
        <v>919</v>
      </c>
      <c r="S573" t="s">
        <v>945</v>
      </c>
      <c r="U573" t="s">
        <v>36</v>
      </c>
      <c r="V573">
        <v>0</v>
      </c>
      <c r="Z573" t="s">
        <v>36</v>
      </c>
    </row>
    <row r="574" spans="1:26" hidden="1" x14ac:dyDescent="0.2">
      <c r="A574" s="3">
        <v>43438</v>
      </c>
      <c r="D574" s="5">
        <v>0.30555555555555558</v>
      </c>
      <c r="E574">
        <v>-76.892361111111114</v>
      </c>
      <c r="F574">
        <v>3.5973888888888892</v>
      </c>
      <c r="G574">
        <v>582</v>
      </c>
      <c r="I574">
        <v>2018</v>
      </c>
      <c r="J574">
        <v>20</v>
      </c>
      <c r="K574">
        <v>45</v>
      </c>
      <c r="M574" t="s">
        <v>30</v>
      </c>
      <c r="O574" t="s">
        <v>40</v>
      </c>
      <c r="P574" t="s">
        <v>33</v>
      </c>
      <c r="R574" t="s">
        <v>919</v>
      </c>
      <c r="S574" t="s">
        <v>950</v>
      </c>
      <c r="U574" t="s">
        <v>43</v>
      </c>
      <c r="V574">
        <v>1</v>
      </c>
      <c r="Z574" t="s">
        <v>36</v>
      </c>
    </row>
    <row r="575" spans="1:26" hidden="1" x14ac:dyDescent="0.2">
      <c r="A575" s="3">
        <v>43438</v>
      </c>
      <c r="D575" s="5">
        <v>0.86111111111111116</v>
      </c>
      <c r="E575">
        <v>-76.878611111111098</v>
      </c>
      <c r="F575">
        <v>3.543305555555555</v>
      </c>
      <c r="G575">
        <v>496</v>
      </c>
      <c r="H575">
        <v>6</v>
      </c>
      <c r="I575">
        <v>2018</v>
      </c>
      <c r="J575">
        <v>20</v>
      </c>
      <c r="K575">
        <v>40</v>
      </c>
      <c r="M575" t="s">
        <v>30</v>
      </c>
      <c r="O575" t="s">
        <v>32</v>
      </c>
      <c r="P575" t="s">
        <v>111</v>
      </c>
      <c r="R575" t="s">
        <v>920</v>
      </c>
      <c r="S575" t="s">
        <v>951</v>
      </c>
      <c r="U575" t="s">
        <v>84</v>
      </c>
      <c r="V575">
        <v>1</v>
      </c>
      <c r="Z575" t="s">
        <v>36</v>
      </c>
    </row>
    <row r="576" spans="1:26" hidden="1" x14ac:dyDescent="0.2">
      <c r="A576" s="3">
        <v>43231</v>
      </c>
      <c r="D576" s="5">
        <v>0.90069444444444446</v>
      </c>
      <c r="E576">
        <v>-76.690619444444451</v>
      </c>
      <c r="F576">
        <v>3.4063222222222218</v>
      </c>
      <c r="G576">
        <v>3388</v>
      </c>
      <c r="I576">
        <v>2018</v>
      </c>
      <c r="J576">
        <v>2</v>
      </c>
      <c r="K576">
        <v>40</v>
      </c>
      <c r="M576" t="s">
        <v>916</v>
      </c>
      <c r="O576" t="s">
        <v>47</v>
      </c>
      <c r="P576" t="s">
        <v>1152</v>
      </c>
      <c r="R576" t="s">
        <v>258</v>
      </c>
      <c r="S576" t="s">
        <v>958</v>
      </c>
      <c r="U576" t="s">
        <v>928</v>
      </c>
      <c r="V576">
        <v>1</v>
      </c>
      <c r="Z576" t="s">
        <v>36</v>
      </c>
    </row>
    <row r="577" spans="1:26" hidden="1" x14ac:dyDescent="0.2">
      <c r="A577" s="3">
        <v>43231</v>
      </c>
      <c r="D577" s="5">
        <v>0.90972222222222221</v>
      </c>
      <c r="E577">
        <v>-76.690711111111113</v>
      </c>
      <c r="F577">
        <v>3.4061472222222222</v>
      </c>
      <c r="G577">
        <v>3324</v>
      </c>
      <c r="I577">
        <v>2018</v>
      </c>
      <c r="J577">
        <v>2</v>
      </c>
      <c r="K577">
        <v>65</v>
      </c>
      <c r="M577" t="s">
        <v>916</v>
      </c>
      <c r="O577" t="s">
        <v>47</v>
      </c>
      <c r="P577" t="s">
        <v>1152</v>
      </c>
      <c r="R577" t="s">
        <v>258</v>
      </c>
      <c r="S577" t="s">
        <v>946</v>
      </c>
      <c r="U577" t="s">
        <v>928</v>
      </c>
      <c r="V577">
        <v>1</v>
      </c>
      <c r="Z577" t="s">
        <v>36</v>
      </c>
    </row>
    <row r="578" spans="1:26" hidden="1" x14ac:dyDescent="0.2">
      <c r="A578" s="3">
        <v>43233</v>
      </c>
      <c r="D578" s="5"/>
      <c r="E578">
        <v>-76.689475000000002</v>
      </c>
      <c r="F578">
        <v>3.407658333333333</v>
      </c>
      <c r="G578">
        <v>3250</v>
      </c>
      <c r="I578">
        <v>2018</v>
      </c>
      <c r="M578" t="s">
        <v>916</v>
      </c>
      <c r="O578" t="s">
        <v>38</v>
      </c>
      <c r="P578" t="s">
        <v>1152</v>
      </c>
      <c r="R578" t="s">
        <v>919</v>
      </c>
      <c r="S578" t="s">
        <v>945</v>
      </c>
      <c r="U578" t="s">
        <v>36</v>
      </c>
      <c r="V578">
        <v>0</v>
      </c>
      <c r="Z578" t="s">
        <v>36</v>
      </c>
    </row>
    <row r="579" spans="1:26" hidden="1" x14ac:dyDescent="0.2">
      <c r="A579" s="3">
        <v>43233</v>
      </c>
      <c r="D579" s="5">
        <v>0.81736111111111109</v>
      </c>
      <c r="E579">
        <v>-76.689630555555553</v>
      </c>
      <c r="F579">
        <v>3.4076416666666671</v>
      </c>
      <c r="G579">
        <v>3450</v>
      </c>
      <c r="I579">
        <v>2018</v>
      </c>
      <c r="J579">
        <v>10</v>
      </c>
      <c r="M579" t="s">
        <v>916</v>
      </c>
      <c r="O579" t="s">
        <v>38</v>
      </c>
      <c r="P579" t="s">
        <v>1152</v>
      </c>
      <c r="R579" t="s">
        <v>919</v>
      </c>
      <c r="S579" t="s">
        <v>945</v>
      </c>
      <c r="U579" t="s">
        <v>36</v>
      </c>
      <c r="V579">
        <v>0</v>
      </c>
      <c r="Z579" t="s">
        <v>36</v>
      </c>
    </row>
    <row r="580" spans="1:26" hidden="1" x14ac:dyDescent="0.2">
      <c r="A580" s="3">
        <v>43233</v>
      </c>
      <c r="D580" s="5">
        <v>0.82638888888888884</v>
      </c>
      <c r="E580">
        <v>-76.689730555555556</v>
      </c>
      <c r="F580">
        <v>3.4072444444444439</v>
      </c>
      <c r="G580">
        <v>3390</v>
      </c>
      <c r="I580">
        <v>2018</v>
      </c>
      <c r="J580">
        <v>10</v>
      </c>
      <c r="K580">
        <v>5</v>
      </c>
      <c r="M580" t="s">
        <v>916</v>
      </c>
      <c r="O580" t="s">
        <v>38</v>
      </c>
      <c r="P580" t="s">
        <v>1152</v>
      </c>
      <c r="R580" t="s">
        <v>919</v>
      </c>
      <c r="S580" t="s">
        <v>945</v>
      </c>
      <c r="U580" t="s">
        <v>929</v>
      </c>
      <c r="V580">
        <v>1</v>
      </c>
      <c r="Z580" t="s">
        <v>36</v>
      </c>
    </row>
    <row r="581" spans="1:26" hidden="1" x14ac:dyDescent="0.2">
      <c r="A581" s="3">
        <v>43233</v>
      </c>
      <c r="D581" s="5">
        <v>0.84027777777777779</v>
      </c>
      <c r="E581">
        <v>-76.69061111111111</v>
      </c>
      <c r="F581">
        <v>3.4066111111111108</v>
      </c>
      <c r="G581">
        <v>3427</v>
      </c>
      <c r="I581">
        <v>2018</v>
      </c>
      <c r="J581">
        <v>5</v>
      </c>
      <c r="K581">
        <v>5</v>
      </c>
      <c r="M581" t="s">
        <v>916</v>
      </c>
      <c r="O581" t="s">
        <v>40</v>
      </c>
      <c r="P581" t="s">
        <v>1152</v>
      </c>
      <c r="R581" t="s">
        <v>258</v>
      </c>
      <c r="S581" t="s">
        <v>949</v>
      </c>
      <c r="U581" t="s">
        <v>924</v>
      </c>
      <c r="V581">
        <v>1</v>
      </c>
      <c r="W581" t="s">
        <v>1055</v>
      </c>
      <c r="Z581" t="s">
        <v>36</v>
      </c>
    </row>
    <row r="582" spans="1:26" hidden="1" x14ac:dyDescent="0.2">
      <c r="A582" s="3">
        <v>43233</v>
      </c>
      <c r="D582" s="5">
        <v>0.87708333333333333</v>
      </c>
      <c r="E582">
        <v>-76.690347222222229</v>
      </c>
      <c r="F582">
        <v>3.406569444444445</v>
      </c>
      <c r="G582">
        <v>3430</v>
      </c>
      <c r="I582">
        <v>2018</v>
      </c>
      <c r="M582" t="s">
        <v>916</v>
      </c>
      <c r="O582" t="s">
        <v>40</v>
      </c>
      <c r="P582" t="s">
        <v>1152</v>
      </c>
      <c r="R582" t="s">
        <v>258</v>
      </c>
      <c r="S582" t="s">
        <v>950</v>
      </c>
      <c r="U582" t="s">
        <v>36</v>
      </c>
      <c r="V582">
        <v>0</v>
      </c>
      <c r="Z582" t="s">
        <v>36</v>
      </c>
    </row>
    <row r="583" spans="1:26" hidden="1" x14ac:dyDescent="0.2">
      <c r="A583" s="3">
        <v>43214</v>
      </c>
      <c r="D583" s="5">
        <v>0.81944444444444442</v>
      </c>
      <c r="E583">
        <v>-76.723083333333335</v>
      </c>
      <c r="F583">
        <v>3.4810277777777778</v>
      </c>
      <c r="I583">
        <v>2018</v>
      </c>
      <c r="J583">
        <v>12</v>
      </c>
      <c r="K583">
        <v>20</v>
      </c>
      <c r="M583" t="s">
        <v>247</v>
      </c>
      <c r="O583" t="s">
        <v>58</v>
      </c>
      <c r="P583" t="s">
        <v>280</v>
      </c>
      <c r="R583" t="s">
        <v>919</v>
      </c>
      <c r="S583" t="s">
        <v>956</v>
      </c>
      <c r="U583" t="s">
        <v>252</v>
      </c>
      <c r="V583">
        <v>1</v>
      </c>
      <c r="Z583" t="s">
        <v>36</v>
      </c>
    </row>
    <row r="584" spans="1:26" hidden="1" x14ac:dyDescent="0.2">
      <c r="A584" s="3">
        <v>43214</v>
      </c>
      <c r="D584" s="5">
        <v>0.82430555555555551</v>
      </c>
      <c r="E584">
        <v>-76.723138888888897</v>
      </c>
      <c r="F584">
        <v>3.4809999999999999</v>
      </c>
      <c r="G584">
        <v>2094</v>
      </c>
      <c r="I584">
        <v>2018</v>
      </c>
      <c r="J584">
        <v>10</v>
      </c>
      <c r="K584">
        <v>5</v>
      </c>
      <c r="M584" t="s">
        <v>247</v>
      </c>
      <c r="O584" t="s">
        <v>58</v>
      </c>
      <c r="P584" t="s">
        <v>280</v>
      </c>
      <c r="R584" t="s">
        <v>919</v>
      </c>
      <c r="S584" t="s">
        <v>946</v>
      </c>
      <c r="U584" t="s">
        <v>88</v>
      </c>
      <c r="V584">
        <v>1</v>
      </c>
      <c r="W584" t="s">
        <v>1056</v>
      </c>
      <c r="Z584" t="s">
        <v>36</v>
      </c>
    </row>
    <row r="585" spans="1:26" hidden="1" x14ac:dyDescent="0.2">
      <c r="A585" s="3">
        <v>43214</v>
      </c>
      <c r="D585" s="5">
        <v>0.74652777777777779</v>
      </c>
      <c r="E585">
        <v>-76.723166666666671</v>
      </c>
      <c r="F585">
        <v>3.4809722222222219</v>
      </c>
      <c r="G585">
        <v>2090</v>
      </c>
      <c r="I585">
        <v>2018</v>
      </c>
      <c r="J585">
        <v>12</v>
      </c>
      <c r="K585">
        <v>10</v>
      </c>
      <c r="M585" t="s">
        <v>247</v>
      </c>
      <c r="O585" t="s">
        <v>58</v>
      </c>
      <c r="P585" t="s">
        <v>280</v>
      </c>
      <c r="R585" t="s">
        <v>919</v>
      </c>
      <c r="S585" t="s">
        <v>956</v>
      </c>
      <c r="U585" t="s">
        <v>238</v>
      </c>
      <c r="V585">
        <v>1</v>
      </c>
      <c r="W585" t="s">
        <v>1057</v>
      </c>
      <c r="Z585" t="s">
        <v>36</v>
      </c>
    </row>
    <row r="586" spans="1:26" hidden="1" x14ac:dyDescent="0.2">
      <c r="A586" s="3">
        <v>43214</v>
      </c>
      <c r="D586" s="5">
        <v>0.8354166666666667</v>
      </c>
      <c r="E586">
        <v>-76.723222222222219</v>
      </c>
      <c r="F586">
        <v>3.4808888888888889</v>
      </c>
      <c r="G586">
        <v>2094</v>
      </c>
      <c r="I586">
        <v>2018</v>
      </c>
      <c r="J586">
        <v>15</v>
      </c>
      <c r="K586">
        <v>5</v>
      </c>
      <c r="M586" t="s">
        <v>247</v>
      </c>
      <c r="O586" t="s">
        <v>58</v>
      </c>
      <c r="P586" t="s">
        <v>280</v>
      </c>
      <c r="R586" t="s">
        <v>919</v>
      </c>
      <c r="S586" t="s">
        <v>946</v>
      </c>
      <c r="U586" t="s">
        <v>252</v>
      </c>
      <c r="V586">
        <v>1</v>
      </c>
      <c r="Z586" t="s">
        <v>36</v>
      </c>
    </row>
    <row r="587" spans="1:26" hidden="1" x14ac:dyDescent="0.2">
      <c r="A587" s="3">
        <v>43214</v>
      </c>
      <c r="D587" s="5">
        <v>0.8354166666666667</v>
      </c>
      <c r="E587">
        <v>-76.723222222222219</v>
      </c>
      <c r="F587">
        <v>3.4808888888888889</v>
      </c>
      <c r="G587">
        <v>2092</v>
      </c>
      <c r="I587">
        <v>2018</v>
      </c>
      <c r="J587">
        <v>15</v>
      </c>
      <c r="K587">
        <v>5</v>
      </c>
      <c r="M587" t="s">
        <v>247</v>
      </c>
      <c r="O587" t="s">
        <v>58</v>
      </c>
      <c r="P587" t="s">
        <v>280</v>
      </c>
      <c r="R587" t="s">
        <v>919</v>
      </c>
      <c r="S587" t="s">
        <v>956</v>
      </c>
      <c r="U587" t="s">
        <v>88</v>
      </c>
      <c r="V587">
        <v>1</v>
      </c>
      <c r="W587" t="s">
        <v>1058</v>
      </c>
      <c r="Z587" t="s">
        <v>36</v>
      </c>
    </row>
    <row r="588" spans="1:26" hidden="1" x14ac:dyDescent="0.2">
      <c r="A588" s="3">
        <v>43214</v>
      </c>
      <c r="D588" s="5">
        <v>0.84166666666666667</v>
      </c>
      <c r="E588">
        <v>-76.723222222222219</v>
      </c>
      <c r="F588">
        <v>3.4808888888888889</v>
      </c>
      <c r="G588">
        <v>2092</v>
      </c>
      <c r="I588">
        <v>2018</v>
      </c>
      <c r="J588">
        <v>20</v>
      </c>
      <c r="K588">
        <v>20</v>
      </c>
      <c r="M588" t="s">
        <v>247</v>
      </c>
      <c r="O588" t="s">
        <v>58</v>
      </c>
      <c r="P588" t="s">
        <v>280</v>
      </c>
      <c r="R588" t="s">
        <v>919</v>
      </c>
      <c r="S588" t="s">
        <v>951</v>
      </c>
      <c r="U588" t="s">
        <v>88</v>
      </c>
      <c r="V588">
        <v>1</v>
      </c>
      <c r="Z588" t="s">
        <v>36</v>
      </c>
    </row>
    <row r="589" spans="1:26" hidden="1" x14ac:dyDescent="0.2">
      <c r="A589" s="3">
        <v>43214</v>
      </c>
      <c r="D589" s="5">
        <v>0.84444444444444444</v>
      </c>
      <c r="E589">
        <v>-76.723222222222219</v>
      </c>
      <c r="F589">
        <v>3.4808888888888889</v>
      </c>
      <c r="G589">
        <v>2092</v>
      </c>
      <c r="I589">
        <v>2018</v>
      </c>
      <c r="J589">
        <v>12</v>
      </c>
      <c r="K589">
        <v>20</v>
      </c>
      <c r="M589" t="s">
        <v>247</v>
      </c>
      <c r="O589" t="s">
        <v>58</v>
      </c>
      <c r="P589" t="s">
        <v>280</v>
      </c>
      <c r="R589" t="s">
        <v>919</v>
      </c>
      <c r="S589" t="s">
        <v>946</v>
      </c>
      <c r="U589" t="s">
        <v>88</v>
      </c>
      <c r="V589">
        <v>1</v>
      </c>
      <c r="Z589" t="s">
        <v>36</v>
      </c>
    </row>
    <row r="590" spans="1:26" hidden="1" x14ac:dyDescent="0.2">
      <c r="A590" s="3">
        <v>43214</v>
      </c>
      <c r="D590" s="5">
        <v>0.84722222222222221</v>
      </c>
      <c r="E590">
        <v>-76.723222222222219</v>
      </c>
      <c r="F590">
        <v>3.4808888888888889</v>
      </c>
      <c r="G590">
        <v>2092</v>
      </c>
      <c r="I590">
        <v>2018</v>
      </c>
      <c r="J590">
        <v>10</v>
      </c>
      <c r="K590">
        <v>25</v>
      </c>
      <c r="M590" t="s">
        <v>247</v>
      </c>
      <c r="O590" t="s">
        <v>58</v>
      </c>
      <c r="P590" t="s">
        <v>280</v>
      </c>
      <c r="R590" t="s">
        <v>919</v>
      </c>
      <c r="S590" t="s">
        <v>951</v>
      </c>
      <c r="U590" t="s">
        <v>88</v>
      </c>
      <c r="V590">
        <v>1</v>
      </c>
      <c r="Z590" t="s">
        <v>36</v>
      </c>
    </row>
    <row r="591" spans="1:26" hidden="1" x14ac:dyDescent="0.2">
      <c r="A591" s="3">
        <v>43214</v>
      </c>
      <c r="D591" s="5">
        <v>0.84722222222222221</v>
      </c>
      <c r="E591">
        <v>-76.723222222222219</v>
      </c>
      <c r="F591">
        <v>3.4808888888888889</v>
      </c>
      <c r="G591">
        <v>2092</v>
      </c>
      <c r="I591">
        <v>2018</v>
      </c>
      <c r="J591">
        <v>10</v>
      </c>
      <c r="K591">
        <v>25</v>
      </c>
      <c r="M591" t="s">
        <v>247</v>
      </c>
      <c r="O591" t="s">
        <v>58</v>
      </c>
      <c r="P591" t="s">
        <v>280</v>
      </c>
      <c r="R591" t="s">
        <v>919</v>
      </c>
      <c r="S591" t="s">
        <v>949</v>
      </c>
      <c r="U591" t="s">
        <v>316</v>
      </c>
      <c r="V591">
        <v>1</v>
      </c>
      <c r="W591" t="s">
        <v>1059</v>
      </c>
      <c r="Z591" t="s">
        <v>36</v>
      </c>
    </row>
    <row r="592" spans="1:26" hidden="1" x14ac:dyDescent="0.2">
      <c r="A592" s="3">
        <v>43214</v>
      </c>
      <c r="D592" s="5">
        <v>0.85555555555555551</v>
      </c>
      <c r="E592">
        <v>-76.723222222222219</v>
      </c>
      <c r="F592">
        <v>3.480861111111111</v>
      </c>
      <c r="G592">
        <v>2098</v>
      </c>
      <c r="I592">
        <v>2018</v>
      </c>
      <c r="J592">
        <v>15</v>
      </c>
      <c r="K592">
        <v>20</v>
      </c>
      <c r="M592" t="s">
        <v>247</v>
      </c>
      <c r="O592" t="s">
        <v>58</v>
      </c>
      <c r="P592" t="s">
        <v>280</v>
      </c>
      <c r="R592" t="s">
        <v>919</v>
      </c>
      <c r="S592" t="s">
        <v>946</v>
      </c>
      <c r="U592" t="s">
        <v>88</v>
      </c>
      <c r="V592">
        <v>1</v>
      </c>
      <c r="Z592" t="s">
        <v>36</v>
      </c>
    </row>
    <row r="593" spans="1:26" hidden="1" x14ac:dyDescent="0.2">
      <c r="A593" s="3">
        <v>43214</v>
      </c>
      <c r="D593" s="5">
        <v>0.85555555555555551</v>
      </c>
      <c r="E593">
        <v>-76.723222222222219</v>
      </c>
      <c r="F593">
        <v>3.480861111111111</v>
      </c>
      <c r="G593">
        <v>2098</v>
      </c>
      <c r="I593">
        <v>2018</v>
      </c>
      <c r="J593">
        <v>12</v>
      </c>
      <c r="K593">
        <v>15</v>
      </c>
      <c r="M593" t="s">
        <v>247</v>
      </c>
      <c r="O593" t="s">
        <v>58</v>
      </c>
      <c r="P593" t="s">
        <v>280</v>
      </c>
      <c r="R593" t="s">
        <v>919</v>
      </c>
      <c r="S593" t="s">
        <v>949</v>
      </c>
      <c r="U593" t="s">
        <v>88</v>
      </c>
      <c r="V593">
        <v>1</v>
      </c>
      <c r="Z593" t="s">
        <v>36</v>
      </c>
    </row>
    <row r="594" spans="1:26" hidden="1" x14ac:dyDescent="0.2">
      <c r="A594" s="3">
        <v>43214</v>
      </c>
      <c r="D594" s="5">
        <v>0.85555555555555551</v>
      </c>
      <c r="E594">
        <v>-76.723222222222219</v>
      </c>
      <c r="F594">
        <v>3.480861111111111</v>
      </c>
      <c r="G594">
        <v>2098</v>
      </c>
      <c r="I594">
        <v>2018</v>
      </c>
      <c r="J594">
        <v>12</v>
      </c>
      <c r="K594">
        <v>10</v>
      </c>
      <c r="M594" t="s">
        <v>247</v>
      </c>
      <c r="O594" t="s">
        <v>58</v>
      </c>
      <c r="P594" t="s">
        <v>280</v>
      </c>
      <c r="R594" t="s">
        <v>919</v>
      </c>
      <c r="S594" t="s">
        <v>951</v>
      </c>
      <c r="U594" t="s">
        <v>252</v>
      </c>
      <c r="V594">
        <v>1</v>
      </c>
      <c r="Z594" t="s">
        <v>36</v>
      </c>
    </row>
    <row r="595" spans="1:26" hidden="1" x14ac:dyDescent="0.2">
      <c r="A595" s="3">
        <v>43214</v>
      </c>
      <c r="D595" s="5">
        <v>0.86458333333333337</v>
      </c>
      <c r="E595">
        <v>-76.723250000000007</v>
      </c>
      <c r="F595">
        <v>3.4807222222222221</v>
      </c>
      <c r="G595">
        <v>2101</v>
      </c>
      <c r="I595">
        <v>2018</v>
      </c>
      <c r="J595">
        <v>12</v>
      </c>
      <c r="K595">
        <v>12</v>
      </c>
      <c r="M595" t="s">
        <v>247</v>
      </c>
      <c r="O595" t="s">
        <v>58</v>
      </c>
      <c r="P595" t="s">
        <v>280</v>
      </c>
      <c r="R595" t="s">
        <v>919</v>
      </c>
      <c r="S595" t="s">
        <v>946</v>
      </c>
      <c r="U595" t="s">
        <v>270</v>
      </c>
      <c r="V595">
        <v>1</v>
      </c>
      <c r="W595" t="s">
        <v>1060</v>
      </c>
      <c r="Z595" t="s">
        <v>36</v>
      </c>
    </row>
    <row r="596" spans="1:26" hidden="1" x14ac:dyDescent="0.2">
      <c r="A596" s="3">
        <v>43214</v>
      </c>
      <c r="D596" s="5">
        <v>0.86458333333333337</v>
      </c>
      <c r="E596">
        <v>-76.723250000000007</v>
      </c>
      <c r="F596">
        <v>3.4807222222222221</v>
      </c>
      <c r="G596">
        <v>2101</v>
      </c>
      <c r="I596">
        <v>2018</v>
      </c>
      <c r="J596">
        <v>12</v>
      </c>
      <c r="K596">
        <v>20</v>
      </c>
      <c r="M596" t="s">
        <v>247</v>
      </c>
      <c r="O596" t="s">
        <v>58</v>
      </c>
      <c r="P596" t="s">
        <v>280</v>
      </c>
      <c r="R596" t="s">
        <v>919</v>
      </c>
      <c r="S596" t="s">
        <v>949</v>
      </c>
      <c r="U596" t="s">
        <v>88</v>
      </c>
      <c r="V596">
        <v>1</v>
      </c>
      <c r="Z596" t="s">
        <v>36</v>
      </c>
    </row>
    <row r="597" spans="1:26" hidden="1" x14ac:dyDescent="0.2">
      <c r="A597" s="3">
        <v>43214</v>
      </c>
      <c r="D597" s="5">
        <v>0.86458333333333337</v>
      </c>
      <c r="E597">
        <v>-76.723250000000007</v>
      </c>
      <c r="F597">
        <v>3.4807222222222221</v>
      </c>
      <c r="G597">
        <v>2101</v>
      </c>
      <c r="I597">
        <v>2018</v>
      </c>
      <c r="J597">
        <v>12</v>
      </c>
      <c r="K597">
        <v>20</v>
      </c>
      <c r="M597" t="s">
        <v>247</v>
      </c>
      <c r="O597" t="s">
        <v>58</v>
      </c>
      <c r="P597" t="s">
        <v>280</v>
      </c>
      <c r="R597" t="s">
        <v>919</v>
      </c>
      <c r="S597" t="s">
        <v>946</v>
      </c>
      <c r="U597" t="s">
        <v>293</v>
      </c>
      <c r="V597">
        <v>1</v>
      </c>
      <c r="W597" t="s">
        <v>1061</v>
      </c>
      <c r="Z597" t="s">
        <v>36</v>
      </c>
    </row>
    <row r="598" spans="1:26" hidden="1" x14ac:dyDescent="0.2">
      <c r="A598" s="3">
        <v>43214</v>
      </c>
      <c r="D598" s="5">
        <v>0.87569444444444444</v>
      </c>
      <c r="E598">
        <v>-76.723250000000007</v>
      </c>
      <c r="F598">
        <v>3.4804444444444451</v>
      </c>
      <c r="G598">
        <v>2108</v>
      </c>
      <c r="I598">
        <v>2018</v>
      </c>
      <c r="J598">
        <v>20</v>
      </c>
      <c r="K598">
        <v>30</v>
      </c>
      <c r="M598" t="s">
        <v>247</v>
      </c>
      <c r="O598" t="s">
        <v>58</v>
      </c>
      <c r="P598" t="s">
        <v>280</v>
      </c>
      <c r="R598" t="s">
        <v>919</v>
      </c>
      <c r="S598" t="s">
        <v>956</v>
      </c>
      <c r="U598" t="s">
        <v>88</v>
      </c>
      <c r="V598">
        <v>1</v>
      </c>
      <c r="Z598" t="s">
        <v>36</v>
      </c>
    </row>
    <row r="599" spans="1:26" hidden="1" x14ac:dyDescent="0.2">
      <c r="A599" s="3">
        <v>43214</v>
      </c>
      <c r="D599" s="5">
        <v>0.87847222222222221</v>
      </c>
      <c r="E599">
        <v>-76.723250000000007</v>
      </c>
      <c r="F599">
        <v>3.4804444444444451</v>
      </c>
      <c r="G599">
        <v>2108</v>
      </c>
      <c r="I599">
        <v>2018</v>
      </c>
      <c r="J599">
        <v>20</v>
      </c>
      <c r="K599">
        <v>30</v>
      </c>
      <c r="M599" t="s">
        <v>247</v>
      </c>
      <c r="O599" t="s">
        <v>58</v>
      </c>
      <c r="P599" t="s">
        <v>280</v>
      </c>
      <c r="R599" t="s">
        <v>919</v>
      </c>
      <c r="S599" t="s">
        <v>951</v>
      </c>
      <c r="U599" t="s">
        <v>88</v>
      </c>
      <c r="V599">
        <v>1</v>
      </c>
      <c r="Z599" t="s">
        <v>36</v>
      </c>
    </row>
    <row r="600" spans="1:26" hidden="1" x14ac:dyDescent="0.2">
      <c r="A600" s="3">
        <v>43214</v>
      </c>
      <c r="D600" s="5">
        <v>0.87569444444444444</v>
      </c>
      <c r="E600">
        <v>-76.723250000000007</v>
      </c>
      <c r="F600">
        <v>3.4804444444444451</v>
      </c>
      <c r="G600">
        <v>2108</v>
      </c>
      <c r="I600">
        <v>2018</v>
      </c>
      <c r="J600">
        <v>20</v>
      </c>
      <c r="K600">
        <v>30</v>
      </c>
      <c r="M600" t="s">
        <v>247</v>
      </c>
      <c r="O600" t="s">
        <v>58</v>
      </c>
      <c r="P600" t="s">
        <v>280</v>
      </c>
      <c r="R600" t="s">
        <v>919</v>
      </c>
      <c r="S600" t="s">
        <v>956</v>
      </c>
      <c r="U600" t="s">
        <v>88</v>
      </c>
      <c r="V600">
        <v>1</v>
      </c>
      <c r="Z600" t="s">
        <v>36</v>
      </c>
    </row>
    <row r="601" spans="1:26" hidden="1" x14ac:dyDescent="0.2">
      <c r="A601" s="3">
        <v>43214</v>
      </c>
      <c r="D601" s="5">
        <v>0.87847222222222221</v>
      </c>
      <c r="E601">
        <v>-76.723250000000007</v>
      </c>
      <c r="F601">
        <v>3.4804444444444451</v>
      </c>
      <c r="G601">
        <v>2109</v>
      </c>
      <c r="I601">
        <v>2018</v>
      </c>
      <c r="J601">
        <v>20</v>
      </c>
      <c r="K601">
        <v>5</v>
      </c>
      <c r="M601" t="s">
        <v>247</v>
      </c>
      <c r="O601" t="s">
        <v>58</v>
      </c>
      <c r="P601" t="s">
        <v>280</v>
      </c>
      <c r="R601" t="s">
        <v>919</v>
      </c>
      <c r="S601" t="s">
        <v>946</v>
      </c>
      <c r="U601" t="s">
        <v>88</v>
      </c>
      <c r="V601">
        <v>1</v>
      </c>
      <c r="Z601" t="s">
        <v>36</v>
      </c>
    </row>
    <row r="602" spans="1:26" hidden="1" x14ac:dyDescent="0.2">
      <c r="A602" s="3">
        <v>43214</v>
      </c>
      <c r="D602" s="5">
        <v>0.88055555555555554</v>
      </c>
      <c r="E602">
        <v>-76.723222222222219</v>
      </c>
      <c r="F602">
        <v>3.4802499999999998</v>
      </c>
      <c r="G602">
        <v>2113</v>
      </c>
      <c r="I602">
        <v>2018</v>
      </c>
      <c r="J602">
        <v>15</v>
      </c>
      <c r="M602" t="s">
        <v>247</v>
      </c>
      <c r="O602" t="s">
        <v>58</v>
      </c>
      <c r="P602" t="s">
        <v>280</v>
      </c>
      <c r="R602" t="s">
        <v>919</v>
      </c>
      <c r="S602" t="s">
        <v>956</v>
      </c>
      <c r="U602" t="s">
        <v>88</v>
      </c>
      <c r="V602">
        <v>1</v>
      </c>
      <c r="Z602" t="s">
        <v>36</v>
      </c>
    </row>
    <row r="603" spans="1:26" hidden="1" x14ac:dyDescent="0.2">
      <c r="A603" s="3">
        <v>43214</v>
      </c>
      <c r="D603" s="5">
        <v>0.88680555555555551</v>
      </c>
      <c r="E603">
        <v>-76.723194444444445</v>
      </c>
      <c r="F603">
        <v>3.4801111111111109</v>
      </c>
      <c r="G603">
        <v>2115</v>
      </c>
      <c r="I603">
        <v>2018</v>
      </c>
      <c r="J603">
        <v>10</v>
      </c>
      <c r="K603">
        <v>15</v>
      </c>
      <c r="M603" t="s">
        <v>247</v>
      </c>
      <c r="O603" t="s">
        <v>47</v>
      </c>
      <c r="P603" t="s">
        <v>280</v>
      </c>
      <c r="R603" t="s">
        <v>919</v>
      </c>
      <c r="S603" t="s">
        <v>951</v>
      </c>
      <c r="U603" t="s">
        <v>88</v>
      </c>
      <c r="V603">
        <v>1</v>
      </c>
      <c r="Z603" t="s">
        <v>36</v>
      </c>
    </row>
    <row r="604" spans="1:26" hidden="1" x14ac:dyDescent="0.2">
      <c r="A604" s="3">
        <v>43214</v>
      </c>
      <c r="D604" s="5">
        <v>0.88888888888888884</v>
      </c>
      <c r="E604">
        <v>-76.723166666666671</v>
      </c>
      <c r="F604">
        <v>3.4801111111111109</v>
      </c>
      <c r="G604">
        <v>2115</v>
      </c>
      <c r="I604">
        <v>2018</v>
      </c>
      <c r="J604">
        <v>12</v>
      </c>
      <c r="K604">
        <v>15</v>
      </c>
      <c r="M604" t="s">
        <v>247</v>
      </c>
      <c r="O604" t="s">
        <v>47</v>
      </c>
      <c r="P604" t="s">
        <v>280</v>
      </c>
      <c r="R604" t="s">
        <v>919</v>
      </c>
      <c r="S604" t="s">
        <v>956</v>
      </c>
      <c r="U604" t="s">
        <v>88</v>
      </c>
      <c r="V604">
        <v>1</v>
      </c>
      <c r="Z604" t="s">
        <v>36</v>
      </c>
    </row>
    <row r="605" spans="1:26" hidden="1" x14ac:dyDescent="0.2">
      <c r="A605" s="3">
        <v>43214</v>
      </c>
      <c r="D605" s="5">
        <v>0.89513888888888893</v>
      </c>
      <c r="E605">
        <v>-76.723111111111109</v>
      </c>
      <c r="F605">
        <v>3.4797777777777781</v>
      </c>
      <c r="G605">
        <v>2116</v>
      </c>
      <c r="I605">
        <v>2018</v>
      </c>
      <c r="J605">
        <v>15</v>
      </c>
      <c r="K605">
        <v>20</v>
      </c>
      <c r="M605" t="s">
        <v>247</v>
      </c>
      <c r="O605" t="s">
        <v>47</v>
      </c>
      <c r="P605" t="s">
        <v>280</v>
      </c>
      <c r="R605" t="s">
        <v>919</v>
      </c>
      <c r="S605" t="s">
        <v>951</v>
      </c>
      <c r="U605" t="s">
        <v>88</v>
      </c>
      <c r="V605">
        <v>1</v>
      </c>
      <c r="Z605" t="s">
        <v>36</v>
      </c>
    </row>
    <row r="606" spans="1:26" hidden="1" x14ac:dyDescent="0.2">
      <c r="A606" s="3">
        <v>43214</v>
      </c>
      <c r="D606" s="5">
        <v>0.89583333333333337</v>
      </c>
      <c r="E606">
        <v>-76.723111111111109</v>
      </c>
      <c r="F606">
        <v>3.4797777777777781</v>
      </c>
      <c r="G606">
        <v>2116</v>
      </c>
      <c r="I606">
        <v>2018</v>
      </c>
      <c r="J606">
        <v>15</v>
      </c>
      <c r="K606">
        <v>10</v>
      </c>
      <c r="M606" t="s">
        <v>247</v>
      </c>
      <c r="O606" t="s">
        <v>47</v>
      </c>
      <c r="P606" t="s">
        <v>280</v>
      </c>
      <c r="R606" t="s">
        <v>919</v>
      </c>
      <c r="S606" t="s">
        <v>946</v>
      </c>
      <c r="U606" t="s">
        <v>88</v>
      </c>
      <c r="V606">
        <v>1</v>
      </c>
      <c r="Z606" t="s">
        <v>36</v>
      </c>
    </row>
    <row r="607" spans="1:26" hidden="1" x14ac:dyDescent="0.2">
      <c r="A607" s="3">
        <v>43214</v>
      </c>
      <c r="D607" s="5">
        <v>0.89930555555555558</v>
      </c>
      <c r="E607">
        <v>-76.723055555555561</v>
      </c>
      <c r="F607">
        <v>3.4796388888888892</v>
      </c>
      <c r="G607">
        <v>2125</v>
      </c>
      <c r="I607">
        <v>2018</v>
      </c>
      <c r="J607">
        <v>15</v>
      </c>
      <c r="K607">
        <v>20</v>
      </c>
      <c r="M607" t="s">
        <v>247</v>
      </c>
      <c r="O607" t="s">
        <v>47</v>
      </c>
      <c r="P607" t="s">
        <v>280</v>
      </c>
      <c r="R607" t="s">
        <v>919</v>
      </c>
      <c r="S607" t="s">
        <v>951</v>
      </c>
      <c r="U607" t="s">
        <v>88</v>
      </c>
      <c r="V607">
        <v>1</v>
      </c>
      <c r="Z607" t="s">
        <v>36</v>
      </c>
    </row>
    <row r="608" spans="1:26" hidden="1" x14ac:dyDescent="0.2">
      <c r="A608" s="3">
        <v>43214</v>
      </c>
      <c r="D608" s="5">
        <v>0.90347222222222223</v>
      </c>
      <c r="E608">
        <v>-76.723055555555561</v>
      </c>
      <c r="F608">
        <v>3.4796388888888892</v>
      </c>
      <c r="G608">
        <v>2125</v>
      </c>
      <c r="I608">
        <v>2018</v>
      </c>
      <c r="J608">
        <v>15</v>
      </c>
      <c r="K608">
        <v>20</v>
      </c>
      <c r="M608" t="s">
        <v>247</v>
      </c>
      <c r="O608" t="s">
        <v>47</v>
      </c>
      <c r="P608" t="s">
        <v>280</v>
      </c>
      <c r="R608" t="s">
        <v>919</v>
      </c>
      <c r="S608" t="s">
        <v>951</v>
      </c>
      <c r="U608" t="s">
        <v>316</v>
      </c>
      <c r="V608">
        <v>1</v>
      </c>
      <c r="W608" t="s">
        <v>1062</v>
      </c>
      <c r="Z608" t="s">
        <v>36</v>
      </c>
    </row>
    <row r="609" spans="1:26" hidden="1" x14ac:dyDescent="0.2">
      <c r="A609" s="3">
        <v>43214</v>
      </c>
      <c r="D609" s="5">
        <v>0.90347222222222223</v>
      </c>
      <c r="E609">
        <v>-76.723055555555561</v>
      </c>
      <c r="F609">
        <v>3.4796388888888892</v>
      </c>
      <c r="G609">
        <v>2125</v>
      </c>
      <c r="I609">
        <v>2018</v>
      </c>
      <c r="J609">
        <v>12</v>
      </c>
      <c r="K609">
        <v>30</v>
      </c>
      <c r="M609" t="s">
        <v>247</v>
      </c>
      <c r="O609" t="s">
        <v>47</v>
      </c>
      <c r="P609" t="s">
        <v>280</v>
      </c>
      <c r="R609" t="s">
        <v>919</v>
      </c>
      <c r="S609" t="s">
        <v>951</v>
      </c>
      <c r="U609" t="s">
        <v>88</v>
      </c>
      <c r="V609">
        <v>1</v>
      </c>
      <c r="Z609" t="s">
        <v>36</v>
      </c>
    </row>
    <row r="610" spans="1:26" hidden="1" x14ac:dyDescent="0.2">
      <c r="A610" s="3">
        <v>43214</v>
      </c>
      <c r="D610" s="5">
        <v>0.90902777777777777</v>
      </c>
      <c r="E610">
        <v>-76.722999999999999</v>
      </c>
      <c r="F610">
        <v>3.4794999999999998</v>
      </c>
      <c r="G610">
        <v>2123</v>
      </c>
      <c r="I610">
        <v>2018</v>
      </c>
      <c r="J610">
        <v>25</v>
      </c>
      <c r="K610">
        <v>30</v>
      </c>
      <c r="M610" t="s">
        <v>247</v>
      </c>
      <c r="O610" t="s">
        <v>47</v>
      </c>
      <c r="P610" t="s">
        <v>280</v>
      </c>
      <c r="R610" t="s">
        <v>919</v>
      </c>
      <c r="S610" t="s">
        <v>946</v>
      </c>
      <c r="U610" t="s">
        <v>88</v>
      </c>
      <c r="V610">
        <v>1</v>
      </c>
      <c r="Z610" t="s">
        <v>36</v>
      </c>
    </row>
    <row r="611" spans="1:26" hidden="1" x14ac:dyDescent="0.2">
      <c r="A611" s="3">
        <v>43214</v>
      </c>
      <c r="D611" s="5">
        <v>0.90902777777777777</v>
      </c>
      <c r="E611">
        <v>-76.722999999999999</v>
      </c>
      <c r="F611">
        <v>3.4794999999999998</v>
      </c>
      <c r="G611">
        <v>2123</v>
      </c>
      <c r="I611">
        <v>2018</v>
      </c>
      <c r="J611">
        <v>25</v>
      </c>
      <c r="K611">
        <v>30</v>
      </c>
      <c r="M611" t="s">
        <v>247</v>
      </c>
      <c r="O611" t="s">
        <v>47</v>
      </c>
      <c r="P611" t="s">
        <v>280</v>
      </c>
      <c r="R611" t="s">
        <v>919</v>
      </c>
      <c r="S611" t="s">
        <v>951</v>
      </c>
      <c r="U611" t="s">
        <v>88</v>
      </c>
      <c r="V611">
        <v>1</v>
      </c>
      <c r="Z611" t="s">
        <v>36</v>
      </c>
    </row>
    <row r="612" spans="1:26" hidden="1" x14ac:dyDescent="0.2">
      <c r="A612" s="3">
        <v>43214</v>
      </c>
      <c r="D612" s="5">
        <v>0.90972222222222221</v>
      </c>
      <c r="E612">
        <v>-76.722999999999999</v>
      </c>
      <c r="F612">
        <v>3.4794722222222219</v>
      </c>
      <c r="G612">
        <v>2123</v>
      </c>
      <c r="I612">
        <v>2018</v>
      </c>
      <c r="J612">
        <v>15</v>
      </c>
      <c r="K612">
        <v>40</v>
      </c>
      <c r="M612" t="s">
        <v>247</v>
      </c>
      <c r="O612" t="s">
        <v>47</v>
      </c>
      <c r="P612" t="s">
        <v>280</v>
      </c>
      <c r="R612" t="s">
        <v>919</v>
      </c>
      <c r="S612" t="s">
        <v>949</v>
      </c>
      <c r="U612" t="s">
        <v>88</v>
      </c>
      <c r="V612">
        <v>1</v>
      </c>
      <c r="Z612" t="s">
        <v>36</v>
      </c>
    </row>
    <row r="613" spans="1:26" hidden="1" x14ac:dyDescent="0.2">
      <c r="A613" s="3">
        <v>43214</v>
      </c>
      <c r="D613" s="5">
        <v>0.91111111111111109</v>
      </c>
      <c r="E613">
        <v>-76.722999999999999</v>
      </c>
      <c r="F613">
        <v>3.4794722222222219</v>
      </c>
      <c r="G613">
        <v>2123</v>
      </c>
      <c r="I613">
        <v>2018</v>
      </c>
      <c r="J613">
        <v>15</v>
      </c>
      <c r="K613">
        <v>40</v>
      </c>
      <c r="M613" t="s">
        <v>247</v>
      </c>
      <c r="O613" t="s">
        <v>47</v>
      </c>
      <c r="P613" t="s">
        <v>280</v>
      </c>
      <c r="R613" t="s">
        <v>919</v>
      </c>
      <c r="S613" t="s">
        <v>951</v>
      </c>
      <c r="U613" t="s">
        <v>88</v>
      </c>
      <c r="V613">
        <v>1</v>
      </c>
      <c r="Z613" t="s">
        <v>36</v>
      </c>
    </row>
    <row r="614" spans="1:26" hidden="1" x14ac:dyDescent="0.2">
      <c r="A614" s="3">
        <v>43214</v>
      </c>
      <c r="D614" s="5">
        <v>0.91249999999999998</v>
      </c>
      <c r="E614">
        <v>-76.722999999999999</v>
      </c>
      <c r="F614">
        <v>3.4794722222222219</v>
      </c>
      <c r="G614">
        <v>2123</v>
      </c>
      <c r="I614">
        <v>2018</v>
      </c>
      <c r="J614">
        <v>12</v>
      </c>
      <c r="K614">
        <v>30</v>
      </c>
      <c r="M614" t="s">
        <v>247</v>
      </c>
      <c r="O614" t="s">
        <v>47</v>
      </c>
      <c r="P614" t="s">
        <v>280</v>
      </c>
      <c r="R614" t="s">
        <v>919</v>
      </c>
      <c r="S614" t="s">
        <v>949</v>
      </c>
      <c r="U614" t="s">
        <v>88</v>
      </c>
      <c r="V614">
        <v>1</v>
      </c>
      <c r="Z614" t="s">
        <v>36</v>
      </c>
    </row>
    <row r="615" spans="1:26" hidden="1" x14ac:dyDescent="0.2">
      <c r="A615" s="3">
        <v>43214</v>
      </c>
      <c r="D615" s="5">
        <v>0.91319444444444442</v>
      </c>
      <c r="E615">
        <v>-76.722999999999999</v>
      </c>
      <c r="F615">
        <v>3.4794722222222219</v>
      </c>
      <c r="G615">
        <v>2124</v>
      </c>
      <c r="I615">
        <v>2018</v>
      </c>
      <c r="J615">
        <v>18</v>
      </c>
      <c r="K615">
        <v>25</v>
      </c>
      <c r="M615" t="s">
        <v>247</v>
      </c>
      <c r="O615" t="s">
        <v>47</v>
      </c>
      <c r="P615" t="s">
        <v>280</v>
      </c>
      <c r="R615" t="s">
        <v>919</v>
      </c>
      <c r="S615" t="s">
        <v>946</v>
      </c>
      <c r="U615" t="s">
        <v>88</v>
      </c>
      <c r="V615">
        <v>1</v>
      </c>
      <c r="Z615" t="s">
        <v>36</v>
      </c>
    </row>
    <row r="616" spans="1:26" hidden="1" x14ac:dyDescent="0.2">
      <c r="A616" s="3">
        <v>43214</v>
      </c>
      <c r="D616" s="5">
        <v>0.91597222222222219</v>
      </c>
      <c r="E616">
        <v>-76.722999999999999</v>
      </c>
      <c r="F616">
        <v>3.4794722222222219</v>
      </c>
      <c r="G616">
        <v>2124</v>
      </c>
      <c r="I616">
        <v>2018</v>
      </c>
      <c r="J616">
        <v>18</v>
      </c>
      <c r="K616">
        <v>25</v>
      </c>
      <c r="M616" t="s">
        <v>247</v>
      </c>
      <c r="O616" t="s">
        <v>47</v>
      </c>
      <c r="P616" t="s">
        <v>280</v>
      </c>
      <c r="R616" t="s">
        <v>919</v>
      </c>
      <c r="S616" t="s">
        <v>956</v>
      </c>
      <c r="U616" t="s">
        <v>88</v>
      </c>
      <c r="V616">
        <v>1</v>
      </c>
      <c r="Z616" t="s">
        <v>36</v>
      </c>
    </row>
    <row r="617" spans="1:26" hidden="1" x14ac:dyDescent="0.2">
      <c r="A617" s="3">
        <v>43214</v>
      </c>
      <c r="D617" s="5">
        <v>0.91805555555555551</v>
      </c>
      <c r="E617">
        <v>-76.723027777777773</v>
      </c>
      <c r="F617">
        <v>3.4794722222222219</v>
      </c>
      <c r="G617">
        <v>2125</v>
      </c>
      <c r="I617">
        <v>2018</v>
      </c>
      <c r="J617">
        <v>18</v>
      </c>
      <c r="K617">
        <v>30</v>
      </c>
      <c r="M617" t="s">
        <v>247</v>
      </c>
      <c r="O617" t="s">
        <v>47</v>
      </c>
      <c r="P617" t="s">
        <v>280</v>
      </c>
      <c r="R617" t="s">
        <v>919</v>
      </c>
      <c r="S617" t="s">
        <v>951</v>
      </c>
      <c r="U617" t="s">
        <v>316</v>
      </c>
      <c r="V617">
        <v>1</v>
      </c>
      <c r="W617" t="s">
        <v>1063</v>
      </c>
      <c r="Z617" t="s">
        <v>36</v>
      </c>
    </row>
    <row r="618" spans="1:26" hidden="1" x14ac:dyDescent="0.2">
      <c r="A618" s="3">
        <v>43214</v>
      </c>
      <c r="D618" s="5">
        <v>0.91805555555555551</v>
      </c>
      <c r="E618">
        <v>-76.723027777777773</v>
      </c>
      <c r="F618">
        <v>3.4794722222222219</v>
      </c>
      <c r="G618">
        <v>2125</v>
      </c>
      <c r="I618">
        <v>2018</v>
      </c>
      <c r="J618">
        <v>18</v>
      </c>
      <c r="K618">
        <v>30</v>
      </c>
      <c r="M618" t="s">
        <v>247</v>
      </c>
      <c r="O618" t="s">
        <v>47</v>
      </c>
      <c r="P618" t="s">
        <v>280</v>
      </c>
      <c r="R618" t="s">
        <v>919</v>
      </c>
      <c r="S618" t="s">
        <v>951</v>
      </c>
      <c r="U618" t="s">
        <v>88</v>
      </c>
      <c r="V618">
        <v>1</v>
      </c>
      <c r="Z618" t="s">
        <v>36</v>
      </c>
    </row>
    <row r="619" spans="1:26" hidden="1" x14ac:dyDescent="0.2">
      <c r="A619" s="3">
        <v>43214</v>
      </c>
      <c r="D619" s="5">
        <v>0.91805555555555551</v>
      </c>
      <c r="E619">
        <v>-76.723027777777773</v>
      </c>
      <c r="F619">
        <v>3.4794722222222219</v>
      </c>
      <c r="G619">
        <v>2125</v>
      </c>
      <c r="I619">
        <v>2018</v>
      </c>
      <c r="J619">
        <v>18</v>
      </c>
      <c r="K619">
        <v>30</v>
      </c>
      <c r="M619" t="s">
        <v>247</v>
      </c>
      <c r="O619" t="s">
        <v>47</v>
      </c>
      <c r="P619" t="s">
        <v>280</v>
      </c>
      <c r="R619" t="s">
        <v>919</v>
      </c>
      <c r="S619" t="s">
        <v>951</v>
      </c>
      <c r="U619" t="s">
        <v>238</v>
      </c>
      <c r="V619">
        <v>1</v>
      </c>
      <c r="Z619" t="s">
        <v>36</v>
      </c>
    </row>
    <row r="620" spans="1:26" hidden="1" x14ac:dyDescent="0.2">
      <c r="A620" s="3">
        <v>43214</v>
      </c>
      <c r="D620" s="5">
        <v>0.91805555555555551</v>
      </c>
      <c r="E620">
        <v>-76.723027777777773</v>
      </c>
      <c r="F620">
        <v>3.4794722222222219</v>
      </c>
      <c r="G620">
        <v>2125</v>
      </c>
      <c r="I620">
        <v>2018</v>
      </c>
      <c r="J620">
        <v>18</v>
      </c>
      <c r="K620">
        <v>30</v>
      </c>
      <c r="M620" t="s">
        <v>247</v>
      </c>
      <c r="O620" t="s">
        <v>47</v>
      </c>
      <c r="P620" t="s">
        <v>280</v>
      </c>
      <c r="R620" t="s">
        <v>919</v>
      </c>
      <c r="S620" t="s">
        <v>951</v>
      </c>
      <c r="U620" t="s">
        <v>316</v>
      </c>
      <c r="V620">
        <v>1</v>
      </c>
      <c r="Z620" t="s">
        <v>36</v>
      </c>
    </row>
    <row r="621" spans="1:26" hidden="1" x14ac:dyDescent="0.2">
      <c r="A621" s="3">
        <v>43214</v>
      </c>
      <c r="D621" s="5">
        <v>0.92222222222222228</v>
      </c>
      <c r="E621">
        <v>-76.722999999999999</v>
      </c>
      <c r="F621">
        <v>3.4793611111111109</v>
      </c>
      <c r="G621">
        <v>2125</v>
      </c>
      <c r="I621">
        <v>2018</v>
      </c>
      <c r="J621">
        <v>19</v>
      </c>
      <c r="K621">
        <v>50</v>
      </c>
      <c r="M621" t="s">
        <v>247</v>
      </c>
      <c r="O621" t="s">
        <v>47</v>
      </c>
      <c r="P621" t="s">
        <v>280</v>
      </c>
      <c r="R621" t="s">
        <v>919</v>
      </c>
      <c r="S621" t="s">
        <v>951</v>
      </c>
      <c r="U621" t="s">
        <v>88</v>
      </c>
      <c r="V621">
        <v>1</v>
      </c>
      <c r="Z621" t="s">
        <v>36</v>
      </c>
    </row>
    <row r="622" spans="1:26" hidden="1" x14ac:dyDescent="0.2">
      <c r="A622" s="3">
        <v>43214</v>
      </c>
      <c r="D622" s="5">
        <v>0.92361111111111116</v>
      </c>
      <c r="E622">
        <v>-76.722999999999999</v>
      </c>
      <c r="F622">
        <v>3.4793611111111109</v>
      </c>
      <c r="G622">
        <v>2125</v>
      </c>
      <c r="I622">
        <v>2018</v>
      </c>
      <c r="J622">
        <v>19</v>
      </c>
      <c r="K622">
        <v>50</v>
      </c>
      <c r="M622" t="s">
        <v>247</v>
      </c>
      <c r="O622" t="s">
        <v>47</v>
      </c>
      <c r="P622" t="s">
        <v>280</v>
      </c>
      <c r="R622" t="s">
        <v>919</v>
      </c>
      <c r="S622" t="s">
        <v>956</v>
      </c>
      <c r="U622" t="s">
        <v>88</v>
      </c>
      <c r="V622">
        <v>1</v>
      </c>
      <c r="Z622" t="s">
        <v>36</v>
      </c>
    </row>
    <row r="623" spans="1:26" hidden="1" x14ac:dyDescent="0.2">
      <c r="A623" s="3">
        <v>43214</v>
      </c>
      <c r="D623" s="5">
        <v>0.9375</v>
      </c>
      <c r="E623">
        <v>-76.722861111111115</v>
      </c>
      <c r="F623">
        <v>3.4789444444444451</v>
      </c>
      <c r="G623">
        <v>2143</v>
      </c>
      <c r="I623">
        <v>2018</v>
      </c>
      <c r="J623">
        <v>18</v>
      </c>
      <c r="K623">
        <v>35</v>
      </c>
      <c r="M623" t="s">
        <v>247</v>
      </c>
      <c r="O623" t="s">
        <v>40</v>
      </c>
      <c r="P623" t="s">
        <v>280</v>
      </c>
      <c r="R623" t="s">
        <v>919</v>
      </c>
      <c r="S623" t="s">
        <v>946</v>
      </c>
      <c r="U623" t="s">
        <v>88</v>
      </c>
      <c r="V623">
        <v>1</v>
      </c>
      <c r="Z623" t="s">
        <v>36</v>
      </c>
    </row>
    <row r="624" spans="1:26" hidden="1" x14ac:dyDescent="0.2">
      <c r="A624" s="3">
        <v>43214</v>
      </c>
      <c r="D624" s="5">
        <v>0.93888888888888888</v>
      </c>
      <c r="E624">
        <v>-76.722861111111115</v>
      </c>
      <c r="F624">
        <v>3.4789444444444451</v>
      </c>
      <c r="G624">
        <v>2143</v>
      </c>
      <c r="I624">
        <v>2018</v>
      </c>
      <c r="J624">
        <v>18</v>
      </c>
      <c r="K624">
        <v>35</v>
      </c>
      <c r="M624" t="s">
        <v>247</v>
      </c>
      <c r="O624" t="s">
        <v>40</v>
      </c>
      <c r="P624" t="s">
        <v>280</v>
      </c>
      <c r="R624" t="s">
        <v>919</v>
      </c>
      <c r="S624" t="s">
        <v>949</v>
      </c>
      <c r="U624" t="s">
        <v>88</v>
      </c>
      <c r="V624">
        <v>1</v>
      </c>
      <c r="Z624" t="s">
        <v>36</v>
      </c>
    </row>
    <row r="625" spans="1:26" hidden="1" x14ac:dyDescent="0.2">
      <c r="A625" s="3">
        <v>43214</v>
      </c>
      <c r="D625" s="5">
        <v>0.94027777777777777</v>
      </c>
      <c r="E625">
        <v>-76.722805555555553</v>
      </c>
      <c r="F625">
        <v>3.4788888888888891</v>
      </c>
      <c r="G625">
        <v>2142</v>
      </c>
      <c r="I625">
        <v>2018</v>
      </c>
      <c r="J625">
        <v>22</v>
      </c>
      <c r="K625">
        <v>45</v>
      </c>
      <c r="M625" t="s">
        <v>247</v>
      </c>
      <c r="O625" t="s">
        <v>40</v>
      </c>
      <c r="P625" t="s">
        <v>280</v>
      </c>
      <c r="R625" t="s">
        <v>919</v>
      </c>
      <c r="S625" t="s">
        <v>946</v>
      </c>
      <c r="U625" t="s">
        <v>88</v>
      </c>
      <c r="V625">
        <v>1</v>
      </c>
      <c r="Z625" t="s">
        <v>36</v>
      </c>
    </row>
    <row r="626" spans="1:26" hidden="1" x14ac:dyDescent="0.2">
      <c r="A626" s="3">
        <v>43214</v>
      </c>
      <c r="D626" s="5">
        <v>0.94166666666666665</v>
      </c>
      <c r="E626">
        <v>-76.722805555555553</v>
      </c>
      <c r="F626">
        <v>3.4788888888888891</v>
      </c>
      <c r="G626">
        <v>2142</v>
      </c>
      <c r="I626">
        <v>2018</v>
      </c>
      <c r="J626">
        <v>22</v>
      </c>
      <c r="K626">
        <v>45</v>
      </c>
      <c r="M626" t="s">
        <v>247</v>
      </c>
      <c r="O626" t="s">
        <v>40</v>
      </c>
      <c r="P626" t="s">
        <v>280</v>
      </c>
      <c r="R626" t="s">
        <v>919</v>
      </c>
      <c r="S626" t="s">
        <v>956</v>
      </c>
      <c r="U626" t="s">
        <v>88</v>
      </c>
      <c r="V626">
        <v>1</v>
      </c>
      <c r="Z626" t="s">
        <v>36</v>
      </c>
    </row>
    <row r="627" spans="1:26" hidden="1" x14ac:dyDescent="0.2">
      <c r="A627" s="3">
        <v>43214</v>
      </c>
      <c r="D627" s="5">
        <v>0.94374999999999998</v>
      </c>
      <c r="E627">
        <v>-76.722805555555553</v>
      </c>
      <c r="F627">
        <v>3.4788611111111112</v>
      </c>
      <c r="G627">
        <v>2141</v>
      </c>
      <c r="I627">
        <v>2018</v>
      </c>
      <c r="J627">
        <v>19</v>
      </c>
      <c r="K627">
        <v>20</v>
      </c>
      <c r="M627" t="s">
        <v>247</v>
      </c>
      <c r="O627" t="s">
        <v>40</v>
      </c>
      <c r="P627" t="s">
        <v>280</v>
      </c>
      <c r="R627" t="s">
        <v>919</v>
      </c>
      <c r="S627" t="s">
        <v>946</v>
      </c>
      <c r="U627" t="s">
        <v>88</v>
      </c>
      <c r="V627">
        <v>1</v>
      </c>
      <c r="Z627" t="s">
        <v>36</v>
      </c>
    </row>
    <row r="628" spans="1:26" hidden="1" x14ac:dyDescent="0.2">
      <c r="A628" s="3">
        <v>43214</v>
      </c>
      <c r="D628" s="5">
        <v>0.94513888888888886</v>
      </c>
      <c r="E628">
        <v>-76.722833333333341</v>
      </c>
      <c r="F628">
        <v>3.4787499999999998</v>
      </c>
      <c r="G628">
        <v>2138</v>
      </c>
      <c r="I628">
        <v>2018</v>
      </c>
      <c r="J628">
        <v>18</v>
      </c>
      <c r="K628">
        <v>30</v>
      </c>
      <c r="M628" t="s">
        <v>247</v>
      </c>
      <c r="O628" t="s">
        <v>40</v>
      </c>
      <c r="P628" t="s">
        <v>280</v>
      </c>
      <c r="R628" t="s">
        <v>919</v>
      </c>
      <c r="S628" t="s">
        <v>956</v>
      </c>
      <c r="U628" t="s">
        <v>88</v>
      </c>
      <c r="V628">
        <v>1</v>
      </c>
      <c r="Z628" t="s">
        <v>36</v>
      </c>
    </row>
    <row r="629" spans="1:26" hidden="1" x14ac:dyDescent="0.2">
      <c r="A629" s="3">
        <v>43214</v>
      </c>
      <c r="D629" s="5">
        <v>0.94930555555555551</v>
      </c>
      <c r="E629">
        <v>-76.722805555555553</v>
      </c>
      <c r="F629">
        <v>3.4786388888888888</v>
      </c>
      <c r="G629">
        <v>2140</v>
      </c>
      <c r="I629">
        <v>2018</v>
      </c>
      <c r="J629">
        <v>17</v>
      </c>
      <c r="K629">
        <v>15</v>
      </c>
      <c r="M629" t="s">
        <v>247</v>
      </c>
      <c r="O629" t="s">
        <v>40</v>
      </c>
      <c r="P629" t="s">
        <v>280</v>
      </c>
      <c r="R629" t="s">
        <v>919</v>
      </c>
      <c r="S629" t="s">
        <v>946</v>
      </c>
      <c r="U629" t="s">
        <v>88</v>
      </c>
      <c r="V629">
        <v>1</v>
      </c>
      <c r="Z629" t="s">
        <v>36</v>
      </c>
    </row>
    <row r="630" spans="1:26" hidden="1" x14ac:dyDescent="0.2">
      <c r="A630" s="3">
        <v>43214</v>
      </c>
      <c r="D630" s="5">
        <v>0.9506944444444444</v>
      </c>
      <c r="E630">
        <v>-76.722805555555553</v>
      </c>
      <c r="F630">
        <v>3.4786388888888888</v>
      </c>
      <c r="G630">
        <v>2140</v>
      </c>
      <c r="I630">
        <v>2018</v>
      </c>
      <c r="J630">
        <v>10</v>
      </c>
      <c r="K630">
        <v>40</v>
      </c>
      <c r="M630" t="s">
        <v>247</v>
      </c>
      <c r="O630" t="s">
        <v>40</v>
      </c>
      <c r="P630" t="s">
        <v>280</v>
      </c>
      <c r="R630" t="s">
        <v>919</v>
      </c>
      <c r="S630" t="s">
        <v>951</v>
      </c>
      <c r="U630" t="s">
        <v>88</v>
      </c>
      <c r="V630">
        <v>1</v>
      </c>
      <c r="Z630" t="s">
        <v>36</v>
      </c>
    </row>
    <row r="631" spans="1:26" hidden="1" x14ac:dyDescent="0.2">
      <c r="A631" s="3">
        <v>43214</v>
      </c>
      <c r="D631" s="5">
        <v>0.95486111111111116</v>
      </c>
      <c r="E631">
        <v>-76.722750000000005</v>
      </c>
      <c r="F631">
        <v>3.4785833333333329</v>
      </c>
      <c r="G631">
        <v>2139</v>
      </c>
      <c r="I631">
        <v>2018</v>
      </c>
      <c r="J631">
        <v>20</v>
      </c>
      <c r="K631">
        <v>30</v>
      </c>
      <c r="M631" t="s">
        <v>247</v>
      </c>
      <c r="O631" t="s">
        <v>40</v>
      </c>
      <c r="P631" t="s">
        <v>280</v>
      </c>
      <c r="R631" t="s">
        <v>919</v>
      </c>
      <c r="S631" t="s">
        <v>956</v>
      </c>
      <c r="U631" t="s">
        <v>252</v>
      </c>
      <c r="V631">
        <v>1</v>
      </c>
      <c r="Z631" t="s">
        <v>36</v>
      </c>
    </row>
    <row r="632" spans="1:26" hidden="1" x14ac:dyDescent="0.2">
      <c r="A632" s="3">
        <v>43214</v>
      </c>
      <c r="D632" s="5">
        <v>0.95694444444444449</v>
      </c>
      <c r="E632">
        <v>-76.722750000000005</v>
      </c>
      <c r="F632">
        <v>3.4785833333333329</v>
      </c>
      <c r="G632">
        <v>2139</v>
      </c>
      <c r="I632">
        <v>2018</v>
      </c>
      <c r="J632">
        <v>18</v>
      </c>
      <c r="K632">
        <v>60</v>
      </c>
      <c r="M632" t="s">
        <v>247</v>
      </c>
      <c r="O632" t="s">
        <v>40</v>
      </c>
      <c r="P632" t="s">
        <v>280</v>
      </c>
      <c r="R632" t="s">
        <v>919</v>
      </c>
      <c r="S632" t="s">
        <v>951</v>
      </c>
      <c r="U632" t="s">
        <v>293</v>
      </c>
      <c r="V632">
        <v>1</v>
      </c>
      <c r="W632" t="s">
        <v>1064</v>
      </c>
      <c r="Z632" t="s">
        <v>36</v>
      </c>
    </row>
    <row r="633" spans="1:26" hidden="1" x14ac:dyDescent="0.2">
      <c r="A633" s="3">
        <v>43214</v>
      </c>
      <c r="D633" s="5">
        <v>0.95694444444444449</v>
      </c>
      <c r="E633">
        <v>-76.722750000000005</v>
      </c>
      <c r="F633">
        <v>3.4785833333333329</v>
      </c>
      <c r="G633">
        <v>2130</v>
      </c>
      <c r="I633">
        <v>2018</v>
      </c>
      <c r="J633">
        <v>18</v>
      </c>
      <c r="K633">
        <v>60</v>
      </c>
      <c r="M633" t="s">
        <v>247</v>
      </c>
      <c r="O633" t="s">
        <v>40</v>
      </c>
      <c r="P633" t="s">
        <v>280</v>
      </c>
      <c r="R633" t="s">
        <v>919</v>
      </c>
      <c r="S633" t="s">
        <v>946</v>
      </c>
      <c r="U633" t="s">
        <v>88</v>
      </c>
      <c r="V633">
        <v>1</v>
      </c>
      <c r="Z633" t="s">
        <v>36</v>
      </c>
    </row>
    <row r="634" spans="1:26" hidden="1" x14ac:dyDescent="0.2">
      <c r="A634" s="3">
        <v>43214</v>
      </c>
      <c r="D634" s="5">
        <v>0.96250000000000002</v>
      </c>
      <c r="E634">
        <v>-76.722750000000005</v>
      </c>
      <c r="F634">
        <v>3.4785555555555558</v>
      </c>
      <c r="G634">
        <v>2139</v>
      </c>
      <c r="I634">
        <v>2018</v>
      </c>
      <c r="J634">
        <v>12</v>
      </c>
      <c r="K634">
        <v>30</v>
      </c>
      <c r="M634" t="s">
        <v>247</v>
      </c>
      <c r="O634" t="s">
        <v>40</v>
      </c>
      <c r="P634" t="s">
        <v>280</v>
      </c>
      <c r="R634" t="s">
        <v>919</v>
      </c>
      <c r="S634" t="s">
        <v>949</v>
      </c>
      <c r="U634" t="s">
        <v>238</v>
      </c>
      <c r="V634">
        <v>1</v>
      </c>
      <c r="Z634" t="s">
        <v>36</v>
      </c>
    </row>
    <row r="635" spans="1:26" hidden="1" x14ac:dyDescent="0.2">
      <c r="A635" s="3">
        <v>43214</v>
      </c>
      <c r="D635" s="5">
        <v>0.96458333333333335</v>
      </c>
      <c r="E635">
        <v>-76.722805555555553</v>
      </c>
      <c r="F635">
        <v>3.4784166666666669</v>
      </c>
      <c r="G635">
        <v>2140</v>
      </c>
      <c r="I635">
        <v>2018</v>
      </c>
      <c r="J635">
        <v>14</v>
      </c>
      <c r="K635">
        <v>30</v>
      </c>
      <c r="M635" t="s">
        <v>247</v>
      </c>
      <c r="O635" t="s">
        <v>40</v>
      </c>
      <c r="P635" t="s">
        <v>280</v>
      </c>
      <c r="R635" t="s">
        <v>919</v>
      </c>
      <c r="S635" t="s">
        <v>949</v>
      </c>
      <c r="U635" t="s">
        <v>88</v>
      </c>
      <c r="V635">
        <v>1</v>
      </c>
      <c r="Z635" t="s">
        <v>36</v>
      </c>
    </row>
    <row r="636" spans="1:26" hidden="1" x14ac:dyDescent="0.2">
      <c r="A636" s="3">
        <v>43214</v>
      </c>
      <c r="D636" s="5">
        <v>0.96527777777777779</v>
      </c>
      <c r="E636">
        <v>-76.722805555555553</v>
      </c>
      <c r="F636">
        <v>3.4784166666666669</v>
      </c>
      <c r="G636">
        <v>2140</v>
      </c>
      <c r="I636">
        <v>2018</v>
      </c>
      <c r="J636">
        <v>24</v>
      </c>
      <c r="K636">
        <v>40</v>
      </c>
      <c r="M636" t="s">
        <v>247</v>
      </c>
      <c r="O636" t="s">
        <v>40</v>
      </c>
      <c r="P636" t="s">
        <v>280</v>
      </c>
      <c r="R636" t="s">
        <v>919</v>
      </c>
      <c r="S636" t="s">
        <v>946</v>
      </c>
      <c r="U636" t="s">
        <v>270</v>
      </c>
      <c r="V636">
        <v>1</v>
      </c>
      <c r="W636" t="s">
        <v>1065</v>
      </c>
      <c r="Z636" t="s">
        <v>36</v>
      </c>
    </row>
    <row r="637" spans="1:26" hidden="1" x14ac:dyDescent="0.2">
      <c r="A637" s="3">
        <v>43214</v>
      </c>
      <c r="D637" s="5">
        <v>0.9770833333333333</v>
      </c>
      <c r="E637">
        <v>-76.722694444444443</v>
      </c>
      <c r="F637">
        <v>3.4780555555555561</v>
      </c>
      <c r="G637">
        <v>2142</v>
      </c>
      <c r="I637">
        <v>2018</v>
      </c>
      <c r="J637">
        <v>15</v>
      </c>
      <c r="K637">
        <v>15</v>
      </c>
      <c r="M637" t="s">
        <v>247</v>
      </c>
      <c r="O637" t="s">
        <v>40</v>
      </c>
      <c r="P637" t="s">
        <v>280</v>
      </c>
      <c r="R637" t="s">
        <v>919</v>
      </c>
      <c r="S637" t="s">
        <v>946</v>
      </c>
      <c r="U637" t="s">
        <v>270</v>
      </c>
      <c r="V637">
        <v>1</v>
      </c>
      <c r="Z637" t="s">
        <v>36</v>
      </c>
    </row>
    <row r="638" spans="1:26" hidden="1" x14ac:dyDescent="0.2">
      <c r="A638" s="3">
        <v>43214</v>
      </c>
      <c r="D638" s="5">
        <v>0.9819444444444444</v>
      </c>
      <c r="E638">
        <v>-76.722722222222231</v>
      </c>
      <c r="F638">
        <v>3.4778333333333329</v>
      </c>
      <c r="G638">
        <v>2145</v>
      </c>
      <c r="I638">
        <v>2018</v>
      </c>
      <c r="J638">
        <v>20</v>
      </c>
      <c r="K638">
        <v>25</v>
      </c>
      <c r="M638" t="s">
        <v>247</v>
      </c>
      <c r="O638" t="s">
        <v>38</v>
      </c>
      <c r="P638" t="s">
        <v>280</v>
      </c>
      <c r="R638" t="s">
        <v>919</v>
      </c>
      <c r="S638" t="s">
        <v>951</v>
      </c>
      <c r="U638" t="s">
        <v>88</v>
      </c>
      <c r="V638">
        <v>1</v>
      </c>
      <c r="Z638" t="s">
        <v>36</v>
      </c>
    </row>
    <row r="639" spans="1:26" hidden="1" x14ac:dyDescent="0.2">
      <c r="A639" s="3">
        <v>43214</v>
      </c>
      <c r="D639" s="5">
        <v>0.98333333333333328</v>
      </c>
      <c r="E639">
        <v>-76.722694444444443</v>
      </c>
      <c r="F639">
        <v>3.4778333333333329</v>
      </c>
      <c r="G639">
        <v>2145</v>
      </c>
      <c r="I639">
        <v>2018</v>
      </c>
      <c r="J639">
        <v>10</v>
      </c>
      <c r="K639">
        <v>15</v>
      </c>
      <c r="M639" t="s">
        <v>247</v>
      </c>
      <c r="O639" t="s">
        <v>38</v>
      </c>
      <c r="P639" t="s">
        <v>280</v>
      </c>
      <c r="R639" t="s">
        <v>919</v>
      </c>
      <c r="S639" t="s">
        <v>946</v>
      </c>
      <c r="U639" t="s">
        <v>316</v>
      </c>
      <c r="V639">
        <v>1</v>
      </c>
      <c r="W639" t="s">
        <v>1066</v>
      </c>
      <c r="Z639" t="s">
        <v>36</v>
      </c>
    </row>
    <row r="640" spans="1:26" hidden="1" x14ac:dyDescent="0.2">
      <c r="A640" s="3">
        <v>43214</v>
      </c>
      <c r="D640" s="5">
        <v>0.98333333333333328</v>
      </c>
      <c r="E640">
        <v>-76.722694444444443</v>
      </c>
      <c r="F640">
        <v>3.4778333333333329</v>
      </c>
      <c r="G640">
        <v>2145</v>
      </c>
      <c r="I640">
        <v>2018</v>
      </c>
      <c r="J640">
        <v>10</v>
      </c>
      <c r="K640">
        <v>15</v>
      </c>
      <c r="M640" t="s">
        <v>247</v>
      </c>
      <c r="O640" t="s">
        <v>38</v>
      </c>
      <c r="P640" t="s">
        <v>280</v>
      </c>
      <c r="R640" t="s">
        <v>919</v>
      </c>
      <c r="S640" t="s">
        <v>949</v>
      </c>
      <c r="U640" t="s">
        <v>88</v>
      </c>
      <c r="V640">
        <v>1</v>
      </c>
      <c r="Z640" t="s">
        <v>36</v>
      </c>
    </row>
    <row r="641" spans="1:26" hidden="1" x14ac:dyDescent="0.2">
      <c r="A641" s="3">
        <v>43214</v>
      </c>
      <c r="D641" s="5">
        <v>0.98611111111111116</v>
      </c>
      <c r="E641">
        <v>-76.722694444444443</v>
      </c>
      <c r="F641">
        <v>3.4778333333333329</v>
      </c>
      <c r="G641">
        <v>2145</v>
      </c>
      <c r="I641">
        <v>2018</v>
      </c>
      <c r="J641">
        <v>10</v>
      </c>
      <c r="K641">
        <v>15</v>
      </c>
      <c r="M641" t="s">
        <v>247</v>
      </c>
      <c r="O641" t="s">
        <v>38</v>
      </c>
      <c r="P641" t="s">
        <v>280</v>
      </c>
      <c r="R641" t="s">
        <v>919</v>
      </c>
      <c r="S641" t="s">
        <v>949</v>
      </c>
      <c r="U641" t="s">
        <v>88</v>
      </c>
      <c r="V641">
        <v>1</v>
      </c>
      <c r="Z641" t="s">
        <v>36</v>
      </c>
    </row>
    <row r="642" spans="1:26" hidden="1" x14ac:dyDescent="0.2">
      <c r="A642" s="3">
        <v>43214</v>
      </c>
      <c r="D642" s="5">
        <v>0.9868055555555556</v>
      </c>
      <c r="E642">
        <v>-76.722694444444443</v>
      </c>
      <c r="F642">
        <v>3.4778055555555558</v>
      </c>
      <c r="G642">
        <v>2146</v>
      </c>
      <c r="I642">
        <v>2018</v>
      </c>
      <c r="J642">
        <v>15</v>
      </c>
      <c r="K642">
        <v>25</v>
      </c>
      <c r="M642" t="s">
        <v>247</v>
      </c>
      <c r="O642" t="s">
        <v>38</v>
      </c>
      <c r="P642" t="s">
        <v>280</v>
      </c>
      <c r="R642" t="s">
        <v>919</v>
      </c>
      <c r="S642" t="s">
        <v>951</v>
      </c>
      <c r="U642" t="s">
        <v>88</v>
      </c>
      <c r="V642">
        <v>1</v>
      </c>
      <c r="Z642" t="s">
        <v>36</v>
      </c>
    </row>
    <row r="643" spans="1:26" hidden="1" x14ac:dyDescent="0.2">
      <c r="A643" s="3">
        <v>43214</v>
      </c>
      <c r="D643" s="5">
        <v>0.99097222222222225</v>
      </c>
      <c r="E643">
        <v>-76.722694444444443</v>
      </c>
      <c r="F643">
        <v>3.4778055555555558</v>
      </c>
      <c r="G643">
        <v>2147</v>
      </c>
      <c r="I643">
        <v>2018</v>
      </c>
      <c r="J643">
        <v>18</v>
      </c>
      <c r="K643">
        <v>10</v>
      </c>
      <c r="M643" t="s">
        <v>247</v>
      </c>
      <c r="O643" t="s">
        <v>38</v>
      </c>
      <c r="P643" t="s">
        <v>280</v>
      </c>
      <c r="R643" t="s">
        <v>919</v>
      </c>
      <c r="S643" t="s">
        <v>949</v>
      </c>
      <c r="U643" t="s">
        <v>88</v>
      </c>
      <c r="V643">
        <v>1</v>
      </c>
      <c r="W643" t="s">
        <v>1067</v>
      </c>
      <c r="Z643" t="s">
        <v>36</v>
      </c>
    </row>
    <row r="644" spans="1:26" hidden="1" x14ac:dyDescent="0.2">
      <c r="A644" s="3">
        <v>43214</v>
      </c>
      <c r="D644" s="5">
        <v>0.99097222222222225</v>
      </c>
      <c r="E644">
        <v>-76.722694444444443</v>
      </c>
      <c r="F644">
        <v>3.4778055555555558</v>
      </c>
      <c r="G644">
        <v>2147</v>
      </c>
      <c r="I644">
        <v>2018</v>
      </c>
      <c r="J644">
        <v>18</v>
      </c>
      <c r="K644">
        <v>10</v>
      </c>
      <c r="M644" t="s">
        <v>247</v>
      </c>
      <c r="O644" t="s">
        <v>38</v>
      </c>
      <c r="P644" t="s">
        <v>280</v>
      </c>
      <c r="R644" t="s">
        <v>919</v>
      </c>
      <c r="S644" t="s">
        <v>949</v>
      </c>
      <c r="U644" t="s">
        <v>88</v>
      </c>
      <c r="V644">
        <v>1</v>
      </c>
      <c r="Z644" t="s">
        <v>36</v>
      </c>
    </row>
    <row r="645" spans="1:26" hidden="1" x14ac:dyDescent="0.2">
      <c r="A645" s="3">
        <v>43214</v>
      </c>
      <c r="D645" s="5">
        <v>0.99375000000000002</v>
      </c>
      <c r="E645">
        <v>-76.722694444444443</v>
      </c>
      <c r="F645">
        <v>3.477694444444444</v>
      </c>
      <c r="G645">
        <v>2147</v>
      </c>
      <c r="I645">
        <v>2018</v>
      </c>
      <c r="J645">
        <v>20</v>
      </c>
      <c r="K645">
        <v>12</v>
      </c>
      <c r="M645" t="s">
        <v>247</v>
      </c>
      <c r="O645" t="s">
        <v>38</v>
      </c>
      <c r="P645" t="s">
        <v>280</v>
      </c>
      <c r="R645" t="s">
        <v>919</v>
      </c>
      <c r="S645" t="s">
        <v>946</v>
      </c>
      <c r="U645" t="s">
        <v>270</v>
      </c>
      <c r="V645">
        <v>1</v>
      </c>
      <c r="Z645" t="s">
        <v>36</v>
      </c>
    </row>
    <row r="646" spans="1:26" hidden="1" x14ac:dyDescent="0.2">
      <c r="A646" s="3">
        <v>43214</v>
      </c>
      <c r="D646" s="5">
        <v>0.99513888888888891</v>
      </c>
      <c r="E646">
        <v>-76.722583333333333</v>
      </c>
      <c r="F646">
        <v>3.477694444444444</v>
      </c>
      <c r="G646">
        <v>2147</v>
      </c>
      <c r="I646">
        <v>2018</v>
      </c>
      <c r="J646">
        <v>20</v>
      </c>
      <c r="K646">
        <v>12</v>
      </c>
      <c r="M646" t="s">
        <v>247</v>
      </c>
      <c r="O646" t="s">
        <v>38</v>
      </c>
      <c r="P646" t="s">
        <v>280</v>
      </c>
      <c r="R646" t="s">
        <v>919</v>
      </c>
      <c r="S646" t="s">
        <v>949</v>
      </c>
      <c r="U646" t="s">
        <v>88</v>
      </c>
      <c r="V646">
        <v>1</v>
      </c>
      <c r="Z646" t="s">
        <v>36</v>
      </c>
    </row>
    <row r="647" spans="1:26" hidden="1" x14ac:dyDescent="0.2">
      <c r="A647" s="3">
        <v>43214</v>
      </c>
      <c r="D647" s="5">
        <v>0.99583333333333335</v>
      </c>
      <c r="E647">
        <v>-76.722583333333333</v>
      </c>
      <c r="F647">
        <v>3.477694444444444</v>
      </c>
      <c r="G647">
        <v>2147</v>
      </c>
      <c r="I647">
        <v>2018</v>
      </c>
      <c r="J647">
        <v>20</v>
      </c>
      <c r="K647">
        <v>12</v>
      </c>
      <c r="M647" t="s">
        <v>247</v>
      </c>
      <c r="O647" t="s">
        <v>38</v>
      </c>
      <c r="P647" t="s">
        <v>280</v>
      </c>
      <c r="R647" t="s">
        <v>919</v>
      </c>
      <c r="S647" t="s">
        <v>949</v>
      </c>
      <c r="U647" t="s">
        <v>88</v>
      </c>
      <c r="V647">
        <v>1</v>
      </c>
      <c r="Z647" t="s">
        <v>36</v>
      </c>
    </row>
    <row r="648" spans="1:26" hidden="1" x14ac:dyDescent="0.2">
      <c r="A648" s="3">
        <v>43214</v>
      </c>
      <c r="D648" s="5">
        <v>0.99791666666666667</v>
      </c>
      <c r="E648">
        <v>-76.722499999999997</v>
      </c>
      <c r="F648">
        <v>3.477527777777778</v>
      </c>
      <c r="G648">
        <v>2149</v>
      </c>
      <c r="I648">
        <v>2018</v>
      </c>
      <c r="J648">
        <v>18</v>
      </c>
      <c r="K648">
        <v>10</v>
      </c>
      <c r="M648" t="s">
        <v>247</v>
      </c>
      <c r="O648" t="s">
        <v>38</v>
      </c>
      <c r="P648" t="s">
        <v>280</v>
      </c>
      <c r="R648" t="s">
        <v>919</v>
      </c>
      <c r="S648" t="s">
        <v>946</v>
      </c>
      <c r="U648" t="s">
        <v>88</v>
      </c>
      <c r="V648">
        <v>1</v>
      </c>
      <c r="Z648" t="s">
        <v>36</v>
      </c>
    </row>
    <row r="649" spans="1:26" hidden="1" x14ac:dyDescent="0.2">
      <c r="A649" s="3">
        <v>43214</v>
      </c>
      <c r="D649" s="5">
        <v>0.99791666666666667</v>
      </c>
      <c r="E649">
        <v>-76.722499999999997</v>
      </c>
      <c r="F649">
        <v>3.477527777777778</v>
      </c>
      <c r="G649">
        <v>2149</v>
      </c>
      <c r="I649">
        <v>2018</v>
      </c>
      <c r="J649">
        <v>18</v>
      </c>
      <c r="K649">
        <v>10</v>
      </c>
      <c r="M649" t="s">
        <v>247</v>
      </c>
      <c r="O649" t="s">
        <v>38</v>
      </c>
      <c r="P649" t="s">
        <v>280</v>
      </c>
      <c r="R649" t="s">
        <v>919</v>
      </c>
      <c r="S649" t="s">
        <v>946</v>
      </c>
      <c r="U649" t="s">
        <v>88</v>
      </c>
      <c r="V649">
        <v>1</v>
      </c>
      <c r="Z649" t="s">
        <v>36</v>
      </c>
    </row>
    <row r="650" spans="1:26" hidden="1" x14ac:dyDescent="0.2">
      <c r="A650" s="3">
        <v>43214</v>
      </c>
      <c r="D650" s="5">
        <v>0.99791666666666667</v>
      </c>
      <c r="E650">
        <v>-76.722499999999997</v>
      </c>
      <c r="F650">
        <v>3.477527777777778</v>
      </c>
      <c r="G650">
        <v>2149</v>
      </c>
      <c r="I650">
        <v>2018</v>
      </c>
      <c r="J650">
        <v>18</v>
      </c>
      <c r="K650">
        <v>10</v>
      </c>
      <c r="M650" t="s">
        <v>247</v>
      </c>
      <c r="O650" t="s">
        <v>38</v>
      </c>
      <c r="P650" t="s">
        <v>280</v>
      </c>
      <c r="R650" t="s">
        <v>919</v>
      </c>
      <c r="S650" t="s">
        <v>951</v>
      </c>
      <c r="U650" t="s">
        <v>88</v>
      </c>
      <c r="V650">
        <v>1</v>
      </c>
      <c r="Z650" t="s">
        <v>36</v>
      </c>
    </row>
    <row r="651" spans="1:26" hidden="1" x14ac:dyDescent="0.2">
      <c r="A651" s="3">
        <v>43214</v>
      </c>
      <c r="D651" s="5">
        <v>0.99861111111111112</v>
      </c>
      <c r="E651">
        <v>-76.722499999999997</v>
      </c>
      <c r="F651">
        <v>3.477527777777778</v>
      </c>
      <c r="G651">
        <v>2149</v>
      </c>
      <c r="I651">
        <v>2018</v>
      </c>
      <c r="J651">
        <v>18</v>
      </c>
      <c r="K651">
        <v>10</v>
      </c>
      <c r="M651" t="s">
        <v>247</v>
      </c>
      <c r="O651" t="s">
        <v>38</v>
      </c>
      <c r="P651" t="s">
        <v>280</v>
      </c>
      <c r="R651" t="s">
        <v>919</v>
      </c>
      <c r="S651" t="s">
        <v>949</v>
      </c>
      <c r="U651" t="s">
        <v>88</v>
      </c>
      <c r="V651">
        <v>1</v>
      </c>
      <c r="Z651" t="s">
        <v>36</v>
      </c>
    </row>
    <row r="652" spans="1:26" hidden="1" x14ac:dyDescent="0.2">
      <c r="A652" s="3">
        <v>43214</v>
      </c>
      <c r="D652" s="5">
        <v>6.9444444444444447E-4</v>
      </c>
      <c r="E652">
        <v>-76.722499999999997</v>
      </c>
      <c r="F652">
        <v>3.4775</v>
      </c>
      <c r="G652">
        <v>2149</v>
      </c>
      <c r="I652">
        <v>2018</v>
      </c>
      <c r="J652">
        <v>18</v>
      </c>
      <c r="K652">
        <v>15</v>
      </c>
      <c r="M652" t="s">
        <v>247</v>
      </c>
      <c r="O652" t="s">
        <v>38</v>
      </c>
      <c r="P652" t="s">
        <v>280</v>
      </c>
      <c r="R652" t="s">
        <v>919</v>
      </c>
      <c r="S652" t="s">
        <v>949</v>
      </c>
      <c r="U652" t="s">
        <v>88</v>
      </c>
      <c r="V652">
        <v>1</v>
      </c>
      <c r="Z652" t="s">
        <v>36</v>
      </c>
    </row>
    <row r="653" spans="1:26" hidden="1" x14ac:dyDescent="0.2">
      <c r="A653" s="3">
        <v>43214</v>
      </c>
      <c r="D653" s="5">
        <v>2.0833333333333333E-3</v>
      </c>
      <c r="E653">
        <v>-76.722499999999997</v>
      </c>
      <c r="F653">
        <v>3.4775</v>
      </c>
      <c r="G653">
        <v>2149</v>
      </c>
      <c r="I653">
        <v>2018</v>
      </c>
      <c r="J653">
        <v>24</v>
      </c>
      <c r="K653">
        <v>15</v>
      </c>
      <c r="M653" t="s">
        <v>247</v>
      </c>
      <c r="O653" t="s">
        <v>38</v>
      </c>
      <c r="P653" t="s">
        <v>280</v>
      </c>
      <c r="R653" t="s">
        <v>919</v>
      </c>
      <c r="S653" t="s">
        <v>951</v>
      </c>
      <c r="U653" t="s">
        <v>88</v>
      </c>
      <c r="V653">
        <v>1</v>
      </c>
      <c r="Z653" t="s">
        <v>36</v>
      </c>
    </row>
    <row r="654" spans="1:26" hidden="1" x14ac:dyDescent="0.2">
      <c r="A654" s="3">
        <v>43215</v>
      </c>
      <c r="D654" s="5">
        <v>0.82638888888888884</v>
      </c>
      <c r="E654">
        <v>-76.713861111111115</v>
      </c>
      <c r="F654">
        <v>3.487805555555556</v>
      </c>
      <c r="G654">
        <v>1882</v>
      </c>
      <c r="H654">
        <v>1.2</v>
      </c>
      <c r="I654">
        <v>2018</v>
      </c>
      <c r="J654">
        <v>15</v>
      </c>
      <c r="K654">
        <v>30</v>
      </c>
      <c r="M654" t="s">
        <v>247</v>
      </c>
      <c r="O654" t="s">
        <v>32</v>
      </c>
      <c r="P654" t="s">
        <v>672</v>
      </c>
      <c r="R654" t="s">
        <v>920</v>
      </c>
      <c r="S654" t="s">
        <v>949</v>
      </c>
      <c r="U654" t="s">
        <v>238</v>
      </c>
      <c r="V654">
        <v>1</v>
      </c>
      <c r="Z654" t="s">
        <v>36</v>
      </c>
    </row>
    <row r="655" spans="1:26" hidden="1" x14ac:dyDescent="0.2">
      <c r="A655" s="3">
        <v>43215</v>
      </c>
      <c r="D655" s="5">
        <v>0.83194444444444449</v>
      </c>
      <c r="E655">
        <v>-76.713888888888889</v>
      </c>
      <c r="F655">
        <v>3.487805555555556</v>
      </c>
      <c r="G655">
        <v>1883</v>
      </c>
      <c r="H655">
        <v>1</v>
      </c>
      <c r="I655">
        <v>2018</v>
      </c>
      <c r="J655">
        <v>20</v>
      </c>
      <c r="K655">
        <v>90</v>
      </c>
      <c r="M655" t="s">
        <v>247</v>
      </c>
      <c r="O655" t="s">
        <v>32</v>
      </c>
      <c r="P655" t="s">
        <v>672</v>
      </c>
      <c r="R655" t="s">
        <v>920</v>
      </c>
      <c r="S655" t="s">
        <v>951</v>
      </c>
      <c r="U655" t="s">
        <v>238</v>
      </c>
      <c r="V655">
        <v>1</v>
      </c>
      <c r="Z655" t="s">
        <v>36</v>
      </c>
    </row>
    <row r="656" spans="1:26" hidden="1" x14ac:dyDescent="0.2">
      <c r="A656" s="3">
        <v>43215</v>
      </c>
      <c r="D656" s="5">
        <v>0.84791666666666665</v>
      </c>
      <c r="E656">
        <v>-76.714416666666665</v>
      </c>
      <c r="F656">
        <v>3.487805555555556</v>
      </c>
      <c r="G656">
        <v>1890</v>
      </c>
      <c r="I656">
        <v>2018</v>
      </c>
      <c r="M656" t="s">
        <v>247</v>
      </c>
      <c r="O656" t="s">
        <v>38</v>
      </c>
      <c r="P656" t="s">
        <v>672</v>
      </c>
      <c r="R656" t="s">
        <v>920</v>
      </c>
      <c r="S656" t="s">
        <v>946</v>
      </c>
      <c r="U656" t="s">
        <v>238</v>
      </c>
      <c r="V656">
        <v>1</v>
      </c>
      <c r="Z656" t="s">
        <v>36</v>
      </c>
    </row>
    <row r="657" spans="1:26" hidden="1" x14ac:dyDescent="0.2">
      <c r="A657" s="3">
        <v>43215</v>
      </c>
      <c r="D657" s="5">
        <v>0.85972222222222228</v>
      </c>
      <c r="E657">
        <v>-76.714805555555557</v>
      </c>
      <c r="F657">
        <v>3.487130555555555</v>
      </c>
      <c r="G657">
        <v>1887</v>
      </c>
      <c r="H657">
        <v>1.2</v>
      </c>
      <c r="I657">
        <v>2018</v>
      </c>
      <c r="J657">
        <v>25</v>
      </c>
      <c r="K657">
        <v>90</v>
      </c>
      <c r="M657" t="s">
        <v>247</v>
      </c>
      <c r="O657" t="s">
        <v>40</v>
      </c>
      <c r="P657" t="s">
        <v>672</v>
      </c>
      <c r="R657" t="s">
        <v>920</v>
      </c>
      <c r="S657" t="s">
        <v>949</v>
      </c>
      <c r="U657" t="s">
        <v>252</v>
      </c>
      <c r="V657">
        <v>1</v>
      </c>
      <c r="Z657" t="s">
        <v>36</v>
      </c>
    </row>
    <row r="658" spans="1:26" hidden="1" x14ac:dyDescent="0.2">
      <c r="A658" s="3">
        <v>43215</v>
      </c>
      <c r="D658" s="5">
        <v>0.87430555555555556</v>
      </c>
      <c r="E658">
        <v>-76.714805555555557</v>
      </c>
      <c r="F658">
        <v>3.487130555555555</v>
      </c>
      <c r="G658">
        <v>1887</v>
      </c>
      <c r="H658">
        <v>1.2</v>
      </c>
      <c r="I658">
        <v>2018</v>
      </c>
      <c r="J658">
        <v>18</v>
      </c>
      <c r="K658">
        <v>90</v>
      </c>
      <c r="M658" t="s">
        <v>247</v>
      </c>
      <c r="O658" t="s">
        <v>40</v>
      </c>
      <c r="P658" t="s">
        <v>672</v>
      </c>
      <c r="R658" t="s">
        <v>920</v>
      </c>
      <c r="S658" t="s">
        <v>949</v>
      </c>
      <c r="U658" t="s">
        <v>238</v>
      </c>
      <c r="V658">
        <v>1</v>
      </c>
      <c r="Z658" t="s">
        <v>36</v>
      </c>
    </row>
    <row r="659" spans="1:26" hidden="1" x14ac:dyDescent="0.2">
      <c r="A659" s="3">
        <v>43215</v>
      </c>
      <c r="D659" s="5">
        <v>0.87986111111111109</v>
      </c>
      <c r="E659">
        <v>-76.714777777777783</v>
      </c>
      <c r="F659">
        <v>3.487083333333334</v>
      </c>
      <c r="G659">
        <v>1880</v>
      </c>
      <c r="H659">
        <v>1</v>
      </c>
      <c r="I659">
        <v>2018</v>
      </c>
      <c r="J659">
        <v>10</v>
      </c>
      <c r="K659">
        <v>30</v>
      </c>
      <c r="M659" t="s">
        <v>247</v>
      </c>
      <c r="O659" t="s">
        <v>40</v>
      </c>
      <c r="P659" t="s">
        <v>672</v>
      </c>
      <c r="R659" t="s">
        <v>920</v>
      </c>
      <c r="S659" t="s">
        <v>956</v>
      </c>
      <c r="U659" t="s">
        <v>36</v>
      </c>
      <c r="V659">
        <v>0</v>
      </c>
      <c r="Z659" t="s">
        <v>36</v>
      </c>
    </row>
    <row r="660" spans="1:26" hidden="1" x14ac:dyDescent="0.2">
      <c r="A660" s="3">
        <v>43438</v>
      </c>
      <c r="D660" s="5">
        <v>0.86111111111111116</v>
      </c>
      <c r="E660">
        <v>-76.878611111111098</v>
      </c>
      <c r="F660">
        <v>3.543305555555555</v>
      </c>
      <c r="G660">
        <v>496</v>
      </c>
      <c r="H660">
        <v>6</v>
      </c>
      <c r="I660">
        <v>2018</v>
      </c>
      <c r="J660">
        <v>20</v>
      </c>
      <c r="K660">
        <v>40</v>
      </c>
      <c r="M660" t="s">
        <v>30</v>
      </c>
      <c r="O660" t="s">
        <v>32</v>
      </c>
      <c r="P660" t="s">
        <v>111</v>
      </c>
      <c r="R660" t="s">
        <v>920</v>
      </c>
      <c r="S660" t="s">
        <v>951</v>
      </c>
      <c r="U660" t="s">
        <v>461</v>
      </c>
      <c r="V660">
        <v>1</v>
      </c>
      <c r="Z660" t="s">
        <v>36</v>
      </c>
    </row>
    <row r="661" spans="1:26" hidden="1" x14ac:dyDescent="0.2">
      <c r="A661" s="3">
        <v>43438</v>
      </c>
      <c r="D661" s="5">
        <v>0.84027777777777779</v>
      </c>
      <c r="E661">
        <v>-76.878499999999988</v>
      </c>
      <c r="F661">
        <v>3.5437500000000002</v>
      </c>
      <c r="G661">
        <v>495</v>
      </c>
      <c r="H661">
        <v>4</v>
      </c>
      <c r="I661">
        <v>2018</v>
      </c>
      <c r="J661">
        <v>6</v>
      </c>
      <c r="K661">
        <v>10</v>
      </c>
      <c r="M661" t="s">
        <v>30</v>
      </c>
      <c r="O661" t="s">
        <v>32</v>
      </c>
      <c r="P661" t="s">
        <v>111</v>
      </c>
      <c r="R661" t="s">
        <v>920</v>
      </c>
      <c r="S661" t="s">
        <v>950</v>
      </c>
      <c r="U661" t="s">
        <v>75</v>
      </c>
      <c r="V661">
        <v>1</v>
      </c>
      <c r="Z661" t="s">
        <v>36</v>
      </c>
    </row>
    <row r="662" spans="1:26" hidden="1" x14ac:dyDescent="0.2">
      <c r="A662" s="3">
        <v>43438</v>
      </c>
      <c r="D662" s="5">
        <v>0.91874999999999996</v>
      </c>
      <c r="E662">
        <v>-76.881583333333325</v>
      </c>
      <c r="F662">
        <v>3.5525277777777782</v>
      </c>
      <c r="G662">
        <v>511</v>
      </c>
      <c r="I662">
        <v>2018</v>
      </c>
      <c r="J662">
        <v>6</v>
      </c>
      <c r="K662">
        <v>10</v>
      </c>
      <c r="M662" t="s">
        <v>30</v>
      </c>
      <c r="O662" t="s">
        <v>32</v>
      </c>
      <c r="P662" t="s">
        <v>130</v>
      </c>
      <c r="R662" t="s">
        <v>920</v>
      </c>
      <c r="S662" t="s">
        <v>951</v>
      </c>
      <c r="U662" t="s">
        <v>75</v>
      </c>
      <c r="V662">
        <v>1</v>
      </c>
      <c r="Z662" t="s">
        <v>36</v>
      </c>
    </row>
    <row r="663" spans="1:26" hidden="1" x14ac:dyDescent="0.2">
      <c r="A663" s="3">
        <v>43438</v>
      </c>
      <c r="D663" s="5">
        <v>0.93819444444444444</v>
      </c>
      <c r="E663">
        <v>-76.882583333333329</v>
      </c>
      <c r="F663">
        <v>3.5523055555555549</v>
      </c>
      <c r="G663">
        <v>515</v>
      </c>
      <c r="I663">
        <v>2018</v>
      </c>
      <c r="J663">
        <v>3</v>
      </c>
      <c r="K663">
        <v>5</v>
      </c>
      <c r="M663" t="s">
        <v>30</v>
      </c>
      <c r="O663" t="s">
        <v>38</v>
      </c>
      <c r="P663" t="s">
        <v>130</v>
      </c>
      <c r="R663" t="s">
        <v>920</v>
      </c>
      <c r="S663" t="s">
        <v>951</v>
      </c>
      <c r="U663" t="s">
        <v>84</v>
      </c>
      <c r="V663">
        <v>1</v>
      </c>
      <c r="Z663" t="s">
        <v>36</v>
      </c>
    </row>
    <row r="664" spans="1:26" hidden="1" x14ac:dyDescent="0.2">
      <c r="A664" s="3">
        <v>43438</v>
      </c>
      <c r="D664" s="5">
        <v>0.97986111111111107</v>
      </c>
      <c r="E664">
        <v>-76.882583333333329</v>
      </c>
      <c r="F664">
        <v>3.5523055555555549</v>
      </c>
      <c r="G664">
        <v>516</v>
      </c>
      <c r="I664">
        <v>2018</v>
      </c>
      <c r="J664">
        <v>3</v>
      </c>
      <c r="K664">
        <v>5</v>
      </c>
      <c r="M664" t="s">
        <v>30</v>
      </c>
      <c r="O664" t="s">
        <v>38</v>
      </c>
      <c r="P664" t="s">
        <v>130</v>
      </c>
      <c r="R664" t="s">
        <v>920</v>
      </c>
      <c r="S664" t="s">
        <v>951</v>
      </c>
      <c r="U664" t="s">
        <v>461</v>
      </c>
      <c r="V664">
        <v>1</v>
      </c>
      <c r="Z664" t="s">
        <v>36</v>
      </c>
    </row>
    <row r="665" spans="1:26" hidden="1" x14ac:dyDescent="0.2">
      <c r="A665" s="3">
        <v>43438</v>
      </c>
      <c r="D665" s="5">
        <v>0.97986111111111107</v>
      </c>
      <c r="E665">
        <v>-76.882583333333329</v>
      </c>
      <c r="F665">
        <v>3.5523055555555549</v>
      </c>
      <c r="G665">
        <v>517</v>
      </c>
      <c r="I665">
        <v>2018</v>
      </c>
      <c r="J665">
        <v>3</v>
      </c>
      <c r="K665">
        <v>5</v>
      </c>
      <c r="M665" t="s">
        <v>30</v>
      </c>
      <c r="O665" t="s">
        <v>38</v>
      </c>
      <c r="P665" t="s">
        <v>130</v>
      </c>
      <c r="R665" t="s">
        <v>920</v>
      </c>
      <c r="S665" t="s">
        <v>951</v>
      </c>
      <c r="U665" t="s">
        <v>461</v>
      </c>
      <c r="V665">
        <v>1</v>
      </c>
      <c r="Z665" t="s">
        <v>36</v>
      </c>
    </row>
    <row r="666" spans="1:26" hidden="1" x14ac:dyDescent="0.2">
      <c r="A666" s="3">
        <v>43438</v>
      </c>
      <c r="D666" s="5">
        <v>0.97986111111111107</v>
      </c>
      <c r="E666">
        <v>-76.882583333333329</v>
      </c>
      <c r="F666">
        <v>3.5523055555555549</v>
      </c>
      <c r="G666">
        <v>518</v>
      </c>
      <c r="I666">
        <v>2018</v>
      </c>
      <c r="J666">
        <v>3</v>
      </c>
      <c r="K666">
        <v>5</v>
      </c>
      <c r="M666" t="s">
        <v>30</v>
      </c>
      <c r="O666" t="s">
        <v>38</v>
      </c>
      <c r="P666" t="s">
        <v>130</v>
      </c>
      <c r="R666" t="s">
        <v>920</v>
      </c>
      <c r="S666" t="s">
        <v>951</v>
      </c>
      <c r="U666" t="s">
        <v>461</v>
      </c>
      <c r="V666">
        <v>1</v>
      </c>
      <c r="Z666" t="s">
        <v>36</v>
      </c>
    </row>
    <row r="667" spans="1:26" hidden="1" x14ac:dyDescent="0.2">
      <c r="A667" s="3">
        <v>43438</v>
      </c>
      <c r="D667" s="5">
        <v>0.97986111111111107</v>
      </c>
      <c r="E667">
        <v>-76.882583333333329</v>
      </c>
      <c r="F667">
        <v>3.5523055555555549</v>
      </c>
      <c r="G667">
        <v>519</v>
      </c>
      <c r="I667">
        <v>2018</v>
      </c>
      <c r="J667">
        <v>3</v>
      </c>
      <c r="K667">
        <v>5</v>
      </c>
      <c r="M667" t="s">
        <v>30</v>
      </c>
      <c r="O667" t="s">
        <v>38</v>
      </c>
      <c r="P667" t="s">
        <v>130</v>
      </c>
      <c r="R667" t="s">
        <v>920</v>
      </c>
      <c r="S667" t="s">
        <v>951</v>
      </c>
      <c r="U667" t="s">
        <v>461</v>
      </c>
      <c r="V667">
        <v>1</v>
      </c>
      <c r="Z667" t="s">
        <v>36</v>
      </c>
    </row>
    <row r="668" spans="1:26" hidden="1" x14ac:dyDescent="0.2">
      <c r="A668" s="3">
        <v>43438</v>
      </c>
      <c r="D668" s="5">
        <v>0.97986111111111107</v>
      </c>
      <c r="E668">
        <v>-76.882583333333329</v>
      </c>
      <c r="F668">
        <v>3.5523055555555549</v>
      </c>
      <c r="G668">
        <v>520</v>
      </c>
      <c r="I668">
        <v>2018</v>
      </c>
      <c r="J668">
        <v>3</v>
      </c>
      <c r="K668">
        <v>5</v>
      </c>
      <c r="M668" t="s">
        <v>30</v>
      </c>
      <c r="O668" t="s">
        <v>38</v>
      </c>
      <c r="P668" t="s">
        <v>130</v>
      </c>
      <c r="R668" t="s">
        <v>920</v>
      </c>
      <c r="S668" t="s">
        <v>951</v>
      </c>
      <c r="U668" t="s">
        <v>461</v>
      </c>
      <c r="V668">
        <v>1</v>
      </c>
      <c r="Z668" t="s">
        <v>36</v>
      </c>
    </row>
    <row r="669" spans="1:26" hidden="1" x14ac:dyDescent="0.2">
      <c r="A669" s="3">
        <v>43438</v>
      </c>
      <c r="D669" s="5">
        <v>0.97986111111111107</v>
      </c>
      <c r="E669">
        <v>-76.882583333333329</v>
      </c>
      <c r="F669">
        <v>3.5523055555555549</v>
      </c>
      <c r="G669">
        <v>521</v>
      </c>
      <c r="I669">
        <v>2018</v>
      </c>
      <c r="J669">
        <v>3</v>
      </c>
      <c r="K669">
        <v>5</v>
      </c>
      <c r="M669" t="s">
        <v>30</v>
      </c>
      <c r="O669" t="s">
        <v>38</v>
      </c>
      <c r="P669" t="s">
        <v>130</v>
      </c>
      <c r="R669" t="s">
        <v>920</v>
      </c>
      <c r="S669" t="s">
        <v>951</v>
      </c>
      <c r="U669" t="s">
        <v>461</v>
      </c>
      <c r="V669">
        <v>1</v>
      </c>
      <c r="Z669" t="s">
        <v>36</v>
      </c>
    </row>
    <row r="670" spans="1:26" hidden="1" x14ac:dyDescent="0.2">
      <c r="A670" s="3">
        <v>43438</v>
      </c>
      <c r="D670" s="5">
        <v>0.97986111111111107</v>
      </c>
      <c r="E670">
        <v>-76.882583333333329</v>
      </c>
      <c r="F670">
        <v>3.5523055555555549</v>
      </c>
      <c r="G670">
        <v>522</v>
      </c>
      <c r="I670">
        <v>2018</v>
      </c>
      <c r="J670">
        <v>3</v>
      </c>
      <c r="K670">
        <v>5</v>
      </c>
      <c r="M670" t="s">
        <v>30</v>
      </c>
      <c r="O670" t="s">
        <v>38</v>
      </c>
      <c r="P670" t="s">
        <v>130</v>
      </c>
      <c r="R670" t="s">
        <v>920</v>
      </c>
      <c r="S670" t="s">
        <v>951</v>
      </c>
      <c r="U670" t="s">
        <v>461</v>
      </c>
      <c r="V670">
        <v>1</v>
      </c>
      <c r="Z670" t="s">
        <v>36</v>
      </c>
    </row>
    <row r="671" spans="1:26" hidden="1" x14ac:dyDescent="0.2">
      <c r="A671" s="3">
        <v>43438</v>
      </c>
      <c r="D671" s="5">
        <v>0.97986111111111107</v>
      </c>
      <c r="E671">
        <v>-76.882583333333329</v>
      </c>
      <c r="F671">
        <v>3.5523055555555549</v>
      </c>
      <c r="G671">
        <v>523</v>
      </c>
      <c r="I671">
        <v>2018</v>
      </c>
      <c r="J671">
        <v>3</v>
      </c>
      <c r="K671">
        <v>5</v>
      </c>
      <c r="M671" t="s">
        <v>30</v>
      </c>
      <c r="O671" t="s">
        <v>38</v>
      </c>
      <c r="P671" t="s">
        <v>130</v>
      </c>
      <c r="R671" t="s">
        <v>920</v>
      </c>
      <c r="S671" t="s">
        <v>951</v>
      </c>
      <c r="U671" t="s">
        <v>461</v>
      </c>
      <c r="V671">
        <v>1</v>
      </c>
      <c r="Z671" t="s">
        <v>36</v>
      </c>
    </row>
    <row r="672" spans="1:26" hidden="1" x14ac:dyDescent="0.2">
      <c r="A672" s="3">
        <v>43438</v>
      </c>
      <c r="D672" s="5">
        <v>0.97986111111111107</v>
      </c>
      <c r="E672">
        <v>-76.882583333333329</v>
      </c>
      <c r="F672">
        <v>3.5523055555555549</v>
      </c>
      <c r="G672">
        <v>524</v>
      </c>
      <c r="I672">
        <v>2018</v>
      </c>
      <c r="J672">
        <v>3</v>
      </c>
      <c r="K672">
        <v>5</v>
      </c>
      <c r="M672" t="s">
        <v>30</v>
      </c>
      <c r="O672" t="s">
        <v>38</v>
      </c>
      <c r="P672" t="s">
        <v>130</v>
      </c>
      <c r="R672" t="s">
        <v>920</v>
      </c>
      <c r="S672" t="s">
        <v>951</v>
      </c>
      <c r="U672" t="s">
        <v>461</v>
      </c>
      <c r="V672">
        <v>1</v>
      </c>
      <c r="Z672" t="s">
        <v>36</v>
      </c>
    </row>
    <row r="673" spans="1:26" hidden="1" x14ac:dyDescent="0.2">
      <c r="A673" s="3">
        <v>43438</v>
      </c>
      <c r="D673" s="5">
        <v>0.97986111111111107</v>
      </c>
      <c r="E673">
        <v>-76.882583333333329</v>
      </c>
      <c r="F673">
        <v>3.5523055555555549</v>
      </c>
      <c r="G673">
        <v>525</v>
      </c>
      <c r="I673">
        <v>2018</v>
      </c>
      <c r="J673">
        <v>3</v>
      </c>
      <c r="K673">
        <v>5</v>
      </c>
      <c r="M673" t="s">
        <v>30</v>
      </c>
      <c r="O673" t="s">
        <v>38</v>
      </c>
      <c r="P673" t="s">
        <v>130</v>
      </c>
      <c r="R673" t="s">
        <v>920</v>
      </c>
      <c r="S673" t="s">
        <v>951</v>
      </c>
      <c r="U673" t="s">
        <v>461</v>
      </c>
      <c r="V673">
        <v>1</v>
      </c>
      <c r="Z673" t="s">
        <v>36</v>
      </c>
    </row>
    <row r="674" spans="1:26" hidden="1" x14ac:dyDescent="0.2">
      <c r="A674" s="3">
        <v>43438</v>
      </c>
      <c r="D674" s="5">
        <v>0.97986111111111107</v>
      </c>
      <c r="E674">
        <v>-76.882583333333329</v>
      </c>
      <c r="F674">
        <v>3.5523055555555549</v>
      </c>
      <c r="G674">
        <v>526</v>
      </c>
      <c r="I674">
        <v>2018</v>
      </c>
      <c r="J674">
        <v>3</v>
      </c>
      <c r="K674">
        <v>5</v>
      </c>
      <c r="M674" t="s">
        <v>30</v>
      </c>
      <c r="O674" t="s">
        <v>38</v>
      </c>
      <c r="P674" t="s">
        <v>130</v>
      </c>
      <c r="R674" t="s">
        <v>920</v>
      </c>
      <c r="S674" t="s">
        <v>951</v>
      </c>
      <c r="U674" t="s">
        <v>461</v>
      </c>
      <c r="V674">
        <v>1</v>
      </c>
      <c r="Z674" t="s">
        <v>36</v>
      </c>
    </row>
    <row r="675" spans="1:26" hidden="1" x14ac:dyDescent="0.2">
      <c r="A675" s="3">
        <v>43411</v>
      </c>
      <c r="D675" s="5">
        <v>0.79513888888888884</v>
      </c>
      <c r="E675">
        <v>-76.647111111111116</v>
      </c>
      <c r="F675">
        <v>3.3496944444444452</v>
      </c>
      <c r="G675">
        <v>2306</v>
      </c>
      <c r="H675">
        <v>0.5</v>
      </c>
      <c r="I675">
        <v>2018</v>
      </c>
      <c r="J675">
        <v>7</v>
      </c>
      <c r="K675">
        <v>5</v>
      </c>
      <c r="M675" t="s">
        <v>624</v>
      </c>
      <c r="O675" t="s">
        <v>38</v>
      </c>
      <c r="P675" t="s">
        <v>643</v>
      </c>
      <c r="R675" t="s">
        <v>920</v>
      </c>
      <c r="S675" t="s">
        <v>951</v>
      </c>
      <c r="U675" t="s">
        <v>252</v>
      </c>
      <c r="V675">
        <v>1</v>
      </c>
      <c r="W675" t="s">
        <v>1068</v>
      </c>
      <c r="Z675" t="s">
        <v>36</v>
      </c>
    </row>
    <row r="676" spans="1:26" hidden="1" x14ac:dyDescent="0.2">
      <c r="A676" s="3">
        <v>43411</v>
      </c>
      <c r="D676" s="5">
        <v>0.79166666666666663</v>
      </c>
      <c r="E676">
        <v>-76.64466666666668</v>
      </c>
      <c r="F676">
        <v>3.3495833333333329</v>
      </c>
      <c r="G676">
        <v>2305</v>
      </c>
      <c r="H676">
        <v>0.5</v>
      </c>
      <c r="I676">
        <v>2018</v>
      </c>
      <c r="J676">
        <v>7</v>
      </c>
      <c r="K676">
        <v>6</v>
      </c>
      <c r="M676" t="s">
        <v>624</v>
      </c>
      <c r="O676" t="s">
        <v>47</v>
      </c>
      <c r="P676" t="s">
        <v>643</v>
      </c>
      <c r="R676" t="s">
        <v>920</v>
      </c>
      <c r="S676" t="s">
        <v>946</v>
      </c>
      <c r="U676" t="s">
        <v>252</v>
      </c>
      <c r="V676">
        <v>1</v>
      </c>
      <c r="Z676" t="s">
        <v>36</v>
      </c>
    </row>
    <row r="677" spans="1:26" hidden="1" x14ac:dyDescent="0.2">
      <c r="A677" s="3">
        <v>43411</v>
      </c>
      <c r="D677" s="5">
        <v>0.80208333333333337</v>
      </c>
      <c r="E677">
        <v>-76.647055555555568</v>
      </c>
      <c r="F677">
        <v>3.3494166666666669</v>
      </c>
      <c r="G677">
        <v>2302</v>
      </c>
      <c r="H677">
        <v>2</v>
      </c>
      <c r="I677">
        <v>2018</v>
      </c>
      <c r="J677">
        <v>8</v>
      </c>
      <c r="K677">
        <v>15</v>
      </c>
      <c r="M677" t="s">
        <v>624</v>
      </c>
      <c r="O677" t="s">
        <v>38</v>
      </c>
      <c r="P677" t="s">
        <v>643</v>
      </c>
      <c r="R677" t="s">
        <v>920</v>
      </c>
      <c r="S677" t="s">
        <v>946</v>
      </c>
      <c r="U677" t="s">
        <v>238</v>
      </c>
      <c r="V677">
        <v>1</v>
      </c>
      <c r="Z677" t="s">
        <v>36</v>
      </c>
    </row>
    <row r="678" spans="1:26" hidden="1" x14ac:dyDescent="0.2">
      <c r="A678" s="3">
        <v>43411</v>
      </c>
      <c r="D678" s="5">
        <v>0.82152777777777775</v>
      </c>
      <c r="E678">
        <v>-76.647083333333342</v>
      </c>
      <c r="F678">
        <v>3.3488611111111108</v>
      </c>
      <c r="G678">
        <v>2292</v>
      </c>
      <c r="H678">
        <v>0.6</v>
      </c>
      <c r="I678">
        <v>2018</v>
      </c>
      <c r="J678">
        <v>8</v>
      </c>
      <c r="K678">
        <v>25</v>
      </c>
      <c r="M678" t="s">
        <v>624</v>
      </c>
      <c r="O678" t="s">
        <v>32</v>
      </c>
      <c r="P678" t="s">
        <v>643</v>
      </c>
      <c r="R678" t="s">
        <v>920</v>
      </c>
      <c r="S678" t="s">
        <v>951</v>
      </c>
      <c r="U678" t="s">
        <v>238</v>
      </c>
      <c r="V678">
        <v>1</v>
      </c>
      <c r="Z678" t="s">
        <v>36</v>
      </c>
    </row>
    <row r="679" spans="1:26" hidden="1" x14ac:dyDescent="0.2">
      <c r="A679" s="3">
        <v>43411</v>
      </c>
      <c r="D679" s="5">
        <v>0.86875000000000002</v>
      </c>
      <c r="E679">
        <v>-76.644361111111124</v>
      </c>
      <c r="F679">
        <v>3.3495277777777779</v>
      </c>
      <c r="G679">
        <v>2339</v>
      </c>
      <c r="I679">
        <v>2018</v>
      </c>
      <c r="J679">
        <v>10</v>
      </c>
      <c r="K679">
        <v>15</v>
      </c>
      <c r="M679" t="s">
        <v>624</v>
      </c>
      <c r="O679" t="s">
        <v>32</v>
      </c>
      <c r="P679" t="s">
        <v>625</v>
      </c>
      <c r="R679" t="s">
        <v>919</v>
      </c>
      <c r="S679" t="s">
        <v>951</v>
      </c>
      <c r="U679" t="s">
        <v>929</v>
      </c>
      <c r="V679">
        <v>1</v>
      </c>
      <c r="Z679" t="s">
        <v>36</v>
      </c>
    </row>
    <row r="680" spans="1:26" hidden="1" x14ac:dyDescent="0.2">
      <c r="A680" s="3">
        <v>43411</v>
      </c>
      <c r="D680" s="5">
        <v>0.86875000000000002</v>
      </c>
      <c r="E680">
        <v>-76.644361111111124</v>
      </c>
      <c r="F680">
        <v>3.3495277777777779</v>
      </c>
      <c r="G680">
        <v>2339</v>
      </c>
      <c r="I680">
        <v>2018</v>
      </c>
      <c r="J680">
        <v>10</v>
      </c>
      <c r="K680">
        <v>15</v>
      </c>
      <c r="M680" t="s">
        <v>624</v>
      </c>
      <c r="O680" t="s">
        <v>32</v>
      </c>
      <c r="P680" t="s">
        <v>625</v>
      </c>
      <c r="R680" t="s">
        <v>919</v>
      </c>
      <c r="S680" t="s">
        <v>959</v>
      </c>
      <c r="U680" t="s">
        <v>238</v>
      </c>
      <c r="V680">
        <v>1</v>
      </c>
      <c r="Z680" t="s">
        <v>36</v>
      </c>
    </row>
    <row r="681" spans="1:26" hidden="1" x14ac:dyDescent="0.2">
      <c r="A681" s="3">
        <v>43411</v>
      </c>
      <c r="D681" s="5">
        <v>0.86875000000000002</v>
      </c>
      <c r="E681">
        <v>-76.644361111111124</v>
      </c>
      <c r="F681">
        <v>3.3495277777777779</v>
      </c>
      <c r="G681">
        <v>2339</v>
      </c>
      <c r="I681">
        <v>2018</v>
      </c>
      <c r="J681">
        <v>10</v>
      </c>
      <c r="K681">
        <v>15</v>
      </c>
      <c r="M681" t="s">
        <v>624</v>
      </c>
      <c r="O681" t="s">
        <v>32</v>
      </c>
      <c r="P681" t="s">
        <v>625</v>
      </c>
      <c r="R681" t="s">
        <v>919</v>
      </c>
      <c r="S681" t="s">
        <v>959</v>
      </c>
      <c r="U681" t="s">
        <v>238</v>
      </c>
      <c r="V681">
        <v>1</v>
      </c>
      <c r="Z681" t="s">
        <v>36</v>
      </c>
    </row>
    <row r="682" spans="1:26" hidden="1" x14ac:dyDescent="0.2">
      <c r="A682" s="3">
        <v>43411</v>
      </c>
      <c r="D682" s="5">
        <v>0.87013888888888891</v>
      </c>
      <c r="E682">
        <v>-76.644361111111124</v>
      </c>
      <c r="F682">
        <v>3.3495277777777779</v>
      </c>
      <c r="G682">
        <v>2339</v>
      </c>
      <c r="I682">
        <v>2018</v>
      </c>
      <c r="J682">
        <v>10</v>
      </c>
      <c r="K682">
        <v>15</v>
      </c>
      <c r="M682" t="s">
        <v>624</v>
      </c>
      <c r="O682" t="s">
        <v>32</v>
      </c>
      <c r="P682" t="s">
        <v>625</v>
      </c>
      <c r="R682" t="s">
        <v>919</v>
      </c>
      <c r="S682" t="s">
        <v>951</v>
      </c>
      <c r="U682" t="s">
        <v>238</v>
      </c>
      <c r="V682">
        <v>1</v>
      </c>
      <c r="Z682" t="s">
        <v>36</v>
      </c>
    </row>
    <row r="683" spans="1:26" hidden="1" x14ac:dyDescent="0.2">
      <c r="A683" s="3">
        <v>43411</v>
      </c>
      <c r="D683" s="5">
        <v>0.87777777777777777</v>
      </c>
      <c r="E683">
        <v>-76.644222222222226</v>
      </c>
      <c r="F683">
        <v>3.3496111111111109</v>
      </c>
      <c r="G683">
        <v>2339</v>
      </c>
      <c r="I683">
        <v>2018</v>
      </c>
      <c r="J683">
        <v>30</v>
      </c>
      <c r="K683">
        <v>25</v>
      </c>
      <c r="M683" t="s">
        <v>624</v>
      </c>
      <c r="O683" t="s">
        <v>32</v>
      </c>
      <c r="P683" t="s">
        <v>625</v>
      </c>
      <c r="R683" t="s">
        <v>919</v>
      </c>
      <c r="S683" t="s">
        <v>951</v>
      </c>
      <c r="U683" t="s">
        <v>238</v>
      </c>
      <c r="V683">
        <v>1</v>
      </c>
      <c r="Z683" t="s">
        <v>36</v>
      </c>
    </row>
    <row r="684" spans="1:26" hidden="1" x14ac:dyDescent="0.2">
      <c r="A684" s="3">
        <v>43411</v>
      </c>
      <c r="D684" s="5">
        <v>0.88402777777777775</v>
      </c>
      <c r="E684">
        <v>-76.644027777777779</v>
      </c>
      <c r="F684">
        <v>3.3495555555555558</v>
      </c>
      <c r="G684">
        <v>2339</v>
      </c>
      <c r="I684">
        <v>2018</v>
      </c>
      <c r="J684">
        <v>25</v>
      </c>
      <c r="K684">
        <v>60</v>
      </c>
      <c r="M684" t="s">
        <v>624</v>
      </c>
      <c r="O684" t="s">
        <v>32</v>
      </c>
      <c r="P684" t="s">
        <v>625</v>
      </c>
      <c r="R684" t="s">
        <v>919</v>
      </c>
      <c r="S684" t="s">
        <v>951</v>
      </c>
      <c r="U684" t="s">
        <v>238</v>
      </c>
      <c r="V684">
        <v>1</v>
      </c>
      <c r="Z684" t="s">
        <v>36</v>
      </c>
    </row>
    <row r="685" spans="1:26" hidden="1" x14ac:dyDescent="0.2">
      <c r="A685" s="3">
        <v>43411</v>
      </c>
      <c r="D685" s="5">
        <v>0.87152777777777779</v>
      </c>
      <c r="E685">
        <v>-76.644305555555562</v>
      </c>
      <c r="F685">
        <v>3.3495555555555558</v>
      </c>
      <c r="G685">
        <v>2339</v>
      </c>
      <c r="I685">
        <v>2018</v>
      </c>
      <c r="J685">
        <v>25</v>
      </c>
      <c r="K685">
        <v>15</v>
      </c>
      <c r="M685" t="s">
        <v>624</v>
      </c>
      <c r="O685" t="s">
        <v>32</v>
      </c>
      <c r="P685" t="s">
        <v>625</v>
      </c>
      <c r="R685" t="s">
        <v>919</v>
      </c>
      <c r="S685" t="s">
        <v>946</v>
      </c>
      <c r="U685" t="s">
        <v>238</v>
      </c>
      <c r="V685">
        <v>1</v>
      </c>
      <c r="Z685" t="s">
        <v>36</v>
      </c>
    </row>
    <row r="686" spans="1:26" hidden="1" x14ac:dyDescent="0.2">
      <c r="A686" s="3">
        <v>43411</v>
      </c>
      <c r="D686" s="5">
        <v>0.91111111111111109</v>
      </c>
      <c r="E686">
        <v>-76.643111111111111</v>
      </c>
      <c r="F686">
        <v>3.3495555555555558</v>
      </c>
      <c r="G686">
        <v>2315</v>
      </c>
      <c r="I686">
        <v>2018</v>
      </c>
      <c r="J686">
        <v>25</v>
      </c>
      <c r="K686">
        <v>35</v>
      </c>
      <c r="M686" t="s">
        <v>624</v>
      </c>
      <c r="O686" t="s">
        <v>38</v>
      </c>
      <c r="P686" t="s">
        <v>625</v>
      </c>
      <c r="R686" t="s">
        <v>919</v>
      </c>
      <c r="S686" t="s">
        <v>951</v>
      </c>
      <c r="U686" t="s">
        <v>915</v>
      </c>
      <c r="V686">
        <v>1</v>
      </c>
      <c r="Z686" t="s">
        <v>36</v>
      </c>
    </row>
    <row r="687" spans="1:26" hidden="1" x14ac:dyDescent="0.2">
      <c r="A687" s="3">
        <v>43411</v>
      </c>
      <c r="D687" s="5">
        <v>0.9243055555555556</v>
      </c>
      <c r="E687">
        <v>-76.643055555555563</v>
      </c>
      <c r="F687">
        <v>3.3496944444444452</v>
      </c>
      <c r="G687">
        <v>2312</v>
      </c>
      <c r="I687">
        <v>2018</v>
      </c>
      <c r="J687">
        <v>30</v>
      </c>
      <c r="K687">
        <v>45</v>
      </c>
      <c r="M687" t="s">
        <v>624</v>
      </c>
      <c r="O687" t="s">
        <v>38</v>
      </c>
      <c r="P687" t="s">
        <v>625</v>
      </c>
      <c r="R687" t="s">
        <v>919</v>
      </c>
      <c r="S687" t="s">
        <v>950</v>
      </c>
      <c r="U687" t="s">
        <v>238</v>
      </c>
      <c r="V687">
        <v>1</v>
      </c>
      <c r="Z687" t="s">
        <v>36</v>
      </c>
    </row>
    <row r="688" spans="1:26" hidden="1" x14ac:dyDescent="0.2">
      <c r="A688" s="3">
        <v>43411</v>
      </c>
      <c r="D688" s="5">
        <v>0.91041666666666665</v>
      </c>
      <c r="E688">
        <v>-76.643111111111111</v>
      </c>
      <c r="F688">
        <v>3.348444444444445</v>
      </c>
      <c r="G688">
        <v>2315</v>
      </c>
      <c r="I688">
        <v>2018</v>
      </c>
      <c r="J688">
        <v>25</v>
      </c>
      <c r="K688">
        <v>35</v>
      </c>
      <c r="M688" t="s">
        <v>624</v>
      </c>
      <c r="O688" t="s">
        <v>38</v>
      </c>
      <c r="P688" t="s">
        <v>625</v>
      </c>
      <c r="R688" t="s">
        <v>919</v>
      </c>
      <c r="S688" t="s">
        <v>950</v>
      </c>
      <c r="U688" t="s">
        <v>238</v>
      </c>
      <c r="V688">
        <v>1</v>
      </c>
      <c r="Z688" t="s">
        <v>36</v>
      </c>
    </row>
    <row r="689" spans="1:26" hidden="1" x14ac:dyDescent="0.2">
      <c r="A689" s="3">
        <v>43412</v>
      </c>
      <c r="D689" s="5">
        <v>0.79027777777777775</v>
      </c>
      <c r="E689">
        <v>-76.656194444444452</v>
      </c>
      <c r="F689">
        <v>3.3552222222222219</v>
      </c>
      <c r="G689">
        <v>2448</v>
      </c>
      <c r="H689">
        <v>1</v>
      </c>
      <c r="I689">
        <v>2018</v>
      </c>
      <c r="J689">
        <v>20</v>
      </c>
      <c r="K689">
        <v>25</v>
      </c>
      <c r="M689" t="s">
        <v>624</v>
      </c>
      <c r="O689" t="s">
        <v>40</v>
      </c>
      <c r="P689" t="s">
        <v>720</v>
      </c>
      <c r="R689" t="s">
        <v>920</v>
      </c>
      <c r="S689" t="s">
        <v>951</v>
      </c>
      <c r="U689" t="s">
        <v>915</v>
      </c>
      <c r="V689">
        <v>1</v>
      </c>
      <c r="Z689" t="s">
        <v>36</v>
      </c>
    </row>
    <row r="690" spans="1:26" hidden="1" x14ac:dyDescent="0.2">
      <c r="A690" s="3">
        <v>43412</v>
      </c>
      <c r="D690" s="5">
        <v>0.82499999999999996</v>
      </c>
      <c r="E690">
        <v>-76.65613888888889</v>
      </c>
      <c r="F690">
        <v>3.354805555555556</v>
      </c>
      <c r="G690">
        <v>2450</v>
      </c>
      <c r="I690">
        <v>2018</v>
      </c>
      <c r="J690">
        <v>25</v>
      </c>
      <c r="K690">
        <v>45</v>
      </c>
      <c r="M690" t="s">
        <v>624</v>
      </c>
      <c r="O690" t="s">
        <v>38</v>
      </c>
      <c r="P690" t="s">
        <v>720</v>
      </c>
      <c r="R690" t="s">
        <v>919</v>
      </c>
      <c r="S690" t="s">
        <v>951</v>
      </c>
      <c r="U690" t="s">
        <v>238</v>
      </c>
      <c r="V690">
        <v>1</v>
      </c>
      <c r="Z690" t="s">
        <v>36</v>
      </c>
    </row>
    <row r="691" spans="1:26" hidden="1" x14ac:dyDescent="0.2">
      <c r="A691" s="3">
        <v>43412</v>
      </c>
      <c r="D691" s="5">
        <v>0.83263888888888893</v>
      </c>
      <c r="E691">
        <v>-76.656000000000006</v>
      </c>
      <c r="F691">
        <v>3.3547777777777781</v>
      </c>
      <c r="G691">
        <v>2451</v>
      </c>
      <c r="I691">
        <v>2018</v>
      </c>
      <c r="J691">
        <v>30</v>
      </c>
      <c r="K691">
        <v>80</v>
      </c>
      <c r="M691" t="s">
        <v>624</v>
      </c>
      <c r="O691" t="s">
        <v>38</v>
      </c>
      <c r="P691" t="s">
        <v>720</v>
      </c>
      <c r="R691" t="s">
        <v>919</v>
      </c>
      <c r="S691" t="s">
        <v>950</v>
      </c>
      <c r="U691" t="s">
        <v>252</v>
      </c>
      <c r="V691">
        <v>1</v>
      </c>
      <c r="Z691" t="s">
        <v>36</v>
      </c>
    </row>
    <row r="692" spans="1:26" hidden="1" x14ac:dyDescent="0.2">
      <c r="A692" s="3">
        <v>43412</v>
      </c>
      <c r="D692" s="5">
        <v>0.83333333333333337</v>
      </c>
      <c r="E692">
        <v>-76.656000000000006</v>
      </c>
      <c r="F692">
        <v>3.3547777777777781</v>
      </c>
      <c r="G692">
        <v>2451</v>
      </c>
      <c r="I692">
        <v>2018</v>
      </c>
      <c r="J692">
        <v>30</v>
      </c>
      <c r="M692" t="s">
        <v>624</v>
      </c>
      <c r="O692" t="s">
        <v>38</v>
      </c>
      <c r="P692" t="s">
        <v>720</v>
      </c>
      <c r="R692" t="s">
        <v>919</v>
      </c>
      <c r="S692" t="s">
        <v>951</v>
      </c>
      <c r="U692" t="s">
        <v>238</v>
      </c>
      <c r="V692">
        <v>1</v>
      </c>
      <c r="W692" t="s">
        <v>49</v>
      </c>
      <c r="Z692" t="s">
        <v>36</v>
      </c>
    </row>
    <row r="693" spans="1:26" hidden="1" x14ac:dyDescent="0.2">
      <c r="A693" s="3">
        <v>43412</v>
      </c>
      <c r="D693" s="5">
        <v>0.83888888888888891</v>
      </c>
      <c r="E693">
        <v>-76.65580555555556</v>
      </c>
      <c r="F693">
        <v>3.3545833333333328</v>
      </c>
      <c r="G693">
        <v>2449</v>
      </c>
      <c r="I693">
        <v>2018</v>
      </c>
      <c r="J693">
        <v>20</v>
      </c>
      <c r="K693">
        <v>75</v>
      </c>
      <c r="M693" t="s">
        <v>624</v>
      </c>
      <c r="O693" t="s">
        <v>38</v>
      </c>
      <c r="P693" t="s">
        <v>720</v>
      </c>
      <c r="R693" t="s">
        <v>919</v>
      </c>
      <c r="S693" t="s">
        <v>951</v>
      </c>
      <c r="U693" t="s">
        <v>252</v>
      </c>
      <c r="V693">
        <v>1</v>
      </c>
      <c r="Z693" t="s">
        <v>36</v>
      </c>
    </row>
    <row r="694" spans="1:26" hidden="1" x14ac:dyDescent="0.2">
      <c r="A694" s="3">
        <v>43412</v>
      </c>
      <c r="D694" s="5">
        <v>0.87777777777777777</v>
      </c>
      <c r="E694">
        <v>-76.655166666666673</v>
      </c>
      <c r="F694">
        <v>3.3539444444444451</v>
      </c>
      <c r="G694">
        <v>2445</v>
      </c>
      <c r="I694">
        <v>2018</v>
      </c>
      <c r="J694">
        <v>20</v>
      </c>
      <c r="K694">
        <v>30</v>
      </c>
      <c r="M694" t="s">
        <v>624</v>
      </c>
      <c r="O694" t="s">
        <v>32</v>
      </c>
      <c r="P694" t="s">
        <v>720</v>
      </c>
      <c r="R694" t="s">
        <v>919</v>
      </c>
      <c r="S694" t="s">
        <v>951</v>
      </c>
      <c r="U694" t="s">
        <v>238</v>
      </c>
      <c r="V694">
        <v>1</v>
      </c>
      <c r="Z694" t="s">
        <v>36</v>
      </c>
    </row>
    <row r="695" spans="1:26" hidden="1" x14ac:dyDescent="0.2">
      <c r="A695" s="3">
        <v>43412</v>
      </c>
      <c r="D695" s="5">
        <v>0.88194444444444442</v>
      </c>
      <c r="E695">
        <v>-76.655027777777789</v>
      </c>
      <c r="F695">
        <v>3.3538888888888891</v>
      </c>
      <c r="G695">
        <v>2445</v>
      </c>
      <c r="I695">
        <v>2018</v>
      </c>
      <c r="J695">
        <v>20</v>
      </c>
      <c r="K695">
        <v>30</v>
      </c>
      <c r="M695" t="s">
        <v>624</v>
      </c>
      <c r="O695" t="s">
        <v>32</v>
      </c>
      <c r="P695" t="s">
        <v>720</v>
      </c>
      <c r="R695" t="s">
        <v>919</v>
      </c>
      <c r="S695" t="s">
        <v>951</v>
      </c>
      <c r="U695" t="s">
        <v>723</v>
      </c>
      <c r="V695">
        <v>1</v>
      </c>
      <c r="Z695" t="s">
        <v>36</v>
      </c>
    </row>
    <row r="696" spans="1:26" hidden="1" x14ac:dyDescent="0.2">
      <c r="A696" s="3">
        <v>43412</v>
      </c>
      <c r="D696" s="5">
        <v>0.88749999999999996</v>
      </c>
      <c r="E696">
        <v>-76.654972222222227</v>
      </c>
      <c r="F696">
        <v>3.356611111111111</v>
      </c>
      <c r="G696">
        <v>2443</v>
      </c>
      <c r="I696">
        <v>2018</v>
      </c>
      <c r="J696">
        <v>25</v>
      </c>
      <c r="K696">
        <v>20</v>
      </c>
      <c r="M696" t="s">
        <v>624</v>
      </c>
      <c r="O696" t="s">
        <v>47</v>
      </c>
      <c r="P696" t="s">
        <v>720</v>
      </c>
      <c r="R696" t="s">
        <v>919</v>
      </c>
      <c r="S696" t="s">
        <v>950</v>
      </c>
      <c r="U696" t="s">
        <v>925</v>
      </c>
      <c r="V696">
        <v>1</v>
      </c>
      <c r="Z696" t="s">
        <v>36</v>
      </c>
    </row>
    <row r="697" spans="1:26" hidden="1" x14ac:dyDescent="0.2">
      <c r="A697" s="3">
        <v>43412</v>
      </c>
      <c r="D697" s="5">
        <v>0.875</v>
      </c>
      <c r="E697">
        <v>-76.655027777777789</v>
      </c>
      <c r="F697">
        <v>3.3538888888888891</v>
      </c>
      <c r="G697">
        <v>2445</v>
      </c>
      <c r="I697">
        <v>2018</v>
      </c>
      <c r="J697">
        <v>20</v>
      </c>
      <c r="K697">
        <v>30</v>
      </c>
      <c r="M697" t="s">
        <v>624</v>
      </c>
      <c r="O697" t="s">
        <v>32</v>
      </c>
      <c r="P697" t="s">
        <v>720</v>
      </c>
      <c r="R697" t="s">
        <v>919</v>
      </c>
      <c r="S697" t="s">
        <v>946</v>
      </c>
      <c r="U697" t="s">
        <v>252</v>
      </c>
      <c r="V697">
        <v>1</v>
      </c>
      <c r="Z697" t="s">
        <v>36</v>
      </c>
    </row>
    <row r="698" spans="1:26" hidden="1" x14ac:dyDescent="0.2">
      <c r="A698" s="3">
        <v>43412</v>
      </c>
      <c r="D698" s="5">
        <v>0.90763888888888888</v>
      </c>
      <c r="E698">
        <v>-76.653000000000006</v>
      </c>
      <c r="F698">
        <v>3.353388888888889</v>
      </c>
      <c r="G698">
        <v>2414</v>
      </c>
      <c r="I698">
        <v>2018</v>
      </c>
      <c r="M698" t="s">
        <v>624</v>
      </c>
      <c r="O698" t="s">
        <v>58</v>
      </c>
      <c r="P698" t="s">
        <v>690</v>
      </c>
      <c r="R698" t="s">
        <v>919</v>
      </c>
      <c r="U698" t="s">
        <v>36</v>
      </c>
      <c r="V698">
        <v>0</v>
      </c>
      <c r="Z698" t="s">
        <v>36</v>
      </c>
    </row>
    <row r="699" spans="1:26" hidden="1" x14ac:dyDescent="0.2">
      <c r="A699" s="3">
        <v>43412</v>
      </c>
      <c r="D699" s="5">
        <v>0.90763888888888888</v>
      </c>
      <c r="E699">
        <v>-76.653000000000006</v>
      </c>
      <c r="F699">
        <v>3.353388888888889</v>
      </c>
      <c r="G699">
        <v>2414</v>
      </c>
      <c r="I699">
        <v>2018</v>
      </c>
      <c r="M699" t="s">
        <v>624</v>
      </c>
      <c r="O699" t="s">
        <v>58</v>
      </c>
      <c r="P699" t="s">
        <v>690</v>
      </c>
      <c r="R699" t="s">
        <v>919</v>
      </c>
      <c r="U699" t="s">
        <v>36</v>
      </c>
      <c r="V699">
        <v>0</v>
      </c>
      <c r="Z699" t="s">
        <v>36</v>
      </c>
    </row>
    <row r="700" spans="1:26" hidden="1" x14ac:dyDescent="0.2">
      <c r="A700" s="3">
        <v>43233</v>
      </c>
      <c r="D700" s="5">
        <v>0.88680555555555551</v>
      </c>
      <c r="E700">
        <v>-76.690633333333338</v>
      </c>
      <c r="F700">
        <v>3.4063583333333329</v>
      </c>
      <c r="G700">
        <v>3425</v>
      </c>
      <c r="I700">
        <v>2018</v>
      </c>
      <c r="J700">
        <v>1.5</v>
      </c>
      <c r="K700">
        <v>5</v>
      </c>
      <c r="M700" t="s">
        <v>916</v>
      </c>
      <c r="O700" t="s">
        <v>47</v>
      </c>
      <c r="P700" t="s">
        <v>1152</v>
      </c>
      <c r="R700" t="s">
        <v>258</v>
      </c>
      <c r="S700" t="s">
        <v>946</v>
      </c>
      <c r="U700" t="s">
        <v>924</v>
      </c>
      <c r="V700">
        <v>1</v>
      </c>
      <c r="Z700" t="s">
        <v>36</v>
      </c>
    </row>
    <row r="701" spans="1:26" hidden="1" x14ac:dyDescent="0.2">
      <c r="A701" s="3">
        <v>43233</v>
      </c>
      <c r="D701" s="5">
        <v>0.89444444444444449</v>
      </c>
      <c r="E701">
        <v>-76.690638888888898</v>
      </c>
      <c r="F701">
        <v>3.4063555555555549</v>
      </c>
      <c r="G701">
        <v>3425</v>
      </c>
      <c r="I701">
        <v>2018</v>
      </c>
      <c r="J701">
        <v>1.5</v>
      </c>
      <c r="K701">
        <v>60</v>
      </c>
      <c r="M701" t="s">
        <v>916</v>
      </c>
      <c r="O701" t="s">
        <v>47</v>
      </c>
      <c r="P701" t="s">
        <v>1152</v>
      </c>
      <c r="R701" t="s">
        <v>258</v>
      </c>
      <c r="S701" t="s">
        <v>956</v>
      </c>
      <c r="U701" t="s">
        <v>925</v>
      </c>
      <c r="V701">
        <v>1</v>
      </c>
      <c r="W701" t="s">
        <v>1069</v>
      </c>
      <c r="Z701" t="s">
        <v>36</v>
      </c>
    </row>
    <row r="702" spans="1:26" hidden="1" x14ac:dyDescent="0.2">
      <c r="A702" s="3">
        <v>43438</v>
      </c>
      <c r="D702" s="5">
        <v>0.97986111111111107</v>
      </c>
      <c r="E702">
        <v>-76.882583333333329</v>
      </c>
      <c r="F702">
        <v>3.5523055555555549</v>
      </c>
      <c r="G702">
        <v>527</v>
      </c>
      <c r="I702">
        <v>2018</v>
      </c>
      <c r="J702">
        <v>3</v>
      </c>
      <c r="K702">
        <v>5</v>
      </c>
      <c r="M702" t="s">
        <v>30</v>
      </c>
      <c r="O702" t="s">
        <v>38</v>
      </c>
      <c r="P702" t="s">
        <v>130</v>
      </c>
      <c r="R702" t="s">
        <v>920</v>
      </c>
      <c r="S702" t="s">
        <v>951</v>
      </c>
      <c r="U702" t="s">
        <v>461</v>
      </c>
      <c r="V702">
        <v>1</v>
      </c>
      <c r="Z702" t="s">
        <v>36</v>
      </c>
    </row>
    <row r="703" spans="1:26" hidden="1" x14ac:dyDescent="0.2">
      <c r="A703" s="3">
        <v>43438</v>
      </c>
      <c r="D703" s="5">
        <v>0.97986111111111107</v>
      </c>
      <c r="E703">
        <v>-76.882583333333329</v>
      </c>
      <c r="F703">
        <v>3.5523055555555549</v>
      </c>
      <c r="G703">
        <v>528</v>
      </c>
      <c r="I703">
        <v>2018</v>
      </c>
      <c r="J703">
        <v>3</v>
      </c>
      <c r="K703">
        <v>5</v>
      </c>
      <c r="M703" t="s">
        <v>30</v>
      </c>
      <c r="O703" t="s">
        <v>38</v>
      </c>
      <c r="P703" t="s">
        <v>130</v>
      </c>
      <c r="R703" t="s">
        <v>920</v>
      </c>
      <c r="S703" t="s">
        <v>951</v>
      </c>
      <c r="U703" t="s">
        <v>461</v>
      </c>
      <c r="V703">
        <v>1</v>
      </c>
      <c r="Z703" t="s">
        <v>36</v>
      </c>
    </row>
    <row r="704" spans="1:26" hidden="1" x14ac:dyDescent="0.2">
      <c r="A704" s="3">
        <v>43438</v>
      </c>
      <c r="D704" s="5">
        <v>0.97986111111111107</v>
      </c>
      <c r="E704">
        <v>-76.882583333333329</v>
      </c>
      <c r="F704">
        <v>3.5523055555555549</v>
      </c>
      <c r="G704">
        <v>529</v>
      </c>
      <c r="I704">
        <v>2018</v>
      </c>
      <c r="J704">
        <v>3</v>
      </c>
      <c r="K704">
        <v>5</v>
      </c>
      <c r="M704" t="s">
        <v>30</v>
      </c>
      <c r="O704" t="s">
        <v>38</v>
      </c>
      <c r="P704" t="s">
        <v>130</v>
      </c>
      <c r="R704" t="s">
        <v>920</v>
      </c>
      <c r="S704" t="s">
        <v>951</v>
      </c>
      <c r="U704" t="s">
        <v>461</v>
      </c>
      <c r="V704">
        <v>1</v>
      </c>
      <c r="Z704" t="s">
        <v>36</v>
      </c>
    </row>
    <row r="705" spans="1:26" hidden="1" x14ac:dyDescent="0.2">
      <c r="A705" s="3">
        <v>43438</v>
      </c>
      <c r="D705" s="5">
        <v>0.97986111111111107</v>
      </c>
      <c r="E705">
        <v>-76.882583333333329</v>
      </c>
      <c r="F705">
        <v>3.5523055555555549</v>
      </c>
      <c r="G705">
        <v>530</v>
      </c>
      <c r="I705">
        <v>2018</v>
      </c>
      <c r="J705">
        <v>3</v>
      </c>
      <c r="K705">
        <v>5</v>
      </c>
      <c r="M705" t="s">
        <v>30</v>
      </c>
      <c r="O705" t="s">
        <v>38</v>
      </c>
      <c r="P705" t="s">
        <v>130</v>
      </c>
      <c r="R705" t="s">
        <v>920</v>
      </c>
      <c r="S705" t="s">
        <v>951</v>
      </c>
      <c r="U705" t="s">
        <v>461</v>
      </c>
      <c r="V705">
        <v>1</v>
      </c>
      <c r="Z705" t="s">
        <v>36</v>
      </c>
    </row>
    <row r="706" spans="1:26" hidden="1" x14ac:dyDescent="0.2">
      <c r="A706" s="3">
        <v>43438</v>
      </c>
      <c r="D706" s="5">
        <v>0.97986111111111107</v>
      </c>
      <c r="E706">
        <v>-76.882583333333329</v>
      </c>
      <c r="F706">
        <v>3.5523055555555549</v>
      </c>
      <c r="G706">
        <v>531</v>
      </c>
      <c r="I706">
        <v>2018</v>
      </c>
      <c r="J706">
        <v>3</v>
      </c>
      <c r="K706">
        <v>5</v>
      </c>
      <c r="M706" t="s">
        <v>30</v>
      </c>
      <c r="O706" t="s">
        <v>38</v>
      </c>
      <c r="P706" t="s">
        <v>130</v>
      </c>
      <c r="R706" t="s">
        <v>920</v>
      </c>
      <c r="S706" t="s">
        <v>951</v>
      </c>
      <c r="U706" t="s">
        <v>461</v>
      </c>
      <c r="V706">
        <v>1</v>
      </c>
      <c r="Z706" t="s">
        <v>36</v>
      </c>
    </row>
    <row r="707" spans="1:26" hidden="1" x14ac:dyDescent="0.2">
      <c r="A707" s="3">
        <v>43412</v>
      </c>
      <c r="D707" s="5">
        <v>0.92500000000000004</v>
      </c>
      <c r="E707">
        <v>-76.651499999999999</v>
      </c>
      <c r="F707">
        <v>3.353194444444445</v>
      </c>
      <c r="G707">
        <v>2402</v>
      </c>
      <c r="I707">
        <v>2018</v>
      </c>
      <c r="M707" t="s">
        <v>624</v>
      </c>
      <c r="O707" t="s">
        <v>47</v>
      </c>
      <c r="P707" t="s">
        <v>690</v>
      </c>
      <c r="R707" t="s">
        <v>919</v>
      </c>
      <c r="U707" t="s">
        <v>36</v>
      </c>
      <c r="V707">
        <v>0</v>
      </c>
      <c r="Z707" t="s">
        <v>36</v>
      </c>
    </row>
    <row r="708" spans="1:26" hidden="1" x14ac:dyDescent="0.2">
      <c r="A708" s="3">
        <v>43412</v>
      </c>
      <c r="D708" s="5">
        <v>0.92500000000000004</v>
      </c>
      <c r="E708">
        <v>-76.651499999999999</v>
      </c>
      <c r="F708">
        <v>3.353194444444445</v>
      </c>
      <c r="G708">
        <v>2402</v>
      </c>
      <c r="I708">
        <v>2018</v>
      </c>
      <c r="M708" t="s">
        <v>624</v>
      </c>
      <c r="O708" t="s">
        <v>47</v>
      </c>
      <c r="P708" t="s">
        <v>690</v>
      </c>
      <c r="R708" t="s">
        <v>919</v>
      </c>
      <c r="U708" t="s">
        <v>36</v>
      </c>
      <c r="V708">
        <v>0</v>
      </c>
      <c r="Z708" t="s">
        <v>36</v>
      </c>
    </row>
    <row r="709" spans="1:26" hidden="1" x14ac:dyDescent="0.2">
      <c r="A709" s="3">
        <v>43201</v>
      </c>
      <c r="D709" s="5">
        <v>0.86319444444444449</v>
      </c>
      <c r="E709">
        <v>-76.647155555555557</v>
      </c>
      <c r="F709">
        <v>3.349394444444445</v>
      </c>
      <c r="G709">
        <v>2429</v>
      </c>
      <c r="H709">
        <v>1</v>
      </c>
      <c r="I709">
        <v>2018</v>
      </c>
      <c r="J709">
        <v>10</v>
      </c>
      <c r="K709">
        <v>60</v>
      </c>
      <c r="M709" t="s">
        <v>624</v>
      </c>
      <c r="O709" t="s">
        <v>38</v>
      </c>
      <c r="P709" t="s">
        <v>643</v>
      </c>
      <c r="R709" t="s">
        <v>920</v>
      </c>
      <c r="S709" t="s">
        <v>951</v>
      </c>
      <c r="U709" t="s">
        <v>238</v>
      </c>
      <c r="V709">
        <v>1</v>
      </c>
      <c r="Z709" t="s">
        <v>36</v>
      </c>
    </row>
    <row r="710" spans="1:26" hidden="1" x14ac:dyDescent="0.2">
      <c r="A710" s="3">
        <v>43201</v>
      </c>
      <c r="D710" s="5">
        <v>0.88611111111111107</v>
      </c>
      <c r="E710">
        <v>-76.647041666666667</v>
      </c>
      <c r="F710">
        <v>3.3489944444444451</v>
      </c>
      <c r="G710">
        <v>2421</v>
      </c>
      <c r="H710">
        <v>0.5</v>
      </c>
      <c r="I710">
        <v>2018</v>
      </c>
      <c r="J710">
        <v>5</v>
      </c>
      <c r="K710">
        <v>30</v>
      </c>
      <c r="M710" t="s">
        <v>624</v>
      </c>
      <c r="O710" t="s">
        <v>32</v>
      </c>
      <c r="P710" t="s">
        <v>643</v>
      </c>
      <c r="R710" t="s">
        <v>920</v>
      </c>
      <c r="S710" t="s">
        <v>951</v>
      </c>
      <c r="U710" t="s">
        <v>252</v>
      </c>
      <c r="V710">
        <v>1</v>
      </c>
      <c r="Z710" t="s">
        <v>36</v>
      </c>
    </row>
    <row r="711" spans="1:26" hidden="1" x14ac:dyDescent="0.2">
      <c r="A711" s="3">
        <v>43201</v>
      </c>
      <c r="D711" s="5">
        <v>0.89583333333333337</v>
      </c>
      <c r="E711">
        <v>-76.647072222222235</v>
      </c>
      <c r="F711">
        <v>3.3487638888888891</v>
      </c>
      <c r="G711">
        <v>2418</v>
      </c>
      <c r="H711">
        <v>0.5</v>
      </c>
      <c r="I711">
        <v>2018</v>
      </c>
      <c r="J711">
        <v>8</v>
      </c>
      <c r="K711">
        <v>20</v>
      </c>
      <c r="M711" t="s">
        <v>624</v>
      </c>
      <c r="O711" t="s">
        <v>32</v>
      </c>
      <c r="P711" t="s">
        <v>643</v>
      </c>
      <c r="R711" t="s">
        <v>920</v>
      </c>
      <c r="S711" t="s">
        <v>951</v>
      </c>
      <c r="U711" t="s">
        <v>238</v>
      </c>
      <c r="V711">
        <v>1</v>
      </c>
      <c r="Z711" t="s">
        <v>36</v>
      </c>
    </row>
    <row r="712" spans="1:26" hidden="1" x14ac:dyDescent="0.2">
      <c r="A712" s="3">
        <v>43201</v>
      </c>
      <c r="D712" s="5">
        <v>0.97777777777777775</v>
      </c>
      <c r="E712">
        <v>-76.644461111111113</v>
      </c>
      <c r="F712">
        <v>3.3496972222222219</v>
      </c>
      <c r="G712">
        <v>2478</v>
      </c>
      <c r="I712">
        <v>2018</v>
      </c>
      <c r="J712">
        <v>10</v>
      </c>
      <c r="K712">
        <v>10</v>
      </c>
      <c r="M712" t="s">
        <v>624</v>
      </c>
      <c r="O712" t="s">
        <v>47</v>
      </c>
      <c r="P712" t="s">
        <v>643</v>
      </c>
      <c r="R712" t="s">
        <v>919</v>
      </c>
      <c r="S712" t="s">
        <v>945</v>
      </c>
      <c r="U712" t="s">
        <v>238</v>
      </c>
      <c r="V712">
        <v>1</v>
      </c>
      <c r="Z712" t="s">
        <v>36</v>
      </c>
    </row>
    <row r="713" spans="1:26" hidden="1" x14ac:dyDescent="0.2">
      <c r="A713" s="3">
        <v>43201</v>
      </c>
      <c r="D713" s="5">
        <v>0.98263888888888884</v>
      </c>
      <c r="E713">
        <v>-76.644380555555557</v>
      </c>
      <c r="F713">
        <v>3.3495472222222218</v>
      </c>
      <c r="G713">
        <v>2470</v>
      </c>
      <c r="I713">
        <v>2018</v>
      </c>
      <c r="J713">
        <v>20</v>
      </c>
      <c r="K713">
        <v>20</v>
      </c>
      <c r="M713" t="s">
        <v>624</v>
      </c>
      <c r="O713" t="s">
        <v>32</v>
      </c>
      <c r="P713" t="s">
        <v>625</v>
      </c>
      <c r="R713" t="s">
        <v>919</v>
      </c>
      <c r="S713" t="s">
        <v>951</v>
      </c>
      <c r="U713" t="s">
        <v>723</v>
      </c>
      <c r="V713">
        <v>1</v>
      </c>
      <c r="Z713" t="s">
        <v>36</v>
      </c>
    </row>
    <row r="714" spans="1:26" hidden="1" x14ac:dyDescent="0.2">
      <c r="A714" s="3">
        <v>43201</v>
      </c>
      <c r="D714" s="5">
        <v>0.98263888888888884</v>
      </c>
      <c r="E714">
        <v>-76.644380555555557</v>
      </c>
      <c r="F714">
        <v>3.3495472222222218</v>
      </c>
      <c r="G714">
        <v>2470</v>
      </c>
      <c r="I714">
        <v>2018</v>
      </c>
      <c r="J714">
        <v>20</v>
      </c>
      <c r="K714">
        <v>20</v>
      </c>
      <c r="M714" t="s">
        <v>624</v>
      </c>
      <c r="O714" t="s">
        <v>32</v>
      </c>
      <c r="P714" t="s">
        <v>625</v>
      </c>
      <c r="R714" t="s">
        <v>919</v>
      </c>
      <c r="S714" t="s">
        <v>951</v>
      </c>
      <c r="U714" t="s">
        <v>36</v>
      </c>
      <c r="V714">
        <v>0</v>
      </c>
      <c r="Z714" t="s">
        <v>36</v>
      </c>
    </row>
    <row r="715" spans="1:26" hidden="1" x14ac:dyDescent="0.2">
      <c r="A715" s="3">
        <v>43201</v>
      </c>
      <c r="D715" s="5">
        <v>1.1805555555555555E-2</v>
      </c>
      <c r="E715">
        <v>-76.643636111111121</v>
      </c>
      <c r="F715">
        <v>3.3495416666666671</v>
      </c>
      <c r="G715">
        <v>2477</v>
      </c>
      <c r="I715">
        <v>2018</v>
      </c>
      <c r="J715">
        <v>30</v>
      </c>
      <c r="K715">
        <v>45</v>
      </c>
      <c r="M715" t="s">
        <v>624</v>
      </c>
      <c r="O715" t="s">
        <v>32</v>
      </c>
      <c r="P715" t="s">
        <v>625</v>
      </c>
      <c r="R715" t="s">
        <v>919</v>
      </c>
      <c r="S715" t="s">
        <v>945</v>
      </c>
      <c r="U715" t="s">
        <v>238</v>
      </c>
      <c r="V715">
        <v>1</v>
      </c>
      <c r="Z715" t="s">
        <v>36</v>
      </c>
    </row>
    <row r="716" spans="1:26" hidden="1" x14ac:dyDescent="0.2">
      <c r="A716" s="3">
        <v>43201</v>
      </c>
      <c r="D716" s="5">
        <v>2.7083333333333334E-2</v>
      </c>
      <c r="E716">
        <v>-76.643141666666679</v>
      </c>
      <c r="F716">
        <v>3.3494555555555561</v>
      </c>
      <c r="G716">
        <v>2461</v>
      </c>
      <c r="I716">
        <v>2018</v>
      </c>
      <c r="J716">
        <v>15</v>
      </c>
      <c r="K716">
        <v>20</v>
      </c>
      <c r="M716" t="s">
        <v>624</v>
      </c>
      <c r="O716" t="s">
        <v>38</v>
      </c>
      <c r="P716" t="s">
        <v>625</v>
      </c>
      <c r="R716" t="s">
        <v>919</v>
      </c>
      <c r="S716" t="s">
        <v>956</v>
      </c>
      <c r="U716" t="s">
        <v>238</v>
      </c>
      <c r="V716">
        <v>1</v>
      </c>
      <c r="Z716" t="s">
        <v>36</v>
      </c>
    </row>
    <row r="717" spans="1:26" hidden="1" x14ac:dyDescent="0.2">
      <c r="A717" s="3">
        <v>43202</v>
      </c>
      <c r="D717" s="5">
        <v>0.79791666666666672</v>
      </c>
      <c r="E717">
        <v>-76.652638888888902</v>
      </c>
      <c r="F717">
        <v>3.3538000000000001</v>
      </c>
      <c r="G717">
        <v>2568</v>
      </c>
      <c r="I717">
        <v>2018</v>
      </c>
      <c r="J717">
        <v>20</v>
      </c>
      <c r="K717">
        <v>70</v>
      </c>
      <c r="M717" t="s">
        <v>624</v>
      </c>
      <c r="O717" t="s">
        <v>47</v>
      </c>
      <c r="P717" t="s">
        <v>690</v>
      </c>
      <c r="R717" t="s">
        <v>919</v>
      </c>
      <c r="S717" t="s">
        <v>951</v>
      </c>
      <c r="U717" t="s">
        <v>238</v>
      </c>
      <c r="V717">
        <v>1</v>
      </c>
      <c r="Z717" t="s">
        <v>36</v>
      </c>
    </row>
    <row r="718" spans="1:26" hidden="1" x14ac:dyDescent="0.2">
      <c r="A718" s="3">
        <v>43202</v>
      </c>
      <c r="D718" s="5">
        <v>0.80208333333333337</v>
      </c>
      <c r="E718">
        <v>-76.65303333333334</v>
      </c>
      <c r="F718">
        <v>3.3534277777777781</v>
      </c>
      <c r="G718">
        <v>2573</v>
      </c>
      <c r="I718">
        <v>2018</v>
      </c>
      <c r="J718">
        <v>20</v>
      </c>
      <c r="K718">
        <v>70</v>
      </c>
      <c r="M718" t="s">
        <v>624</v>
      </c>
      <c r="O718" t="s">
        <v>58</v>
      </c>
      <c r="P718" t="s">
        <v>690</v>
      </c>
      <c r="R718" t="s">
        <v>919</v>
      </c>
      <c r="S718" t="s">
        <v>956</v>
      </c>
      <c r="U718" t="s">
        <v>238</v>
      </c>
      <c r="V718">
        <v>1</v>
      </c>
      <c r="Z718" t="s">
        <v>36</v>
      </c>
    </row>
    <row r="719" spans="1:26" hidden="1" x14ac:dyDescent="0.2">
      <c r="A719" s="3">
        <v>43202</v>
      </c>
      <c r="D719" s="5">
        <v>0.80208333333333337</v>
      </c>
      <c r="E719">
        <v>-76.65303333333334</v>
      </c>
      <c r="F719">
        <v>3.3534277777777781</v>
      </c>
      <c r="G719">
        <v>2573</v>
      </c>
      <c r="I719">
        <v>2018</v>
      </c>
      <c r="J719">
        <v>20</v>
      </c>
      <c r="K719">
        <v>70</v>
      </c>
      <c r="M719" t="s">
        <v>624</v>
      </c>
      <c r="O719" t="s">
        <v>58</v>
      </c>
      <c r="P719" t="s">
        <v>690</v>
      </c>
      <c r="R719" t="s">
        <v>919</v>
      </c>
      <c r="S719" t="s">
        <v>956</v>
      </c>
      <c r="U719" t="s">
        <v>238</v>
      </c>
      <c r="V719">
        <v>1</v>
      </c>
      <c r="Z719" t="s">
        <v>36</v>
      </c>
    </row>
    <row r="720" spans="1:26" hidden="1" x14ac:dyDescent="0.2">
      <c r="A720" s="3">
        <v>43202</v>
      </c>
      <c r="D720" s="5">
        <v>0.80208333333333337</v>
      </c>
      <c r="E720">
        <v>-76.65303333333334</v>
      </c>
      <c r="F720">
        <v>3.3534277777777781</v>
      </c>
      <c r="G720">
        <v>2573</v>
      </c>
      <c r="I720">
        <v>2018</v>
      </c>
      <c r="J720">
        <v>20</v>
      </c>
      <c r="K720">
        <v>70</v>
      </c>
      <c r="M720" t="s">
        <v>624</v>
      </c>
      <c r="O720" t="s">
        <v>58</v>
      </c>
      <c r="P720" t="s">
        <v>690</v>
      </c>
      <c r="R720" t="s">
        <v>919</v>
      </c>
      <c r="S720" t="s">
        <v>956</v>
      </c>
      <c r="U720" t="s">
        <v>723</v>
      </c>
      <c r="V720">
        <v>1</v>
      </c>
      <c r="Z720" t="s">
        <v>36</v>
      </c>
    </row>
    <row r="721" spans="1:26" hidden="1" x14ac:dyDescent="0.2">
      <c r="A721" s="3">
        <v>43202</v>
      </c>
      <c r="D721" s="5">
        <v>0.82638888888888884</v>
      </c>
      <c r="E721">
        <v>-76.653113888888896</v>
      </c>
      <c r="F721">
        <v>3.353330555555555</v>
      </c>
      <c r="G721">
        <v>2564</v>
      </c>
      <c r="I721">
        <v>2018</v>
      </c>
      <c r="J721">
        <v>15</v>
      </c>
      <c r="K721">
        <v>80</v>
      </c>
      <c r="M721" t="s">
        <v>624</v>
      </c>
      <c r="O721" t="s">
        <v>58</v>
      </c>
      <c r="P721" t="s">
        <v>690</v>
      </c>
      <c r="R721" t="s">
        <v>919</v>
      </c>
      <c r="S721" t="s">
        <v>956</v>
      </c>
      <c r="U721" t="s">
        <v>252</v>
      </c>
      <c r="V721">
        <v>1</v>
      </c>
      <c r="Z721" t="s">
        <v>36</v>
      </c>
    </row>
    <row r="722" spans="1:26" hidden="1" x14ac:dyDescent="0.2">
      <c r="A722" s="3">
        <v>43202</v>
      </c>
      <c r="D722" s="5">
        <v>0.82986111111111116</v>
      </c>
      <c r="E722">
        <v>-76.653127777777783</v>
      </c>
      <c r="F722">
        <v>3.3535555555555558</v>
      </c>
      <c r="G722">
        <v>2569</v>
      </c>
      <c r="I722">
        <v>2018</v>
      </c>
      <c r="J722">
        <v>10</v>
      </c>
      <c r="K722">
        <v>40</v>
      </c>
      <c r="M722" t="s">
        <v>624</v>
      </c>
      <c r="O722" t="s">
        <v>58</v>
      </c>
      <c r="P722" t="s">
        <v>690</v>
      </c>
      <c r="R722" t="s">
        <v>919</v>
      </c>
      <c r="S722" t="s">
        <v>951</v>
      </c>
      <c r="U722" t="s">
        <v>238</v>
      </c>
      <c r="V722">
        <v>1</v>
      </c>
      <c r="Z722" t="s">
        <v>36</v>
      </c>
    </row>
    <row r="723" spans="1:26" hidden="1" x14ac:dyDescent="0.2">
      <c r="A723" s="3">
        <v>43202</v>
      </c>
      <c r="D723" s="5">
        <v>0.83333333333333337</v>
      </c>
      <c r="E723">
        <v>-76.653386111111118</v>
      </c>
      <c r="F723">
        <v>3.3534388888888889</v>
      </c>
      <c r="G723">
        <v>2601</v>
      </c>
      <c r="I723">
        <v>2018</v>
      </c>
      <c r="J723">
        <v>10</v>
      </c>
      <c r="K723">
        <v>30</v>
      </c>
      <c r="M723" t="s">
        <v>624</v>
      </c>
      <c r="O723" t="s">
        <v>58</v>
      </c>
      <c r="P723" t="s">
        <v>690</v>
      </c>
      <c r="R723" t="s">
        <v>919</v>
      </c>
      <c r="S723" t="s">
        <v>956</v>
      </c>
      <c r="U723" t="s">
        <v>252</v>
      </c>
      <c r="V723">
        <v>1</v>
      </c>
      <c r="Z723" t="s">
        <v>36</v>
      </c>
    </row>
    <row r="724" spans="1:26" hidden="1" x14ac:dyDescent="0.2">
      <c r="A724" s="3">
        <v>43202</v>
      </c>
      <c r="D724" s="5"/>
      <c r="E724">
        <v>-76.656450000000007</v>
      </c>
      <c r="F724">
        <v>3.355547222222222</v>
      </c>
      <c r="G724">
        <v>2660</v>
      </c>
      <c r="I724">
        <v>2018</v>
      </c>
      <c r="M724" t="s">
        <v>624</v>
      </c>
      <c r="O724" t="s">
        <v>40</v>
      </c>
      <c r="P724" t="s">
        <v>720</v>
      </c>
      <c r="S724" t="s">
        <v>945</v>
      </c>
      <c r="U724" t="s">
        <v>36</v>
      </c>
      <c r="V724">
        <v>0</v>
      </c>
      <c r="Z724" t="s">
        <v>36</v>
      </c>
    </row>
    <row r="725" spans="1:26" hidden="1" x14ac:dyDescent="0.2">
      <c r="A725" s="3">
        <v>43202</v>
      </c>
      <c r="D725" s="5">
        <v>0.92361111111111116</v>
      </c>
      <c r="E725">
        <v>-76.656511111111115</v>
      </c>
      <c r="F725">
        <v>3.355083333333333</v>
      </c>
      <c r="G725">
        <v>2594</v>
      </c>
      <c r="H725">
        <v>1</v>
      </c>
      <c r="I725">
        <v>2018</v>
      </c>
      <c r="J725">
        <v>8</v>
      </c>
      <c r="K725">
        <v>30</v>
      </c>
      <c r="M725" t="s">
        <v>624</v>
      </c>
      <c r="O725" t="s">
        <v>38</v>
      </c>
      <c r="P725" t="s">
        <v>720</v>
      </c>
      <c r="R725" t="s">
        <v>920</v>
      </c>
      <c r="S725" t="s">
        <v>951</v>
      </c>
      <c r="U725" t="s">
        <v>723</v>
      </c>
      <c r="V725">
        <v>1</v>
      </c>
      <c r="Z725" t="s">
        <v>36</v>
      </c>
    </row>
    <row r="726" spans="1:26" hidden="1" x14ac:dyDescent="0.2">
      <c r="A726" s="3">
        <v>43202</v>
      </c>
      <c r="D726" s="5">
        <v>0.93888888888888888</v>
      </c>
      <c r="E726">
        <v>-76.656494444444448</v>
      </c>
      <c r="F726">
        <v>3.3549527777777781</v>
      </c>
      <c r="G726">
        <v>2596</v>
      </c>
      <c r="I726">
        <v>2018</v>
      </c>
      <c r="J726">
        <v>8</v>
      </c>
      <c r="K726">
        <v>5</v>
      </c>
      <c r="M726" t="s">
        <v>624</v>
      </c>
      <c r="O726" t="s">
        <v>38</v>
      </c>
      <c r="P726" t="s">
        <v>720</v>
      </c>
      <c r="R726" t="s">
        <v>919</v>
      </c>
      <c r="S726" t="s">
        <v>951</v>
      </c>
      <c r="U726" t="s">
        <v>238</v>
      </c>
      <c r="V726">
        <v>1</v>
      </c>
      <c r="Z726" t="s">
        <v>36</v>
      </c>
    </row>
    <row r="727" spans="1:26" hidden="1" x14ac:dyDescent="0.2">
      <c r="A727" s="3">
        <v>43426</v>
      </c>
      <c r="D727" s="5">
        <v>0.83333333333333337</v>
      </c>
      <c r="E727">
        <v>-76.688611111111115</v>
      </c>
      <c r="F727">
        <v>3.407972222222222</v>
      </c>
      <c r="G727">
        <v>3221</v>
      </c>
      <c r="I727">
        <v>2018</v>
      </c>
      <c r="M727" t="s">
        <v>916</v>
      </c>
      <c r="O727" t="s">
        <v>32</v>
      </c>
      <c r="P727" t="s">
        <v>1152</v>
      </c>
      <c r="R727" t="s">
        <v>258</v>
      </c>
      <c r="U727" t="s">
        <v>36</v>
      </c>
      <c r="V727">
        <v>0</v>
      </c>
      <c r="Z727" t="s">
        <v>36</v>
      </c>
    </row>
    <row r="728" spans="1:26" hidden="1" x14ac:dyDescent="0.2">
      <c r="A728" s="3">
        <v>43426</v>
      </c>
      <c r="D728" s="5">
        <v>0.83333333333333337</v>
      </c>
      <c r="E728">
        <v>-76.688611111111115</v>
      </c>
      <c r="F728">
        <v>3.407972222222222</v>
      </c>
      <c r="G728">
        <v>3221</v>
      </c>
      <c r="I728">
        <v>2018</v>
      </c>
      <c r="M728" t="s">
        <v>916</v>
      </c>
      <c r="O728" t="s">
        <v>32</v>
      </c>
      <c r="P728" t="s">
        <v>1152</v>
      </c>
      <c r="R728" t="s">
        <v>258</v>
      </c>
      <c r="U728" t="s">
        <v>36</v>
      </c>
      <c r="V728">
        <v>0</v>
      </c>
      <c r="Z728" t="s">
        <v>36</v>
      </c>
    </row>
    <row r="729" spans="1:26" hidden="1" x14ac:dyDescent="0.2">
      <c r="A729" s="3">
        <v>43426</v>
      </c>
      <c r="D729" s="5">
        <v>0.83333333333333337</v>
      </c>
      <c r="E729">
        <v>-76.689638888888894</v>
      </c>
      <c r="F729">
        <v>3.4073888888888888</v>
      </c>
      <c r="G729">
        <v>3226</v>
      </c>
      <c r="I729">
        <v>2018</v>
      </c>
      <c r="M729" t="s">
        <v>916</v>
      </c>
      <c r="O729" t="s">
        <v>38</v>
      </c>
      <c r="P729" t="s">
        <v>1152</v>
      </c>
      <c r="R729" t="s">
        <v>258</v>
      </c>
      <c r="U729" t="s">
        <v>36</v>
      </c>
      <c r="V729">
        <v>0</v>
      </c>
      <c r="Z729" t="s">
        <v>36</v>
      </c>
    </row>
    <row r="730" spans="1:26" hidden="1" x14ac:dyDescent="0.2">
      <c r="A730" s="3">
        <v>43426</v>
      </c>
      <c r="D730" s="5">
        <v>0.83333333333333337</v>
      </c>
      <c r="E730">
        <v>-76.689638888888894</v>
      </c>
      <c r="F730">
        <v>3.4073888888888888</v>
      </c>
      <c r="G730">
        <v>3226</v>
      </c>
      <c r="I730">
        <v>2018</v>
      </c>
      <c r="M730" t="s">
        <v>916</v>
      </c>
      <c r="O730" t="s">
        <v>38</v>
      </c>
      <c r="P730" t="s">
        <v>1152</v>
      </c>
      <c r="R730" t="s">
        <v>258</v>
      </c>
      <c r="U730" t="s">
        <v>36</v>
      </c>
      <c r="V730">
        <v>0</v>
      </c>
      <c r="Z730" t="s">
        <v>36</v>
      </c>
    </row>
    <row r="731" spans="1:26" hidden="1" x14ac:dyDescent="0.2">
      <c r="A731" s="3">
        <v>43426</v>
      </c>
      <c r="D731" s="5">
        <v>0.86736111111111114</v>
      </c>
      <c r="E731">
        <v>-76.69061111111111</v>
      </c>
      <c r="F731">
        <v>3.406416666666666</v>
      </c>
      <c r="G731">
        <v>3223</v>
      </c>
      <c r="I731">
        <v>2018</v>
      </c>
      <c r="J731">
        <v>2</v>
      </c>
      <c r="K731">
        <v>10</v>
      </c>
      <c r="M731" t="s">
        <v>916</v>
      </c>
      <c r="O731" t="s">
        <v>47</v>
      </c>
      <c r="P731" t="s">
        <v>1152</v>
      </c>
      <c r="R731" t="s">
        <v>258</v>
      </c>
      <c r="S731" t="s">
        <v>959</v>
      </c>
      <c r="U731" t="s">
        <v>723</v>
      </c>
      <c r="V731">
        <v>1</v>
      </c>
      <c r="Z731" t="s">
        <v>36</v>
      </c>
    </row>
    <row r="732" spans="1:26" hidden="1" x14ac:dyDescent="0.2">
      <c r="A732" s="3">
        <v>43426</v>
      </c>
      <c r="D732" s="5"/>
      <c r="E732">
        <v>-76.69061111111111</v>
      </c>
      <c r="F732">
        <v>3.406416666666666</v>
      </c>
      <c r="G732">
        <v>3223</v>
      </c>
      <c r="I732">
        <v>2018</v>
      </c>
      <c r="J732">
        <v>2</v>
      </c>
      <c r="K732">
        <v>10</v>
      </c>
      <c r="M732" t="s">
        <v>916</v>
      </c>
      <c r="O732" t="s">
        <v>47</v>
      </c>
      <c r="P732" t="s">
        <v>1152</v>
      </c>
      <c r="R732" t="s">
        <v>258</v>
      </c>
      <c r="S732" t="s">
        <v>956</v>
      </c>
      <c r="U732" t="s">
        <v>924</v>
      </c>
      <c r="V732">
        <v>1</v>
      </c>
      <c r="Z732" t="s">
        <v>36</v>
      </c>
    </row>
    <row r="733" spans="1:26" hidden="1" x14ac:dyDescent="0.2">
      <c r="A733" s="3">
        <v>43426</v>
      </c>
      <c r="D733" s="5">
        <v>0.88194444444444442</v>
      </c>
      <c r="E733">
        <v>-76.690694444444446</v>
      </c>
      <c r="F733">
        <v>3.406305555555555</v>
      </c>
      <c r="G733">
        <v>3223</v>
      </c>
      <c r="I733">
        <v>2018</v>
      </c>
      <c r="J733">
        <v>2</v>
      </c>
      <c r="K733">
        <v>5</v>
      </c>
      <c r="M733" t="s">
        <v>916</v>
      </c>
      <c r="O733" t="s">
        <v>47</v>
      </c>
      <c r="P733" t="s">
        <v>1152</v>
      </c>
      <c r="R733" t="s">
        <v>258</v>
      </c>
      <c r="S733" t="s">
        <v>950</v>
      </c>
      <c r="U733" t="s">
        <v>924</v>
      </c>
      <c r="V733">
        <v>1</v>
      </c>
      <c r="W733" t="s">
        <v>1070</v>
      </c>
      <c r="Z733" t="s">
        <v>36</v>
      </c>
    </row>
    <row r="734" spans="1:26" hidden="1" x14ac:dyDescent="0.2">
      <c r="A734" s="3">
        <v>43426</v>
      </c>
      <c r="D734" s="5">
        <v>0.88611111111111107</v>
      </c>
      <c r="E734">
        <v>-76.69072222222222</v>
      </c>
      <c r="F734">
        <v>3.40625</v>
      </c>
      <c r="G734">
        <v>3223</v>
      </c>
      <c r="I734">
        <v>2018</v>
      </c>
      <c r="J734">
        <v>2</v>
      </c>
      <c r="K734">
        <v>5</v>
      </c>
      <c r="M734" t="s">
        <v>916</v>
      </c>
      <c r="O734" t="s">
        <v>47</v>
      </c>
      <c r="P734" t="s">
        <v>1152</v>
      </c>
      <c r="R734" t="s">
        <v>258</v>
      </c>
      <c r="S734" t="s">
        <v>950</v>
      </c>
      <c r="U734" t="s">
        <v>924</v>
      </c>
      <c r="V734">
        <v>1</v>
      </c>
      <c r="Z734" t="s">
        <v>36</v>
      </c>
    </row>
    <row r="735" spans="1:26" hidden="1" x14ac:dyDescent="0.2">
      <c r="A735" s="3">
        <v>43427</v>
      </c>
      <c r="D735" s="5">
        <v>0.8041666666666667</v>
      </c>
      <c r="E735">
        <v>-76.687333333333342</v>
      </c>
      <c r="F735">
        <v>3.386138888888889</v>
      </c>
      <c r="G735">
        <v>3409</v>
      </c>
      <c r="I735">
        <v>2018</v>
      </c>
      <c r="J735">
        <v>1</v>
      </c>
      <c r="M735" t="s">
        <v>916</v>
      </c>
      <c r="O735" t="s">
        <v>1148</v>
      </c>
      <c r="P735" t="s">
        <v>917</v>
      </c>
      <c r="R735" t="s">
        <v>258</v>
      </c>
      <c r="S735" t="s">
        <v>950</v>
      </c>
      <c r="U735" t="s">
        <v>928</v>
      </c>
      <c r="V735">
        <v>1</v>
      </c>
      <c r="Z735" t="s">
        <v>36</v>
      </c>
    </row>
    <row r="736" spans="1:26" hidden="1" x14ac:dyDescent="0.2">
      <c r="A736" s="3">
        <v>43427</v>
      </c>
      <c r="D736" s="5">
        <v>0.8125</v>
      </c>
      <c r="E736">
        <v>-76.687416666666664</v>
      </c>
      <c r="F736">
        <v>3.386166666666667</v>
      </c>
      <c r="G736">
        <v>3409</v>
      </c>
      <c r="I736">
        <v>2018</v>
      </c>
      <c r="J736">
        <v>1</v>
      </c>
      <c r="M736" t="s">
        <v>916</v>
      </c>
      <c r="O736" t="s">
        <v>1148</v>
      </c>
      <c r="P736" t="s">
        <v>917</v>
      </c>
      <c r="R736" t="s">
        <v>258</v>
      </c>
      <c r="S736" t="s">
        <v>951</v>
      </c>
      <c r="U736" t="s">
        <v>915</v>
      </c>
      <c r="V736">
        <v>1</v>
      </c>
      <c r="Z736" t="s">
        <v>36</v>
      </c>
    </row>
    <row r="737" spans="1:26" hidden="1" x14ac:dyDescent="0.2">
      <c r="A737" s="3">
        <v>43427</v>
      </c>
      <c r="D737" s="5">
        <v>0.82222222222222219</v>
      </c>
      <c r="E737">
        <v>-76.687472222222226</v>
      </c>
      <c r="F737">
        <v>3.386194444444445</v>
      </c>
      <c r="G737">
        <v>3409</v>
      </c>
      <c r="I737">
        <v>2018</v>
      </c>
      <c r="J737">
        <v>1</v>
      </c>
      <c r="M737" t="s">
        <v>916</v>
      </c>
      <c r="O737" t="s">
        <v>1148</v>
      </c>
      <c r="P737" t="s">
        <v>917</v>
      </c>
      <c r="R737" t="s">
        <v>258</v>
      </c>
      <c r="S737" t="s">
        <v>951</v>
      </c>
      <c r="U737" t="s">
        <v>930</v>
      </c>
      <c r="V737">
        <v>1</v>
      </c>
      <c r="Z737" t="s">
        <v>36</v>
      </c>
    </row>
    <row r="738" spans="1:26" hidden="1" x14ac:dyDescent="0.2">
      <c r="A738" s="3">
        <v>43427</v>
      </c>
      <c r="D738" s="5">
        <v>0.82847222222222228</v>
      </c>
      <c r="E738">
        <v>-76.687527777777788</v>
      </c>
      <c r="F738">
        <v>3.38625</v>
      </c>
      <c r="G738">
        <v>3109</v>
      </c>
      <c r="I738">
        <v>2018</v>
      </c>
      <c r="J738">
        <v>1</v>
      </c>
      <c r="M738" t="s">
        <v>916</v>
      </c>
      <c r="O738" t="s">
        <v>1147</v>
      </c>
      <c r="P738" t="s">
        <v>917</v>
      </c>
      <c r="R738" t="s">
        <v>258</v>
      </c>
      <c r="S738" t="s">
        <v>951</v>
      </c>
      <c r="U738" t="s">
        <v>930</v>
      </c>
      <c r="V738">
        <v>1</v>
      </c>
      <c r="Z738" t="s">
        <v>36</v>
      </c>
    </row>
    <row r="739" spans="1:26" hidden="1" x14ac:dyDescent="0.2">
      <c r="A739" s="3">
        <v>43427</v>
      </c>
      <c r="D739" s="5">
        <v>0.84166666666666667</v>
      </c>
      <c r="E739">
        <v>-76.68772222222222</v>
      </c>
      <c r="F739">
        <v>3.3853333333333331</v>
      </c>
      <c r="G739">
        <v>3402</v>
      </c>
      <c r="I739">
        <v>2018</v>
      </c>
      <c r="J739">
        <v>1</v>
      </c>
      <c r="M739" t="s">
        <v>916</v>
      </c>
      <c r="O739" t="s">
        <v>40</v>
      </c>
      <c r="P739" t="s">
        <v>917</v>
      </c>
      <c r="R739" t="s">
        <v>258</v>
      </c>
      <c r="S739" t="s">
        <v>951</v>
      </c>
      <c r="U739" t="s">
        <v>928</v>
      </c>
      <c r="V739">
        <v>1</v>
      </c>
      <c r="Z739" t="s">
        <v>36</v>
      </c>
    </row>
    <row r="740" spans="1:26" hidden="1" x14ac:dyDescent="0.2">
      <c r="A740" s="3">
        <v>43428</v>
      </c>
      <c r="D740" s="5">
        <v>0.84166666666666667</v>
      </c>
      <c r="E740">
        <v>-76.680500000000009</v>
      </c>
      <c r="F740">
        <v>3.4011666666666671</v>
      </c>
      <c r="G740">
        <v>2904</v>
      </c>
      <c r="I740">
        <v>2018</v>
      </c>
      <c r="J740">
        <v>20</v>
      </c>
      <c r="K740">
        <v>15</v>
      </c>
      <c r="M740" t="s">
        <v>916</v>
      </c>
      <c r="O740" t="s">
        <v>32</v>
      </c>
      <c r="P740" t="s">
        <v>913</v>
      </c>
      <c r="R740" t="s">
        <v>920</v>
      </c>
      <c r="S740" t="s">
        <v>950</v>
      </c>
      <c r="U740" t="s">
        <v>915</v>
      </c>
      <c r="V740">
        <v>1</v>
      </c>
      <c r="Z740" t="s">
        <v>36</v>
      </c>
    </row>
    <row r="741" spans="1:26" hidden="1" x14ac:dyDescent="0.2">
      <c r="A741" s="3">
        <v>43428</v>
      </c>
      <c r="D741" s="5">
        <v>0.84166666666666667</v>
      </c>
      <c r="E741">
        <v>-76.680527777777783</v>
      </c>
      <c r="F741">
        <v>3.4011666666666671</v>
      </c>
      <c r="G741">
        <v>2901</v>
      </c>
      <c r="I741">
        <v>2018</v>
      </c>
      <c r="J741">
        <v>20</v>
      </c>
      <c r="K741">
        <v>30</v>
      </c>
      <c r="M741" t="s">
        <v>916</v>
      </c>
      <c r="O741" t="s">
        <v>32</v>
      </c>
      <c r="P741" t="s">
        <v>913</v>
      </c>
      <c r="R741" t="s">
        <v>920</v>
      </c>
      <c r="S741" t="s">
        <v>950</v>
      </c>
      <c r="U741" t="s">
        <v>371</v>
      </c>
      <c r="V741">
        <v>1</v>
      </c>
      <c r="Z741" t="s">
        <v>36</v>
      </c>
    </row>
    <row r="742" spans="1:26" hidden="1" x14ac:dyDescent="0.2">
      <c r="A742" s="3">
        <v>43428</v>
      </c>
      <c r="D742" s="5">
        <v>0.85069444444444442</v>
      </c>
      <c r="E742">
        <v>-76.680361111111111</v>
      </c>
      <c r="F742">
        <v>3.4010833333333328</v>
      </c>
      <c r="G742">
        <v>2899</v>
      </c>
      <c r="I742">
        <v>2018</v>
      </c>
      <c r="J742">
        <v>20</v>
      </c>
      <c r="K742">
        <v>30</v>
      </c>
      <c r="M742" t="s">
        <v>916</v>
      </c>
      <c r="O742" t="s">
        <v>32</v>
      </c>
      <c r="P742" t="s">
        <v>913</v>
      </c>
      <c r="R742" t="s">
        <v>920</v>
      </c>
      <c r="S742" t="s">
        <v>960</v>
      </c>
      <c r="U742" t="s">
        <v>926</v>
      </c>
      <c r="V742">
        <v>1</v>
      </c>
      <c r="Z742" t="s">
        <v>36</v>
      </c>
    </row>
    <row r="743" spans="1:26" hidden="1" x14ac:dyDescent="0.2">
      <c r="A743" s="3">
        <v>43428</v>
      </c>
      <c r="D743" s="5">
        <v>0.81597222222222221</v>
      </c>
      <c r="E743">
        <v>-76.679111111111112</v>
      </c>
      <c r="F743">
        <v>3.402333333333333</v>
      </c>
      <c r="G743">
        <v>2911</v>
      </c>
      <c r="I743">
        <v>2018</v>
      </c>
      <c r="J743">
        <v>20</v>
      </c>
      <c r="K743">
        <v>30</v>
      </c>
      <c r="M743" t="s">
        <v>916</v>
      </c>
      <c r="O743" t="s">
        <v>32</v>
      </c>
      <c r="P743" t="s">
        <v>1146</v>
      </c>
      <c r="R743" t="s">
        <v>920</v>
      </c>
      <c r="S743" t="s">
        <v>959</v>
      </c>
      <c r="U743" t="s">
        <v>931</v>
      </c>
      <c r="V743">
        <v>1</v>
      </c>
      <c r="Z743" t="s">
        <v>36</v>
      </c>
    </row>
    <row r="744" spans="1:26" hidden="1" x14ac:dyDescent="0.2">
      <c r="A744" s="3">
        <v>43428</v>
      </c>
      <c r="D744" s="5">
        <v>0.89652777777777781</v>
      </c>
      <c r="E744">
        <v>-76.679583333333341</v>
      </c>
      <c r="F744">
        <v>3.400694444444444</v>
      </c>
      <c r="G744">
        <v>2880</v>
      </c>
      <c r="I744">
        <v>2018</v>
      </c>
      <c r="J744">
        <v>20</v>
      </c>
      <c r="K744">
        <v>20</v>
      </c>
      <c r="M744" t="s">
        <v>916</v>
      </c>
      <c r="O744" t="s">
        <v>38</v>
      </c>
      <c r="P744" t="s">
        <v>913</v>
      </c>
      <c r="R744" t="s">
        <v>920</v>
      </c>
      <c r="S744" t="s">
        <v>950</v>
      </c>
      <c r="U744" t="s">
        <v>932</v>
      </c>
      <c r="V744">
        <v>1</v>
      </c>
      <c r="Z744" t="s">
        <v>36</v>
      </c>
    </row>
    <row r="745" spans="1:26" hidden="1" x14ac:dyDescent="0.2">
      <c r="A745" s="3">
        <v>43428</v>
      </c>
      <c r="D745" s="5">
        <v>0.8666666666666667</v>
      </c>
      <c r="E745">
        <v>-76.680027777777781</v>
      </c>
      <c r="F745">
        <v>3.400722222222222</v>
      </c>
      <c r="G745">
        <v>2890</v>
      </c>
      <c r="I745">
        <v>2018</v>
      </c>
      <c r="J745">
        <v>20</v>
      </c>
      <c r="K745">
        <v>10</v>
      </c>
      <c r="M745" t="s">
        <v>916</v>
      </c>
      <c r="O745" t="s">
        <v>38</v>
      </c>
      <c r="P745" t="s">
        <v>913</v>
      </c>
      <c r="R745" t="s">
        <v>920</v>
      </c>
      <c r="S745" t="s">
        <v>951</v>
      </c>
      <c r="U745" t="s">
        <v>371</v>
      </c>
      <c r="V745">
        <v>1</v>
      </c>
      <c r="Z745" t="s">
        <v>36</v>
      </c>
    </row>
    <row r="746" spans="1:26" hidden="1" x14ac:dyDescent="0.2">
      <c r="A746" s="3">
        <v>43428</v>
      </c>
      <c r="D746" s="5">
        <v>0.87777777777777777</v>
      </c>
      <c r="E746">
        <v>-76.680361111111111</v>
      </c>
      <c r="F746">
        <v>3.4009444444444439</v>
      </c>
      <c r="G746">
        <v>2888</v>
      </c>
      <c r="I746">
        <v>2018</v>
      </c>
      <c r="J746">
        <v>15</v>
      </c>
      <c r="K746">
        <v>30</v>
      </c>
      <c r="M746" t="s">
        <v>916</v>
      </c>
      <c r="O746" t="s">
        <v>32</v>
      </c>
      <c r="P746" t="s">
        <v>913</v>
      </c>
      <c r="R746" t="s">
        <v>920</v>
      </c>
      <c r="S746" t="s">
        <v>951</v>
      </c>
      <c r="U746" t="s">
        <v>928</v>
      </c>
      <c r="V746">
        <v>1</v>
      </c>
      <c r="Z746" t="s">
        <v>36</v>
      </c>
    </row>
    <row r="747" spans="1:26" hidden="1" x14ac:dyDescent="0.2">
      <c r="A747" s="3">
        <v>43428</v>
      </c>
      <c r="D747" s="5">
        <v>0.92500000000000004</v>
      </c>
      <c r="E747">
        <v>-76.678777777777782</v>
      </c>
      <c r="F747">
        <v>3.4008333333333329</v>
      </c>
      <c r="G747">
        <v>2886</v>
      </c>
      <c r="I747">
        <v>2018</v>
      </c>
      <c r="J747">
        <v>15</v>
      </c>
      <c r="K747">
        <v>10</v>
      </c>
      <c r="M747" t="s">
        <v>916</v>
      </c>
      <c r="O747" t="s">
        <v>40</v>
      </c>
      <c r="P747" t="s">
        <v>913</v>
      </c>
      <c r="R747" t="s">
        <v>920</v>
      </c>
      <c r="S747" t="s">
        <v>950</v>
      </c>
      <c r="U747" t="s">
        <v>933</v>
      </c>
      <c r="V747">
        <v>1</v>
      </c>
      <c r="Z747" t="s">
        <v>36</v>
      </c>
    </row>
    <row r="748" spans="1:26" hidden="1" x14ac:dyDescent="0.2">
      <c r="A748" s="3">
        <v>43428</v>
      </c>
      <c r="D748" s="5">
        <v>0.91805555555555551</v>
      </c>
      <c r="E748">
        <v>-76.679055555555564</v>
      </c>
      <c r="F748">
        <v>3.4007499999999999</v>
      </c>
      <c r="G748">
        <v>2883</v>
      </c>
      <c r="I748">
        <v>2018</v>
      </c>
      <c r="J748">
        <v>15</v>
      </c>
      <c r="K748">
        <v>10</v>
      </c>
      <c r="M748" t="s">
        <v>916</v>
      </c>
      <c r="O748" t="s">
        <v>40</v>
      </c>
      <c r="P748" t="s">
        <v>913</v>
      </c>
      <c r="R748" t="s">
        <v>920</v>
      </c>
      <c r="S748" t="s">
        <v>951</v>
      </c>
      <c r="U748" t="s">
        <v>926</v>
      </c>
      <c r="V748">
        <v>1</v>
      </c>
      <c r="Z748" t="s">
        <v>36</v>
      </c>
    </row>
    <row r="749" spans="1:26" hidden="1" x14ac:dyDescent="0.2">
      <c r="A749" s="3">
        <v>43428</v>
      </c>
      <c r="D749" s="5">
        <v>0.93055555555555558</v>
      </c>
      <c r="E749">
        <v>-76.678638888888898</v>
      </c>
      <c r="F749">
        <v>3.400694444444444</v>
      </c>
      <c r="G749">
        <v>2886</v>
      </c>
      <c r="I749">
        <v>2018</v>
      </c>
      <c r="J749">
        <v>15</v>
      </c>
      <c r="K749">
        <v>10</v>
      </c>
      <c r="M749" t="s">
        <v>916</v>
      </c>
      <c r="O749" t="s">
        <v>40</v>
      </c>
      <c r="P749" t="s">
        <v>913</v>
      </c>
      <c r="R749" t="s">
        <v>920</v>
      </c>
      <c r="S749" t="s">
        <v>959</v>
      </c>
      <c r="U749" t="s">
        <v>933</v>
      </c>
      <c r="V749">
        <v>1</v>
      </c>
      <c r="Z749" t="s">
        <v>36</v>
      </c>
    </row>
    <row r="750" spans="1:26" hidden="1" x14ac:dyDescent="0.2">
      <c r="A750" s="3">
        <v>43438</v>
      </c>
      <c r="D750" s="5">
        <v>0.97986111111111107</v>
      </c>
      <c r="E750">
        <v>-76.882583333333329</v>
      </c>
      <c r="F750">
        <v>3.5523055555555549</v>
      </c>
      <c r="G750">
        <v>532</v>
      </c>
      <c r="I750">
        <v>2018</v>
      </c>
      <c r="J750">
        <v>3</v>
      </c>
      <c r="K750">
        <v>5</v>
      </c>
      <c r="M750" t="s">
        <v>30</v>
      </c>
      <c r="O750" t="s">
        <v>38</v>
      </c>
      <c r="P750" t="s">
        <v>130</v>
      </c>
      <c r="R750" t="s">
        <v>920</v>
      </c>
      <c r="S750" t="s">
        <v>951</v>
      </c>
      <c r="U750" t="s">
        <v>461</v>
      </c>
      <c r="V750">
        <v>1</v>
      </c>
      <c r="Z750" t="s">
        <v>36</v>
      </c>
    </row>
    <row r="751" spans="1:26" hidden="1" x14ac:dyDescent="0.2">
      <c r="A751" s="3">
        <v>43438</v>
      </c>
      <c r="D751" s="5">
        <v>0.97986111111111107</v>
      </c>
      <c r="E751">
        <v>-76.882583333333329</v>
      </c>
      <c r="F751">
        <v>3.5523055555555549</v>
      </c>
      <c r="G751">
        <v>533</v>
      </c>
      <c r="I751">
        <v>2018</v>
      </c>
      <c r="J751">
        <v>3</v>
      </c>
      <c r="K751">
        <v>5</v>
      </c>
      <c r="M751" t="s">
        <v>30</v>
      </c>
      <c r="O751" t="s">
        <v>38</v>
      </c>
      <c r="P751" t="s">
        <v>130</v>
      </c>
      <c r="R751" t="s">
        <v>920</v>
      </c>
      <c r="S751" t="s">
        <v>951</v>
      </c>
      <c r="U751" t="s">
        <v>461</v>
      </c>
      <c r="V751">
        <v>1</v>
      </c>
      <c r="Z751" t="s">
        <v>36</v>
      </c>
    </row>
    <row r="752" spans="1:26" hidden="1" x14ac:dyDescent="0.2">
      <c r="A752" s="3">
        <v>43438</v>
      </c>
      <c r="D752" s="5">
        <v>0.97986111111111107</v>
      </c>
      <c r="E752">
        <v>-76.882583333333329</v>
      </c>
      <c r="F752">
        <v>3.5523055555555549</v>
      </c>
      <c r="G752">
        <v>534</v>
      </c>
      <c r="I752">
        <v>2018</v>
      </c>
      <c r="J752">
        <v>3</v>
      </c>
      <c r="K752">
        <v>5</v>
      </c>
      <c r="M752" t="s">
        <v>30</v>
      </c>
      <c r="O752" t="s">
        <v>38</v>
      </c>
      <c r="P752" t="s">
        <v>130</v>
      </c>
      <c r="R752" t="s">
        <v>920</v>
      </c>
      <c r="S752" t="s">
        <v>951</v>
      </c>
      <c r="U752" t="s">
        <v>461</v>
      </c>
      <c r="V752">
        <v>1</v>
      </c>
      <c r="Z752" t="s">
        <v>36</v>
      </c>
    </row>
    <row r="753" spans="1:26" hidden="1" x14ac:dyDescent="0.2">
      <c r="A753" s="3">
        <v>43438</v>
      </c>
      <c r="D753" s="5">
        <v>0.97986111111111107</v>
      </c>
      <c r="E753">
        <v>-76.882583333333329</v>
      </c>
      <c r="F753">
        <v>3.5523055555555549</v>
      </c>
      <c r="G753">
        <v>535</v>
      </c>
      <c r="I753">
        <v>2018</v>
      </c>
      <c r="J753">
        <v>3</v>
      </c>
      <c r="K753">
        <v>5</v>
      </c>
      <c r="M753" t="s">
        <v>30</v>
      </c>
      <c r="O753" t="s">
        <v>38</v>
      </c>
      <c r="P753" t="s">
        <v>130</v>
      </c>
      <c r="R753" t="s">
        <v>920</v>
      </c>
      <c r="S753" t="s">
        <v>951</v>
      </c>
      <c r="U753" t="s">
        <v>461</v>
      </c>
      <c r="V753">
        <v>1</v>
      </c>
      <c r="Z753" t="s">
        <v>36</v>
      </c>
    </row>
    <row r="754" spans="1:26" hidden="1" x14ac:dyDescent="0.2">
      <c r="A754" s="3">
        <v>43438</v>
      </c>
      <c r="D754" s="5">
        <v>0.94930555555555551</v>
      </c>
      <c r="E754">
        <v>-76.882611111111103</v>
      </c>
      <c r="F754">
        <v>3.5524444444444438</v>
      </c>
      <c r="G754">
        <v>516</v>
      </c>
      <c r="I754">
        <v>2018</v>
      </c>
      <c r="J754">
        <v>20</v>
      </c>
      <c r="K754">
        <v>10</v>
      </c>
      <c r="M754" t="s">
        <v>30</v>
      </c>
      <c r="O754" t="s">
        <v>47</v>
      </c>
      <c r="P754" t="s">
        <v>130</v>
      </c>
      <c r="R754" t="s">
        <v>920</v>
      </c>
      <c r="S754" t="s">
        <v>951</v>
      </c>
      <c r="U754" t="s">
        <v>205</v>
      </c>
      <c r="V754">
        <v>1</v>
      </c>
      <c r="Z754" t="s">
        <v>36</v>
      </c>
    </row>
    <row r="755" spans="1:26" hidden="1" x14ac:dyDescent="0.2">
      <c r="A755" s="3">
        <v>43438</v>
      </c>
      <c r="D755" s="5">
        <v>0.94930555555555551</v>
      </c>
      <c r="E755">
        <v>-76.882611111111103</v>
      </c>
      <c r="F755">
        <v>3.5524444444444438</v>
      </c>
      <c r="G755">
        <v>516</v>
      </c>
      <c r="I755">
        <v>2018</v>
      </c>
      <c r="J755">
        <v>20</v>
      </c>
      <c r="K755">
        <v>10</v>
      </c>
      <c r="M755" t="s">
        <v>30</v>
      </c>
      <c r="O755" t="s">
        <v>47</v>
      </c>
      <c r="P755" t="s">
        <v>130</v>
      </c>
      <c r="R755" t="s">
        <v>920</v>
      </c>
      <c r="S755" t="s">
        <v>951</v>
      </c>
      <c r="U755" t="s">
        <v>205</v>
      </c>
      <c r="V755">
        <v>1</v>
      </c>
      <c r="Z755" t="s">
        <v>36</v>
      </c>
    </row>
    <row r="756" spans="1:26" hidden="1" x14ac:dyDescent="0.2">
      <c r="A756" s="3">
        <v>43438</v>
      </c>
      <c r="D756" s="5">
        <v>0.94930555555555551</v>
      </c>
      <c r="E756">
        <v>-76.882611111111103</v>
      </c>
      <c r="F756">
        <v>3.5524444444444438</v>
      </c>
      <c r="G756">
        <v>516</v>
      </c>
      <c r="I756">
        <v>2018</v>
      </c>
      <c r="J756">
        <v>20</v>
      </c>
      <c r="K756">
        <v>10</v>
      </c>
      <c r="M756" t="s">
        <v>30</v>
      </c>
      <c r="O756" t="s">
        <v>47</v>
      </c>
      <c r="P756" t="s">
        <v>130</v>
      </c>
      <c r="R756" t="s">
        <v>920</v>
      </c>
      <c r="S756" t="s">
        <v>959</v>
      </c>
      <c r="U756" t="s">
        <v>205</v>
      </c>
      <c r="V756">
        <v>1</v>
      </c>
      <c r="Z756" t="s">
        <v>36</v>
      </c>
    </row>
    <row r="757" spans="1:26" hidden="1" x14ac:dyDescent="0.2">
      <c r="A757" s="3">
        <v>43438</v>
      </c>
      <c r="D757" s="5">
        <v>0.94930555555555551</v>
      </c>
      <c r="E757">
        <v>-76.882611111111103</v>
      </c>
      <c r="F757">
        <v>3.5524444444444438</v>
      </c>
      <c r="G757">
        <v>516</v>
      </c>
      <c r="I757">
        <v>2018</v>
      </c>
      <c r="J757">
        <v>20</v>
      </c>
      <c r="K757">
        <v>10</v>
      </c>
      <c r="M757" t="s">
        <v>30</v>
      </c>
      <c r="O757" t="s">
        <v>47</v>
      </c>
      <c r="P757" t="s">
        <v>130</v>
      </c>
      <c r="R757" t="s">
        <v>920</v>
      </c>
      <c r="S757" t="s">
        <v>959</v>
      </c>
      <c r="U757" t="s">
        <v>934</v>
      </c>
      <c r="V757">
        <v>1</v>
      </c>
      <c r="Z757" t="s">
        <v>36</v>
      </c>
    </row>
    <row r="758" spans="1:26" hidden="1" x14ac:dyDescent="0.2">
      <c r="A758" s="3">
        <v>43438</v>
      </c>
      <c r="D758" s="5">
        <v>0.92291666666666672</v>
      </c>
      <c r="E758">
        <v>-76.881583333333325</v>
      </c>
      <c r="F758">
        <v>3.5526944444444442</v>
      </c>
      <c r="G758">
        <v>511</v>
      </c>
      <c r="I758">
        <v>2018</v>
      </c>
      <c r="J758">
        <v>6</v>
      </c>
      <c r="K758">
        <v>10</v>
      </c>
      <c r="M758" t="s">
        <v>30</v>
      </c>
      <c r="O758" t="s">
        <v>32</v>
      </c>
      <c r="P758" t="s">
        <v>130</v>
      </c>
      <c r="R758" t="s">
        <v>920</v>
      </c>
      <c r="S758" t="s">
        <v>950</v>
      </c>
      <c r="U758" t="s">
        <v>75</v>
      </c>
      <c r="V758">
        <v>1</v>
      </c>
      <c r="Z758" t="s">
        <v>36</v>
      </c>
    </row>
    <row r="759" spans="1:26" hidden="1" x14ac:dyDescent="0.2">
      <c r="A759" s="3">
        <v>43438</v>
      </c>
      <c r="D759" s="5">
        <v>0.93194444444444446</v>
      </c>
      <c r="E759">
        <v>-76.881999999999991</v>
      </c>
      <c r="F759">
        <v>3.5524444444444438</v>
      </c>
      <c r="G759">
        <v>515</v>
      </c>
      <c r="I759">
        <v>2018</v>
      </c>
      <c r="J759">
        <v>10</v>
      </c>
      <c r="K759">
        <v>5</v>
      </c>
      <c r="M759" t="s">
        <v>30</v>
      </c>
      <c r="O759" t="s">
        <v>38</v>
      </c>
      <c r="P759" t="s">
        <v>130</v>
      </c>
      <c r="R759" t="s">
        <v>920</v>
      </c>
      <c r="S759" t="s">
        <v>950</v>
      </c>
      <c r="U759" t="s">
        <v>75</v>
      </c>
      <c r="V759">
        <v>1</v>
      </c>
      <c r="Z759" t="s">
        <v>36</v>
      </c>
    </row>
    <row r="760" spans="1:26" hidden="1" x14ac:dyDescent="0.2">
      <c r="A760" s="3">
        <v>43438</v>
      </c>
      <c r="D760" s="5">
        <v>0.94930555555555551</v>
      </c>
      <c r="E760">
        <v>-76.882611111111103</v>
      </c>
      <c r="F760">
        <v>3.5524444444444438</v>
      </c>
      <c r="G760">
        <v>516</v>
      </c>
      <c r="I760">
        <v>2018</v>
      </c>
      <c r="J760">
        <v>20</v>
      </c>
      <c r="K760">
        <v>10</v>
      </c>
      <c r="M760" t="s">
        <v>30</v>
      </c>
      <c r="O760" t="s">
        <v>47</v>
      </c>
      <c r="P760" t="s">
        <v>130</v>
      </c>
      <c r="R760" t="s">
        <v>920</v>
      </c>
      <c r="S760" t="s">
        <v>950</v>
      </c>
      <c r="U760" t="s">
        <v>935</v>
      </c>
      <c r="V760">
        <v>1</v>
      </c>
      <c r="Z760" t="s">
        <v>36</v>
      </c>
    </row>
    <row r="761" spans="1:26" hidden="1" x14ac:dyDescent="0.2">
      <c r="A761" s="3">
        <v>43438</v>
      </c>
      <c r="D761" s="5">
        <v>0.90277777777777779</v>
      </c>
      <c r="E761">
        <v>-76.880694444444444</v>
      </c>
      <c r="F761">
        <v>3.5526666666666671</v>
      </c>
      <c r="G761">
        <v>503</v>
      </c>
      <c r="I761">
        <v>2018</v>
      </c>
      <c r="M761" t="s">
        <v>30</v>
      </c>
      <c r="O761" t="s">
        <v>32</v>
      </c>
      <c r="P761" t="s">
        <v>130</v>
      </c>
      <c r="R761" t="s">
        <v>920</v>
      </c>
      <c r="S761" t="s">
        <v>950</v>
      </c>
      <c r="U761" t="s">
        <v>36</v>
      </c>
      <c r="V761">
        <v>0</v>
      </c>
      <c r="Z761" t="s">
        <v>36</v>
      </c>
    </row>
    <row r="762" spans="1:26" hidden="1" x14ac:dyDescent="0.2">
      <c r="A762" s="3">
        <v>43438</v>
      </c>
      <c r="D762" s="5">
        <v>0.91041666666666665</v>
      </c>
      <c r="E762">
        <v>-76.880861111111102</v>
      </c>
      <c r="F762">
        <v>3.5526666666666671</v>
      </c>
      <c r="G762">
        <v>503</v>
      </c>
      <c r="I762">
        <v>2018</v>
      </c>
      <c r="J762">
        <v>2</v>
      </c>
      <c r="K762">
        <v>7</v>
      </c>
      <c r="M762" t="s">
        <v>30</v>
      </c>
      <c r="O762" t="s">
        <v>32</v>
      </c>
      <c r="P762" t="s">
        <v>130</v>
      </c>
      <c r="R762" t="s">
        <v>920</v>
      </c>
      <c r="S762" t="s">
        <v>950</v>
      </c>
      <c r="U762" t="s">
        <v>75</v>
      </c>
      <c r="V762">
        <v>1</v>
      </c>
      <c r="Z762" t="s">
        <v>36</v>
      </c>
    </row>
    <row r="763" spans="1:26" hidden="1" x14ac:dyDescent="0.2">
      <c r="A763" s="3">
        <v>43216</v>
      </c>
      <c r="D763" s="5">
        <v>0.84375</v>
      </c>
      <c r="E763">
        <v>-76.88047222222221</v>
      </c>
      <c r="F763">
        <v>3.5526944444444442</v>
      </c>
      <c r="G763">
        <v>586</v>
      </c>
      <c r="I763">
        <v>2018</v>
      </c>
      <c r="K763">
        <v>5</v>
      </c>
      <c r="M763" t="s">
        <v>30</v>
      </c>
      <c r="O763" t="s">
        <v>32</v>
      </c>
      <c r="P763" t="s">
        <v>130</v>
      </c>
      <c r="S763" t="s">
        <v>946</v>
      </c>
      <c r="U763" t="s">
        <v>112</v>
      </c>
      <c r="V763">
        <v>1</v>
      </c>
      <c r="Z763" t="s">
        <v>36</v>
      </c>
    </row>
    <row r="764" spans="1:26" hidden="1" x14ac:dyDescent="0.2">
      <c r="A764" s="3">
        <v>43216</v>
      </c>
      <c r="D764" s="5">
        <v>0.93958333333333333</v>
      </c>
      <c r="E764">
        <v>-76.890277777777783</v>
      </c>
      <c r="F764">
        <v>3.5511111111111111</v>
      </c>
      <c r="G764">
        <v>680</v>
      </c>
      <c r="I764">
        <v>2018</v>
      </c>
      <c r="M764" t="s">
        <v>30</v>
      </c>
      <c r="O764" t="s">
        <v>32</v>
      </c>
      <c r="P764" t="s">
        <v>119</v>
      </c>
      <c r="S764" t="s">
        <v>951</v>
      </c>
      <c r="U764" t="s">
        <v>112</v>
      </c>
      <c r="V764">
        <v>1</v>
      </c>
      <c r="Z764" t="s">
        <v>36</v>
      </c>
    </row>
    <row r="765" spans="1:26" hidden="1" x14ac:dyDescent="0.2">
      <c r="A765" s="3">
        <v>43217</v>
      </c>
      <c r="D765" s="5">
        <v>0.34236111111111112</v>
      </c>
      <c r="E765">
        <v>-76.880444444444436</v>
      </c>
      <c r="F765">
        <v>3.576888888888889</v>
      </c>
      <c r="G765">
        <v>662</v>
      </c>
      <c r="I765">
        <v>2018</v>
      </c>
      <c r="J765">
        <v>10</v>
      </c>
      <c r="K765">
        <v>90</v>
      </c>
      <c r="M765" t="s">
        <v>30</v>
      </c>
      <c r="O765" t="s">
        <v>32</v>
      </c>
      <c r="P765" t="s">
        <v>98</v>
      </c>
      <c r="R765" t="s">
        <v>919</v>
      </c>
      <c r="S765" t="s">
        <v>956</v>
      </c>
      <c r="U765" t="s">
        <v>43</v>
      </c>
      <c r="V765">
        <v>1</v>
      </c>
      <c r="Z765" t="s">
        <v>36</v>
      </c>
    </row>
    <row r="766" spans="1:26" hidden="1" x14ac:dyDescent="0.2">
      <c r="A766" s="3">
        <v>43217</v>
      </c>
      <c r="D766" s="5">
        <v>0.36944444444444446</v>
      </c>
      <c r="E766">
        <v>-76.880416666666662</v>
      </c>
      <c r="F766">
        <v>3.5791388888888891</v>
      </c>
      <c r="G766">
        <v>741</v>
      </c>
      <c r="I766">
        <v>2018</v>
      </c>
      <c r="J766">
        <v>8</v>
      </c>
      <c r="K766">
        <v>90</v>
      </c>
      <c r="M766" t="s">
        <v>30</v>
      </c>
      <c r="O766" t="s">
        <v>47</v>
      </c>
      <c r="P766" t="s">
        <v>98</v>
      </c>
      <c r="R766" t="s">
        <v>919</v>
      </c>
      <c r="S766" t="s">
        <v>956</v>
      </c>
      <c r="U766" t="s">
        <v>43</v>
      </c>
      <c r="V766">
        <v>1</v>
      </c>
      <c r="Z766" t="s">
        <v>36</v>
      </c>
    </row>
    <row r="767" spans="1:26" hidden="1" x14ac:dyDescent="0.2">
      <c r="A767" s="3">
        <v>43217</v>
      </c>
      <c r="D767" s="5">
        <v>0.34861111111111109</v>
      </c>
      <c r="E767">
        <v>-76.880416666666662</v>
      </c>
      <c r="F767">
        <v>3.5791388888888891</v>
      </c>
      <c r="G767">
        <v>741</v>
      </c>
      <c r="I767">
        <v>2018</v>
      </c>
      <c r="M767" t="s">
        <v>30</v>
      </c>
      <c r="O767" t="s">
        <v>47</v>
      </c>
      <c r="P767" t="s">
        <v>98</v>
      </c>
      <c r="R767" t="s">
        <v>919</v>
      </c>
      <c r="S767" t="s">
        <v>946</v>
      </c>
      <c r="U767" t="s">
        <v>43</v>
      </c>
      <c r="V767">
        <v>1</v>
      </c>
      <c r="W767" t="s">
        <v>66</v>
      </c>
      <c r="Z767" t="s">
        <v>36</v>
      </c>
    </row>
    <row r="768" spans="1:26" hidden="1" x14ac:dyDescent="0.2">
      <c r="A768" s="3">
        <v>43217</v>
      </c>
      <c r="D768" s="5">
        <v>0.34861111111111109</v>
      </c>
      <c r="E768">
        <v>-76.880416666666662</v>
      </c>
      <c r="F768">
        <v>3.5791388888888891</v>
      </c>
      <c r="G768">
        <v>741</v>
      </c>
      <c r="I768">
        <v>2018</v>
      </c>
      <c r="M768" t="s">
        <v>30</v>
      </c>
      <c r="O768" t="s">
        <v>47</v>
      </c>
      <c r="P768" t="s">
        <v>98</v>
      </c>
      <c r="R768" t="s">
        <v>919</v>
      </c>
      <c r="S768" t="s">
        <v>956</v>
      </c>
      <c r="U768" t="s">
        <v>43</v>
      </c>
      <c r="V768">
        <v>1</v>
      </c>
      <c r="W768" t="s">
        <v>66</v>
      </c>
      <c r="Z768" t="s">
        <v>36</v>
      </c>
    </row>
    <row r="769" spans="1:26" hidden="1" x14ac:dyDescent="0.2">
      <c r="A769" s="3">
        <v>43217</v>
      </c>
      <c r="D769" s="5">
        <v>0.38194444444444442</v>
      </c>
      <c r="E769">
        <v>-76.880416666666662</v>
      </c>
      <c r="F769">
        <v>3.5791388888888891</v>
      </c>
      <c r="G769">
        <v>741</v>
      </c>
      <c r="I769">
        <v>2018</v>
      </c>
      <c r="M769" t="s">
        <v>30</v>
      </c>
      <c r="O769" t="s">
        <v>47</v>
      </c>
      <c r="P769" t="s">
        <v>98</v>
      </c>
      <c r="R769" t="s">
        <v>919</v>
      </c>
      <c r="S769" t="s">
        <v>956</v>
      </c>
      <c r="U769" t="s">
        <v>43</v>
      </c>
      <c r="V769">
        <v>1</v>
      </c>
      <c r="W769" t="s">
        <v>66</v>
      </c>
      <c r="Z769" t="s">
        <v>36</v>
      </c>
    </row>
    <row r="770" spans="1:26" hidden="1" x14ac:dyDescent="0.2">
      <c r="A770" s="3">
        <v>43217</v>
      </c>
      <c r="D770" s="5">
        <v>0.38333333333333336</v>
      </c>
      <c r="E770">
        <v>-76.880416666666662</v>
      </c>
      <c r="F770">
        <v>3.5791388888888891</v>
      </c>
      <c r="G770">
        <v>741</v>
      </c>
      <c r="I770">
        <v>2018</v>
      </c>
      <c r="M770" t="s">
        <v>30</v>
      </c>
      <c r="O770" t="s">
        <v>47</v>
      </c>
      <c r="P770" t="s">
        <v>98</v>
      </c>
      <c r="R770" t="s">
        <v>919</v>
      </c>
      <c r="S770" t="s">
        <v>949</v>
      </c>
      <c r="U770" t="s">
        <v>43</v>
      </c>
      <c r="V770">
        <v>1</v>
      </c>
      <c r="W770" t="s">
        <v>66</v>
      </c>
      <c r="Z770" t="s">
        <v>36</v>
      </c>
    </row>
    <row r="771" spans="1:26" hidden="1" x14ac:dyDescent="0.2">
      <c r="A771" s="3">
        <v>43217</v>
      </c>
      <c r="D771" s="5">
        <v>0.40972222222222221</v>
      </c>
      <c r="E771">
        <v>-76.88047222222221</v>
      </c>
      <c r="F771">
        <v>3.5787499999999999</v>
      </c>
      <c r="G771">
        <v>712</v>
      </c>
      <c r="I771">
        <v>2018</v>
      </c>
      <c r="J771">
        <v>7</v>
      </c>
      <c r="K771">
        <v>70</v>
      </c>
      <c r="M771" t="s">
        <v>30</v>
      </c>
      <c r="O771" t="s">
        <v>40</v>
      </c>
      <c r="P771" t="s">
        <v>98</v>
      </c>
      <c r="R771" t="s">
        <v>919</v>
      </c>
      <c r="S771" t="s">
        <v>956</v>
      </c>
      <c r="U771" t="s">
        <v>43</v>
      </c>
      <c r="V771">
        <v>1</v>
      </c>
      <c r="Z771" t="s">
        <v>36</v>
      </c>
    </row>
    <row r="772" spans="1:26" hidden="1" x14ac:dyDescent="0.2">
      <c r="A772" s="3">
        <v>43217</v>
      </c>
      <c r="D772" s="5">
        <v>0.41111111111111109</v>
      </c>
      <c r="E772">
        <v>-76.88047222222221</v>
      </c>
      <c r="F772">
        <v>3.5787499999999999</v>
      </c>
      <c r="G772">
        <v>712</v>
      </c>
      <c r="I772">
        <v>2018</v>
      </c>
      <c r="J772">
        <v>7</v>
      </c>
      <c r="K772">
        <v>70</v>
      </c>
      <c r="M772" t="s">
        <v>30</v>
      </c>
      <c r="O772" t="s">
        <v>40</v>
      </c>
      <c r="P772" t="s">
        <v>98</v>
      </c>
      <c r="R772" t="s">
        <v>919</v>
      </c>
      <c r="S772" t="s">
        <v>951</v>
      </c>
      <c r="U772" t="s">
        <v>43</v>
      </c>
      <c r="V772">
        <v>1</v>
      </c>
      <c r="Z772" t="s">
        <v>36</v>
      </c>
    </row>
    <row r="773" spans="1:26" hidden="1" x14ac:dyDescent="0.2">
      <c r="A773" s="3">
        <v>43217</v>
      </c>
      <c r="D773" s="5"/>
      <c r="I773">
        <v>2018</v>
      </c>
      <c r="M773" t="s">
        <v>30</v>
      </c>
      <c r="O773" t="s">
        <v>38</v>
      </c>
      <c r="P773" t="s">
        <v>98</v>
      </c>
      <c r="U773" t="s">
        <v>36</v>
      </c>
    </row>
    <row r="774" spans="1:26" hidden="1" x14ac:dyDescent="0.2">
      <c r="A774" s="3">
        <v>43218</v>
      </c>
      <c r="D774" s="5">
        <v>0.85069444444444442</v>
      </c>
      <c r="E774">
        <v>-76.891833333333338</v>
      </c>
      <c r="F774">
        <v>3.594586111111111</v>
      </c>
      <c r="G774">
        <v>624</v>
      </c>
      <c r="I774">
        <v>2018</v>
      </c>
      <c r="J774">
        <v>12</v>
      </c>
      <c r="K774">
        <v>10</v>
      </c>
      <c r="M774" t="s">
        <v>30</v>
      </c>
      <c r="O774" t="s">
        <v>32</v>
      </c>
      <c r="P774" t="s">
        <v>33</v>
      </c>
      <c r="R774" t="s">
        <v>919</v>
      </c>
      <c r="S774" t="s">
        <v>946</v>
      </c>
      <c r="U774" t="s">
        <v>92</v>
      </c>
      <c r="V774">
        <v>1</v>
      </c>
      <c r="Z774" t="s">
        <v>36</v>
      </c>
    </row>
    <row r="775" spans="1:26" hidden="1" x14ac:dyDescent="0.2">
      <c r="A775" s="3">
        <v>43218</v>
      </c>
      <c r="D775" s="5">
        <v>0.8569444444444444</v>
      </c>
      <c r="E775">
        <v>-76.891430555555559</v>
      </c>
      <c r="F775">
        <v>3.594213888888889</v>
      </c>
      <c r="G775">
        <v>523</v>
      </c>
      <c r="I775">
        <v>2018</v>
      </c>
      <c r="J775">
        <v>3</v>
      </c>
      <c r="K775">
        <v>10</v>
      </c>
      <c r="M775" t="s">
        <v>30</v>
      </c>
      <c r="O775" t="s">
        <v>32</v>
      </c>
      <c r="P775" t="s">
        <v>33</v>
      </c>
      <c r="R775" t="s">
        <v>919</v>
      </c>
      <c r="S775" t="s">
        <v>946</v>
      </c>
      <c r="U775" t="s">
        <v>84</v>
      </c>
      <c r="V775">
        <v>1</v>
      </c>
      <c r="Z775" t="s">
        <v>36</v>
      </c>
    </row>
    <row r="776" spans="1:26" hidden="1" x14ac:dyDescent="0.2">
      <c r="A776" s="3">
        <v>43218</v>
      </c>
      <c r="D776" s="5">
        <v>0.86319444444444449</v>
      </c>
      <c r="E776">
        <v>-76.891852777777785</v>
      </c>
      <c r="F776">
        <v>3.594558333333334</v>
      </c>
      <c r="G776">
        <v>596</v>
      </c>
      <c r="I776">
        <v>2018</v>
      </c>
      <c r="J776">
        <v>15</v>
      </c>
      <c r="K776">
        <v>5</v>
      </c>
      <c r="M776" t="s">
        <v>30</v>
      </c>
      <c r="O776" t="s">
        <v>32</v>
      </c>
      <c r="P776" t="s">
        <v>33</v>
      </c>
      <c r="R776" t="s">
        <v>919</v>
      </c>
      <c r="S776" t="s">
        <v>946</v>
      </c>
      <c r="U776" t="s">
        <v>84</v>
      </c>
      <c r="V776">
        <v>1</v>
      </c>
      <c r="Z776" t="s">
        <v>36</v>
      </c>
    </row>
    <row r="777" spans="1:26" hidden="1" x14ac:dyDescent="0.2">
      <c r="A777" s="3">
        <v>43218</v>
      </c>
      <c r="D777" s="5">
        <v>0.86805555555555558</v>
      </c>
      <c r="E777">
        <v>-76.892086111111112</v>
      </c>
      <c r="F777">
        <v>3.5949</v>
      </c>
      <c r="G777">
        <v>585</v>
      </c>
      <c r="I777">
        <v>2018</v>
      </c>
      <c r="J777">
        <v>30</v>
      </c>
      <c r="K777">
        <v>90</v>
      </c>
      <c r="M777" t="s">
        <v>30</v>
      </c>
      <c r="O777" t="s">
        <v>32</v>
      </c>
      <c r="P777" t="s">
        <v>33</v>
      </c>
      <c r="R777" t="s">
        <v>919</v>
      </c>
      <c r="S777" t="s">
        <v>951</v>
      </c>
      <c r="U777" t="s">
        <v>178</v>
      </c>
      <c r="V777">
        <v>1</v>
      </c>
      <c r="Z777" t="s">
        <v>36</v>
      </c>
    </row>
    <row r="778" spans="1:26" hidden="1" x14ac:dyDescent="0.2">
      <c r="A778" s="3">
        <v>43218</v>
      </c>
      <c r="D778" s="5">
        <v>0.89097222222222228</v>
      </c>
      <c r="E778">
        <v>-76.89262777777779</v>
      </c>
      <c r="F778">
        <v>3.5956250000000001</v>
      </c>
      <c r="G778">
        <v>576</v>
      </c>
      <c r="I778">
        <v>2018</v>
      </c>
      <c r="J778">
        <v>15</v>
      </c>
      <c r="K778">
        <v>5</v>
      </c>
      <c r="M778" t="s">
        <v>30</v>
      </c>
      <c r="O778" t="s">
        <v>38</v>
      </c>
      <c r="P778" t="s">
        <v>33</v>
      </c>
      <c r="R778" t="s">
        <v>919</v>
      </c>
      <c r="S778" t="s">
        <v>946</v>
      </c>
      <c r="U778" t="s">
        <v>84</v>
      </c>
      <c r="V778">
        <v>1</v>
      </c>
      <c r="Z778" t="s">
        <v>36</v>
      </c>
    </row>
    <row r="779" spans="1:26" hidden="1" x14ac:dyDescent="0.2">
      <c r="A779" s="3">
        <v>43439</v>
      </c>
      <c r="D779" s="5">
        <v>0.32708333333333334</v>
      </c>
      <c r="E779">
        <v>-76.880499999999998</v>
      </c>
      <c r="F779">
        <v>3.5787499999999999</v>
      </c>
      <c r="G779">
        <v>620</v>
      </c>
      <c r="I779">
        <v>2018</v>
      </c>
      <c r="J779">
        <v>20</v>
      </c>
      <c r="K779">
        <v>40</v>
      </c>
      <c r="M779" t="s">
        <v>30</v>
      </c>
      <c r="O779" t="s">
        <v>40</v>
      </c>
      <c r="P779" t="s">
        <v>98</v>
      </c>
      <c r="R779" t="s">
        <v>919</v>
      </c>
      <c r="S779" t="s">
        <v>959</v>
      </c>
      <c r="U779" t="s">
        <v>43</v>
      </c>
      <c r="V779">
        <v>1</v>
      </c>
      <c r="Z779" t="s">
        <v>36</v>
      </c>
    </row>
    <row r="780" spans="1:26" hidden="1" x14ac:dyDescent="0.2">
      <c r="A780" s="3">
        <v>43439</v>
      </c>
      <c r="D780" s="5">
        <v>0.33680555555555558</v>
      </c>
      <c r="E780">
        <v>-76.880499999999998</v>
      </c>
      <c r="F780">
        <v>3.578638888888888</v>
      </c>
      <c r="G780">
        <v>620</v>
      </c>
      <c r="I780">
        <v>2018</v>
      </c>
      <c r="J780">
        <v>2</v>
      </c>
      <c r="K780">
        <v>50</v>
      </c>
      <c r="M780" t="s">
        <v>30</v>
      </c>
      <c r="O780" t="s">
        <v>40</v>
      </c>
      <c r="P780" t="s">
        <v>98</v>
      </c>
      <c r="R780" t="s">
        <v>919</v>
      </c>
      <c r="S780" t="s">
        <v>959</v>
      </c>
      <c r="U780" t="s">
        <v>43</v>
      </c>
      <c r="V780">
        <v>1</v>
      </c>
      <c r="Z780" t="s">
        <v>36</v>
      </c>
    </row>
    <row r="781" spans="1:26" hidden="1" x14ac:dyDescent="0.2">
      <c r="A781" s="3">
        <v>43440</v>
      </c>
      <c r="D781" s="5">
        <v>0.36458333333333331</v>
      </c>
      <c r="E781">
        <v>-76.89200000000001</v>
      </c>
      <c r="F781">
        <v>3.5956944444444452</v>
      </c>
      <c r="G781">
        <v>508</v>
      </c>
      <c r="I781">
        <v>2018</v>
      </c>
      <c r="J781">
        <v>15</v>
      </c>
      <c r="K781">
        <v>30</v>
      </c>
      <c r="M781" t="s">
        <v>30</v>
      </c>
      <c r="O781" t="s">
        <v>38</v>
      </c>
      <c r="P781" t="s">
        <v>33</v>
      </c>
      <c r="R781" t="s">
        <v>919</v>
      </c>
      <c r="S781" t="s">
        <v>959</v>
      </c>
      <c r="U781" t="s">
        <v>43</v>
      </c>
      <c r="V781">
        <v>1</v>
      </c>
      <c r="Z781" t="s">
        <v>36</v>
      </c>
    </row>
    <row r="782" spans="1:26" hidden="1" x14ac:dyDescent="0.2">
      <c r="A782" s="3">
        <v>43440</v>
      </c>
      <c r="D782" s="5">
        <v>0.36458333333333331</v>
      </c>
      <c r="E782">
        <v>-76.89200000000001</v>
      </c>
      <c r="F782">
        <v>3.5956944444444452</v>
      </c>
      <c r="G782">
        <v>508</v>
      </c>
      <c r="I782">
        <v>2018</v>
      </c>
      <c r="J782">
        <v>15</v>
      </c>
      <c r="K782">
        <v>30</v>
      </c>
      <c r="M782" t="s">
        <v>30</v>
      </c>
      <c r="O782" t="s">
        <v>38</v>
      </c>
      <c r="P782" t="s">
        <v>33</v>
      </c>
      <c r="R782" t="s">
        <v>919</v>
      </c>
      <c r="S782" t="s">
        <v>959</v>
      </c>
      <c r="U782" t="s">
        <v>43</v>
      </c>
      <c r="V782">
        <v>1</v>
      </c>
      <c r="Z782" t="s">
        <v>36</v>
      </c>
    </row>
    <row r="783" spans="1:26" hidden="1" x14ac:dyDescent="0.2">
      <c r="A783" s="3">
        <v>43440</v>
      </c>
      <c r="D783" s="5">
        <v>0.38333333333333336</v>
      </c>
      <c r="E783">
        <v>-76.892194444444456</v>
      </c>
      <c r="F783">
        <v>3.5955833333333329</v>
      </c>
      <c r="G783">
        <v>501</v>
      </c>
      <c r="I783">
        <v>2018</v>
      </c>
      <c r="J783">
        <v>30</v>
      </c>
      <c r="K783">
        <v>80</v>
      </c>
      <c r="M783" t="s">
        <v>30</v>
      </c>
      <c r="O783" t="s">
        <v>38</v>
      </c>
      <c r="P783" t="s">
        <v>33</v>
      </c>
      <c r="R783" t="s">
        <v>919</v>
      </c>
      <c r="S783" t="s">
        <v>950</v>
      </c>
      <c r="U783" t="s">
        <v>43</v>
      </c>
      <c r="V783">
        <v>1</v>
      </c>
      <c r="Z783" t="s">
        <v>36</v>
      </c>
    </row>
    <row r="784" spans="1:26" hidden="1" x14ac:dyDescent="0.2">
      <c r="A784" s="3">
        <v>43440</v>
      </c>
      <c r="D784" s="5"/>
      <c r="E784">
        <v>-76.892833333333343</v>
      </c>
      <c r="F784">
        <v>3.5960000000000001</v>
      </c>
      <c r="G784">
        <v>512</v>
      </c>
      <c r="I784">
        <v>2018</v>
      </c>
      <c r="M784" t="s">
        <v>30</v>
      </c>
      <c r="O784" t="s">
        <v>38</v>
      </c>
      <c r="P784" t="s">
        <v>33</v>
      </c>
      <c r="R784" t="s">
        <v>919</v>
      </c>
      <c r="U784" t="s">
        <v>36</v>
      </c>
      <c r="V784">
        <v>0</v>
      </c>
      <c r="Z784" t="s">
        <v>36</v>
      </c>
    </row>
    <row r="785" spans="1:26" hidden="1" x14ac:dyDescent="0.2">
      <c r="A785" s="3">
        <v>43202</v>
      </c>
      <c r="D785" s="5">
        <v>0.94374999999999998</v>
      </c>
      <c r="E785">
        <v>-76.656272222222228</v>
      </c>
      <c r="F785">
        <v>3.3548583333333331</v>
      </c>
      <c r="G785">
        <v>2593</v>
      </c>
      <c r="I785">
        <v>2018</v>
      </c>
      <c r="J785">
        <v>20</v>
      </c>
      <c r="K785">
        <v>60</v>
      </c>
      <c r="M785" t="s">
        <v>624</v>
      </c>
      <c r="O785" t="s">
        <v>38</v>
      </c>
      <c r="P785" t="s">
        <v>720</v>
      </c>
      <c r="R785" t="s">
        <v>919</v>
      </c>
      <c r="S785" t="s">
        <v>956</v>
      </c>
      <c r="U785" t="s">
        <v>723</v>
      </c>
      <c r="V785">
        <v>1</v>
      </c>
      <c r="Z785" t="s">
        <v>36</v>
      </c>
    </row>
    <row r="786" spans="1:26" hidden="1" x14ac:dyDescent="0.2">
      <c r="A786" s="3">
        <v>43202</v>
      </c>
      <c r="D786" s="5">
        <v>0.94791666666666663</v>
      </c>
      <c r="E786">
        <v>-76.656130555555563</v>
      </c>
      <c r="F786">
        <v>3.3548249999999999</v>
      </c>
      <c r="G786">
        <v>2595</v>
      </c>
      <c r="I786">
        <v>2018</v>
      </c>
      <c r="J786">
        <v>20</v>
      </c>
      <c r="K786">
        <v>45</v>
      </c>
      <c r="M786" t="s">
        <v>624</v>
      </c>
      <c r="O786" t="s">
        <v>38</v>
      </c>
      <c r="P786" t="s">
        <v>720</v>
      </c>
      <c r="R786" t="s">
        <v>919</v>
      </c>
      <c r="S786" t="s">
        <v>951</v>
      </c>
      <c r="U786" t="s">
        <v>723</v>
      </c>
      <c r="V786">
        <v>1</v>
      </c>
      <c r="Z786" t="s">
        <v>36</v>
      </c>
    </row>
    <row r="787" spans="1:26" hidden="1" x14ac:dyDescent="0.2">
      <c r="A787" s="3">
        <v>43202</v>
      </c>
      <c r="D787" s="5">
        <v>0.94791666666666663</v>
      </c>
      <c r="E787">
        <v>-76.656130555555563</v>
      </c>
      <c r="F787">
        <v>3.3548249999999999</v>
      </c>
      <c r="G787">
        <v>2595</v>
      </c>
      <c r="I787">
        <v>2018</v>
      </c>
      <c r="J787">
        <v>20</v>
      </c>
      <c r="K787">
        <v>45</v>
      </c>
      <c r="M787" t="s">
        <v>624</v>
      </c>
      <c r="O787" t="s">
        <v>38</v>
      </c>
      <c r="P787" t="s">
        <v>720</v>
      </c>
      <c r="R787" t="s">
        <v>919</v>
      </c>
      <c r="S787" t="s">
        <v>951</v>
      </c>
      <c r="U787" t="s">
        <v>723</v>
      </c>
      <c r="V787">
        <v>1</v>
      </c>
      <c r="Z787" t="s">
        <v>36</v>
      </c>
    </row>
    <row r="788" spans="1:26" hidden="1" x14ac:dyDescent="0.2">
      <c r="A788" s="3">
        <v>43202</v>
      </c>
      <c r="D788" s="5">
        <v>1.0416666666666666E-2</v>
      </c>
      <c r="E788">
        <v>-76.652033333333335</v>
      </c>
      <c r="F788">
        <v>3.3534944444444439</v>
      </c>
      <c r="G788">
        <v>2554</v>
      </c>
      <c r="I788">
        <v>2018</v>
      </c>
      <c r="J788">
        <v>15</v>
      </c>
      <c r="K788">
        <v>50</v>
      </c>
      <c r="M788" t="s">
        <v>624</v>
      </c>
      <c r="O788" t="s">
        <v>47</v>
      </c>
      <c r="P788" t="s">
        <v>690</v>
      </c>
      <c r="R788" t="s">
        <v>919</v>
      </c>
      <c r="S788" t="s">
        <v>951</v>
      </c>
      <c r="U788" t="s">
        <v>238</v>
      </c>
      <c r="V788">
        <v>1</v>
      </c>
      <c r="Z788" t="s">
        <v>36</v>
      </c>
    </row>
    <row r="789" spans="1:26" hidden="1" x14ac:dyDescent="0.2">
      <c r="A789" s="3">
        <v>43202</v>
      </c>
      <c r="D789" s="5">
        <v>1.2500000000000001E-2</v>
      </c>
      <c r="E789">
        <v>-76.652033333333335</v>
      </c>
      <c r="F789">
        <v>3.3534944444444439</v>
      </c>
      <c r="G789">
        <v>2554</v>
      </c>
      <c r="I789">
        <v>2018</v>
      </c>
      <c r="J789">
        <v>20</v>
      </c>
      <c r="K789">
        <v>60</v>
      </c>
      <c r="M789" t="s">
        <v>624</v>
      </c>
      <c r="O789" t="s">
        <v>47</v>
      </c>
      <c r="P789" t="s">
        <v>690</v>
      </c>
      <c r="R789" t="s">
        <v>919</v>
      </c>
      <c r="S789" t="s">
        <v>945</v>
      </c>
      <c r="U789" t="s">
        <v>238</v>
      </c>
      <c r="V789">
        <v>1</v>
      </c>
      <c r="Z789" t="s">
        <v>36</v>
      </c>
    </row>
    <row r="790" spans="1:26" hidden="1" x14ac:dyDescent="0.2">
      <c r="A790" s="3">
        <v>43202</v>
      </c>
      <c r="D790" s="5">
        <v>1.3888888888888888E-2</v>
      </c>
      <c r="E790">
        <v>-76.651983333333334</v>
      </c>
      <c r="F790">
        <v>3.3534388888888889</v>
      </c>
      <c r="G790">
        <v>2548</v>
      </c>
      <c r="I790">
        <v>2018</v>
      </c>
      <c r="J790">
        <v>20</v>
      </c>
      <c r="K790">
        <v>90</v>
      </c>
      <c r="M790" t="s">
        <v>624</v>
      </c>
      <c r="O790" t="s">
        <v>47</v>
      </c>
      <c r="P790" t="s">
        <v>690</v>
      </c>
      <c r="R790" t="s">
        <v>919</v>
      </c>
      <c r="S790" t="s">
        <v>956</v>
      </c>
      <c r="U790" t="s">
        <v>238</v>
      </c>
      <c r="V790">
        <v>1</v>
      </c>
      <c r="Z790" t="s">
        <v>36</v>
      </c>
    </row>
    <row r="791" spans="1:26" hidden="1" x14ac:dyDescent="0.2">
      <c r="A791" s="3">
        <v>43202</v>
      </c>
      <c r="D791" s="5">
        <v>1.8055555555555554E-2</v>
      </c>
      <c r="E791">
        <v>-76.651825000000002</v>
      </c>
      <c r="F791">
        <v>3.3532972222222219</v>
      </c>
      <c r="G791">
        <v>2545</v>
      </c>
      <c r="I791">
        <v>2018</v>
      </c>
      <c r="J791">
        <v>15</v>
      </c>
      <c r="K791">
        <v>30</v>
      </c>
      <c r="M791" t="s">
        <v>624</v>
      </c>
      <c r="O791" t="s">
        <v>47</v>
      </c>
      <c r="P791" t="s">
        <v>690</v>
      </c>
      <c r="R791" t="s">
        <v>919</v>
      </c>
      <c r="S791" t="s">
        <v>951</v>
      </c>
      <c r="U791" t="s">
        <v>238</v>
      </c>
      <c r="V791">
        <v>1</v>
      </c>
      <c r="Z791" t="s">
        <v>36</v>
      </c>
    </row>
    <row r="792" spans="1:26" hidden="1" x14ac:dyDescent="0.2">
      <c r="A792" s="3">
        <v>43440</v>
      </c>
      <c r="D792" s="5">
        <v>0.41180555555555554</v>
      </c>
      <c r="E792">
        <v>-76.892472222222224</v>
      </c>
      <c r="F792">
        <v>3.5973055555555562</v>
      </c>
      <c r="G792">
        <v>583</v>
      </c>
      <c r="I792">
        <v>2018</v>
      </c>
      <c r="J792">
        <v>30</v>
      </c>
      <c r="K792">
        <v>45</v>
      </c>
      <c r="M792" t="s">
        <v>30</v>
      </c>
      <c r="O792" t="s">
        <v>40</v>
      </c>
      <c r="P792" t="s">
        <v>33</v>
      </c>
      <c r="R792" t="s">
        <v>919</v>
      </c>
      <c r="S792" t="s">
        <v>951</v>
      </c>
      <c r="U792" t="s">
        <v>43</v>
      </c>
      <c r="V792">
        <v>1</v>
      </c>
      <c r="Z792" t="s">
        <v>36</v>
      </c>
    </row>
    <row r="793" spans="1:26" hidden="1" x14ac:dyDescent="0.2">
      <c r="A793" s="3">
        <v>43754</v>
      </c>
      <c r="D793" s="5">
        <v>0.90586805555555561</v>
      </c>
      <c r="E793">
        <v>-76.726098333333297</v>
      </c>
      <c r="F793">
        <v>3.4994049999999999</v>
      </c>
      <c r="G793">
        <v>1805</v>
      </c>
      <c r="H793">
        <v>2.1</v>
      </c>
      <c r="I793">
        <v>2019</v>
      </c>
      <c r="J793">
        <v>20</v>
      </c>
      <c r="K793">
        <v>3</v>
      </c>
      <c r="M793" t="s">
        <v>247</v>
      </c>
      <c r="O793" t="s">
        <v>38</v>
      </c>
      <c r="P793" t="s">
        <v>340</v>
      </c>
      <c r="R793" t="s">
        <v>920</v>
      </c>
      <c r="S793" t="s">
        <v>959</v>
      </c>
      <c r="U793" t="s">
        <v>88</v>
      </c>
      <c r="V793">
        <v>1</v>
      </c>
      <c r="Z793" t="s">
        <v>36</v>
      </c>
    </row>
    <row r="794" spans="1:26" hidden="1" x14ac:dyDescent="0.2">
      <c r="A794" s="3">
        <v>43754</v>
      </c>
      <c r="D794" s="5">
        <v>0.96562499999999996</v>
      </c>
      <c r="E794">
        <v>-76.726883333333305</v>
      </c>
      <c r="F794">
        <v>3.5003649999999999</v>
      </c>
      <c r="G794">
        <v>1808</v>
      </c>
      <c r="H794">
        <v>0</v>
      </c>
      <c r="I794">
        <v>2019</v>
      </c>
      <c r="J794">
        <v>5</v>
      </c>
      <c r="K794">
        <v>5</v>
      </c>
      <c r="M794" t="s">
        <v>247</v>
      </c>
      <c r="O794" t="s">
        <v>32</v>
      </c>
      <c r="P794" t="s">
        <v>340</v>
      </c>
      <c r="R794" t="s">
        <v>273</v>
      </c>
      <c r="S794" t="s">
        <v>961</v>
      </c>
      <c r="U794" t="s">
        <v>68</v>
      </c>
      <c r="V794">
        <v>1</v>
      </c>
      <c r="W794" t="s">
        <v>1071</v>
      </c>
      <c r="Z794" t="s">
        <v>1009</v>
      </c>
    </row>
    <row r="795" spans="1:26" hidden="1" x14ac:dyDescent="0.2">
      <c r="A795" s="3">
        <v>43754</v>
      </c>
      <c r="D795" s="5">
        <v>0.89128472222222221</v>
      </c>
      <c r="E795">
        <v>-76.726044999999999</v>
      </c>
      <c r="F795">
        <v>3.499285</v>
      </c>
      <c r="G795">
        <v>1790</v>
      </c>
      <c r="H795">
        <v>2</v>
      </c>
      <c r="I795">
        <v>2019</v>
      </c>
      <c r="J795">
        <v>20</v>
      </c>
      <c r="K795">
        <v>10</v>
      </c>
      <c r="M795" t="s">
        <v>247</v>
      </c>
      <c r="O795" t="s">
        <v>38</v>
      </c>
      <c r="P795" t="s">
        <v>340</v>
      </c>
      <c r="R795" t="s">
        <v>921</v>
      </c>
      <c r="U795" t="s">
        <v>36</v>
      </c>
      <c r="V795">
        <v>0</v>
      </c>
      <c r="Z795" t="s">
        <v>36</v>
      </c>
    </row>
    <row r="796" spans="1:26" hidden="1" x14ac:dyDescent="0.2">
      <c r="A796" s="3">
        <v>43754</v>
      </c>
      <c r="D796" s="5">
        <v>0.89857638888888891</v>
      </c>
      <c r="E796">
        <v>-76.726074999999994</v>
      </c>
      <c r="F796">
        <v>3.4993616666666698</v>
      </c>
      <c r="G796">
        <v>1790</v>
      </c>
      <c r="H796">
        <v>2</v>
      </c>
      <c r="I796">
        <v>2019</v>
      </c>
      <c r="J796">
        <v>25</v>
      </c>
      <c r="K796">
        <v>3</v>
      </c>
      <c r="M796" t="s">
        <v>247</v>
      </c>
      <c r="O796" t="s">
        <v>38</v>
      </c>
      <c r="P796" t="s">
        <v>340</v>
      </c>
      <c r="R796" t="s">
        <v>920</v>
      </c>
      <c r="S796" t="s">
        <v>961</v>
      </c>
      <c r="U796" t="s">
        <v>178</v>
      </c>
      <c r="V796">
        <v>1</v>
      </c>
      <c r="W796" t="s">
        <v>1072</v>
      </c>
      <c r="Z796" t="s">
        <v>36</v>
      </c>
    </row>
    <row r="797" spans="1:26" hidden="1" x14ac:dyDescent="0.2">
      <c r="A797" s="3">
        <v>43754</v>
      </c>
      <c r="D797" s="5">
        <v>0.93240740740740746</v>
      </c>
      <c r="E797">
        <v>-76.726285000000004</v>
      </c>
      <c r="F797">
        <v>3.49976333333333</v>
      </c>
      <c r="G797">
        <v>1806</v>
      </c>
      <c r="H797">
        <v>2.5</v>
      </c>
      <c r="I797">
        <v>2019</v>
      </c>
      <c r="J797">
        <v>18</v>
      </c>
      <c r="K797">
        <v>7</v>
      </c>
      <c r="M797" t="s">
        <v>247</v>
      </c>
      <c r="O797" t="s">
        <v>38</v>
      </c>
      <c r="P797" t="s">
        <v>340</v>
      </c>
      <c r="R797" t="s">
        <v>920</v>
      </c>
      <c r="S797" t="s">
        <v>961</v>
      </c>
      <c r="U797" t="s">
        <v>238</v>
      </c>
      <c r="V797">
        <v>1</v>
      </c>
      <c r="Z797" t="s">
        <v>36</v>
      </c>
    </row>
    <row r="798" spans="1:26" hidden="1" x14ac:dyDescent="0.2">
      <c r="A798" s="3">
        <v>43754</v>
      </c>
      <c r="D798" s="5">
        <v>0.93994212962962964</v>
      </c>
      <c r="E798">
        <v>-76.726240000000004</v>
      </c>
      <c r="F798">
        <v>3.4999699999999998</v>
      </c>
      <c r="G798">
        <v>1803</v>
      </c>
      <c r="H798">
        <v>0</v>
      </c>
      <c r="I798">
        <v>2019</v>
      </c>
      <c r="J798">
        <v>10</v>
      </c>
      <c r="K798">
        <v>5</v>
      </c>
      <c r="M798" t="s">
        <v>247</v>
      </c>
      <c r="O798" t="s">
        <v>32</v>
      </c>
      <c r="P798" t="s">
        <v>340</v>
      </c>
      <c r="R798" t="s">
        <v>920</v>
      </c>
      <c r="S798" t="s">
        <v>962</v>
      </c>
      <c r="U798" t="s">
        <v>238</v>
      </c>
      <c r="V798">
        <v>1</v>
      </c>
      <c r="Z798" t="s">
        <v>36</v>
      </c>
    </row>
    <row r="799" spans="1:26" hidden="1" x14ac:dyDescent="0.2">
      <c r="A799" s="3">
        <v>43754</v>
      </c>
      <c r="D799" s="5">
        <v>0.93994212962962964</v>
      </c>
      <c r="E799">
        <v>-76.726240000000004</v>
      </c>
      <c r="F799">
        <v>3.4999699999999998</v>
      </c>
      <c r="G799">
        <v>1803</v>
      </c>
      <c r="H799">
        <v>0</v>
      </c>
      <c r="I799">
        <v>2019</v>
      </c>
      <c r="J799">
        <v>10</v>
      </c>
      <c r="K799">
        <v>5</v>
      </c>
      <c r="M799" t="s">
        <v>247</v>
      </c>
      <c r="O799" t="s">
        <v>32</v>
      </c>
      <c r="P799" t="s">
        <v>340</v>
      </c>
      <c r="R799" t="s">
        <v>920</v>
      </c>
      <c r="S799" t="s">
        <v>963</v>
      </c>
      <c r="U799" t="s">
        <v>88</v>
      </c>
      <c r="V799">
        <v>1</v>
      </c>
      <c r="Z799" t="s">
        <v>36</v>
      </c>
    </row>
    <row r="800" spans="1:26" hidden="1" x14ac:dyDescent="0.2">
      <c r="A800" s="3">
        <v>43754</v>
      </c>
      <c r="D800" s="5">
        <v>0.96712962962962967</v>
      </c>
      <c r="E800">
        <v>-76.726903333333297</v>
      </c>
      <c r="F800">
        <v>3.5003549999999999</v>
      </c>
      <c r="G800">
        <v>1808</v>
      </c>
      <c r="H800">
        <v>0</v>
      </c>
      <c r="I800">
        <v>2019</v>
      </c>
      <c r="J800">
        <v>5</v>
      </c>
      <c r="K800">
        <v>5</v>
      </c>
      <c r="M800" t="s">
        <v>247</v>
      </c>
      <c r="O800" t="s">
        <v>32</v>
      </c>
      <c r="P800" t="s">
        <v>340</v>
      </c>
      <c r="R800" t="s">
        <v>273</v>
      </c>
      <c r="U800" t="s">
        <v>36</v>
      </c>
      <c r="V800">
        <v>0</v>
      </c>
      <c r="W800" t="s">
        <v>1073</v>
      </c>
      <c r="Z800" t="s">
        <v>36</v>
      </c>
    </row>
    <row r="801" spans="1:26" hidden="1" x14ac:dyDescent="0.2">
      <c r="A801" s="3">
        <v>43754</v>
      </c>
      <c r="D801" s="5">
        <v>0.94634259259259257</v>
      </c>
      <c r="E801">
        <v>-76.726150000000004</v>
      </c>
      <c r="F801">
        <v>3.5001000000000002</v>
      </c>
      <c r="G801">
        <v>1799</v>
      </c>
      <c r="H801">
        <v>2</v>
      </c>
      <c r="I801">
        <v>2019</v>
      </c>
      <c r="J801">
        <v>18</v>
      </c>
      <c r="K801">
        <v>10</v>
      </c>
      <c r="M801" t="s">
        <v>247</v>
      </c>
      <c r="O801" t="s">
        <v>32</v>
      </c>
      <c r="P801" t="s">
        <v>340</v>
      </c>
      <c r="R801" t="s">
        <v>920</v>
      </c>
      <c r="U801" t="s">
        <v>36</v>
      </c>
      <c r="V801">
        <v>0</v>
      </c>
      <c r="W801" t="s">
        <v>1073</v>
      </c>
      <c r="Y801" t="s">
        <v>1016</v>
      </c>
      <c r="Z801" t="s">
        <v>137</v>
      </c>
    </row>
    <row r="802" spans="1:26" hidden="1" x14ac:dyDescent="0.2">
      <c r="A802" s="3">
        <v>43754</v>
      </c>
      <c r="D802" s="5">
        <v>0.91206018518518517</v>
      </c>
      <c r="E802">
        <v>-76.726091666666704</v>
      </c>
      <c r="F802">
        <v>3.4994566666666702</v>
      </c>
      <c r="G802">
        <v>1805</v>
      </c>
      <c r="H802">
        <v>2</v>
      </c>
      <c r="I802">
        <v>2019</v>
      </c>
      <c r="J802">
        <v>20</v>
      </c>
      <c r="K802">
        <v>5</v>
      </c>
      <c r="M802" t="s">
        <v>247</v>
      </c>
      <c r="O802" t="s">
        <v>38</v>
      </c>
      <c r="P802" t="s">
        <v>340</v>
      </c>
      <c r="R802" t="s">
        <v>920</v>
      </c>
      <c r="S802" t="s">
        <v>961</v>
      </c>
      <c r="U802" t="s">
        <v>68</v>
      </c>
      <c r="V802">
        <v>1</v>
      </c>
      <c r="Z802" t="s">
        <v>36</v>
      </c>
    </row>
    <row r="803" spans="1:26" hidden="1" x14ac:dyDescent="0.2">
      <c r="A803" s="3">
        <v>43754</v>
      </c>
      <c r="D803" s="5">
        <v>0.92612268518518515</v>
      </c>
      <c r="E803">
        <v>-76.726276666666706</v>
      </c>
      <c r="F803">
        <v>3.49969333333333</v>
      </c>
      <c r="G803">
        <v>1811</v>
      </c>
      <c r="H803">
        <v>3</v>
      </c>
      <c r="I803">
        <v>2019</v>
      </c>
      <c r="J803">
        <v>18</v>
      </c>
      <c r="K803">
        <v>5</v>
      </c>
      <c r="M803" t="s">
        <v>247</v>
      </c>
      <c r="O803" t="s">
        <v>38</v>
      </c>
      <c r="P803" t="s">
        <v>340</v>
      </c>
      <c r="R803" t="s">
        <v>920</v>
      </c>
      <c r="S803" t="s">
        <v>961</v>
      </c>
      <c r="U803" t="s">
        <v>36</v>
      </c>
      <c r="V803">
        <v>0</v>
      </c>
      <c r="Y803" t="s">
        <v>1017</v>
      </c>
      <c r="Z803" t="s">
        <v>137</v>
      </c>
    </row>
    <row r="804" spans="1:26" hidden="1" x14ac:dyDescent="0.2">
      <c r="A804" s="3">
        <v>43754</v>
      </c>
      <c r="D804" s="5">
        <v>0.95399305555555558</v>
      </c>
      <c r="E804">
        <v>-76.726399999999998</v>
      </c>
      <c r="F804">
        <v>3.5000550000000001</v>
      </c>
      <c r="G804">
        <v>1800</v>
      </c>
      <c r="H804">
        <v>0</v>
      </c>
      <c r="I804">
        <v>2019</v>
      </c>
      <c r="J804">
        <v>7</v>
      </c>
      <c r="K804">
        <v>3</v>
      </c>
      <c r="M804" t="s">
        <v>247</v>
      </c>
      <c r="O804" t="s">
        <v>32</v>
      </c>
      <c r="P804" t="s">
        <v>340</v>
      </c>
      <c r="R804" t="s">
        <v>919</v>
      </c>
      <c r="S804" t="s">
        <v>961</v>
      </c>
      <c r="U804" t="s">
        <v>36</v>
      </c>
      <c r="V804">
        <v>0</v>
      </c>
      <c r="Y804" t="s">
        <v>1018</v>
      </c>
      <c r="Z804" t="s">
        <v>1009</v>
      </c>
    </row>
    <row r="805" spans="1:26" hidden="1" x14ac:dyDescent="0.2">
      <c r="A805" s="3">
        <v>43754</v>
      </c>
      <c r="D805" s="5">
        <v>0.8397337962962963</v>
      </c>
      <c r="E805">
        <v>-76.725263333333302</v>
      </c>
      <c r="F805">
        <v>3.4995750000000001</v>
      </c>
      <c r="G805">
        <v>1809</v>
      </c>
      <c r="H805">
        <v>0</v>
      </c>
      <c r="I805">
        <v>2019</v>
      </c>
      <c r="J805">
        <v>6</v>
      </c>
      <c r="K805">
        <v>10</v>
      </c>
      <c r="M805" t="s">
        <v>247</v>
      </c>
      <c r="O805" t="s">
        <v>40</v>
      </c>
      <c r="P805" t="s">
        <v>340</v>
      </c>
      <c r="R805" t="s">
        <v>919</v>
      </c>
      <c r="U805" t="s">
        <v>36</v>
      </c>
      <c r="V805">
        <v>0</v>
      </c>
      <c r="Y805" t="s">
        <v>1019</v>
      </c>
      <c r="Z805" t="s">
        <v>1010</v>
      </c>
    </row>
    <row r="806" spans="1:26" hidden="1" x14ac:dyDescent="0.2">
      <c r="A806" s="3">
        <v>43754</v>
      </c>
      <c r="D806" s="5">
        <v>0.86766203703703704</v>
      </c>
      <c r="E806">
        <v>-76.725828333333297</v>
      </c>
      <c r="F806">
        <v>3.4995500000000002</v>
      </c>
      <c r="G806">
        <v>1798</v>
      </c>
      <c r="H806">
        <v>0</v>
      </c>
      <c r="I806">
        <v>2019</v>
      </c>
      <c r="J806">
        <v>12</v>
      </c>
      <c r="K806">
        <v>5</v>
      </c>
      <c r="M806" t="s">
        <v>247</v>
      </c>
      <c r="O806" t="s">
        <v>40</v>
      </c>
      <c r="P806" t="s">
        <v>340</v>
      </c>
      <c r="R806" t="s">
        <v>919</v>
      </c>
      <c r="S806" t="s">
        <v>961</v>
      </c>
      <c r="U806" t="s">
        <v>936</v>
      </c>
      <c r="V806">
        <v>1</v>
      </c>
      <c r="Z806" t="s">
        <v>36</v>
      </c>
    </row>
    <row r="807" spans="1:26" hidden="1" x14ac:dyDescent="0.2">
      <c r="A807" s="3">
        <v>43754</v>
      </c>
      <c r="D807" s="5">
        <v>0.86766203703703704</v>
      </c>
      <c r="E807">
        <v>-76.725828333333297</v>
      </c>
      <c r="F807">
        <v>3.4995500000000002</v>
      </c>
      <c r="G807">
        <v>1708</v>
      </c>
      <c r="H807">
        <v>0</v>
      </c>
      <c r="I807">
        <v>2019</v>
      </c>
      <c r="J807">
        <v>12</v>
      </c>
      <c r="K807">
        <v>5</v>
      </c>
      <c r="M807" t="s">
        <v>247</v>
      </c>
      <c r="O807" t="s">
        <v>40</v>
      </c>
      <c r="P807" t="s">
        <v>340</v>
      </c>
      <c r="R807" t="s">
        <v>919</v>
      </c>
      <c r="S807" t="s">
        <v>961</v>
      </c>
      <c r="U807" t="s">
        <v>88</v>
      </c>
      <c r="V807">
        <v>1</v>
      </c>
      <c r="Z807" t="s">
        <v>36</v>
      </c>
    </row>
    <row r="808" spans="1:26" hidden="1" x14ac:dyDescent="0.2">
      <c r="A808" s="3">
        <v>43754</v>
      </c>
      <c r="D808" s="5">
        <v>0.86766203703703704</v>
      </c>
      <c r="E808">
        <v>-76.725828333333297</v>
      </c>
      <c r="F808">
        <v>3.4995500000000002</v>
      </c>
      <c r="G808">
        <v>1708</v>
      </c>
      <c r="H808">
        <v>0</v>
      </c>
      <c r="I808">
        <v>2019</v>
      </c>
      <c r="J808">
        <v>12</v>
      </c>
      <c r="K808">
        <v>5</v>
      </c>
      <c r="M808" t="s">
        <v>247</v>
      </c>
      <c r="O808" t="s">
        <v>40</v>
      </c>
      <c r="P808" t="s">
        <v>340</v>
      </c>
      <c r="R808" t="s">
        <v>919</v>
      </c>
      <c r="S808" t="s">
        <v>964</v>
      </c>
      <c r="U808" t="s">
        <v>238</v>
      </c>
      <c r="V808">
        <v>1</v>
      </c>
      <c r="Z808" t="s">
        <v>36</v>
      </c>
    </row>
    <row r="809" spans="1:26" hidden="1" x14ac:dyDescent="0.2">
      <c r="A809" s="3">
        <v>43754</v>
      </c>
      <c r="D809" s="5">
        <v>0.9506944444444444</v>
      </c>
      <c r="E809">
        <v>-76.726415000000003</v>
      </c>
      <c r="F809">
        <v>3.5000433333333301</v>
      </c>
      <c r="G809">
        <v>1800</v>
      </c>
      <c r="I809">
        <v>2019</v>
      </c>
      <c r="J809">
        <v>18</v>
      </c>
      <c r="K809">
        <v>6</v>
      </c>
      <c r="M809" t="s">
        <v>247</v>
      </c>
      <c r="O809" t="s">
        <v>32</v>
      </c>
      <c r="P809" t="s">
        <v>340</v>
      </c>
      <c r="R809" t="s">
        <v>919</v>
      </c>
      <c r="U809" t="s">
        <v>36</v>
      </c>
      <c r="V809">
        <v>0</v>
      </c>
      <c r="Y809" t="s">
        <v>1020</v>
      </c>
      <c r="Z809" t="s">
        <v>137</v>
      </c>
    </row>
    <row r="810" spans="1:26" hidden="1" x14ac:dyDescent="0.2">
      <c r="A810" s="3">
        <v>43755</v>
      </c>
      <c r="D810" s="5">
        <v>0.89800925925925923</v>
      </c>
      <c r="E810">
        <v>-76.718916666666701</v>
      </c>
      <c r="F810">
        <v>3.4848699999999999</v>
      </c>
      <c r="G810">
        <v>1943</v>
      </c>
      <c r="H810">
        <v>1.5</v>
      </c>
      <c r="I810">
        <v>2019</v>
      </c>
      <c r="J810">
        <v>18</v>
      </c>
      <c r="K810">
        <v>15</v>
      </c>
      <c r="M810" t="s">
        <v>247</v>
      </c>
      <c r="O810" t="s">
        <v>38</v>
      </c>
      <c r="P810" t="s">
        <v>272</v>
      </c>
      <c r="R810" t="s">
        <v>919</v>
      </c>
      <c r="U810" t="s">
        <v>36</v>
      </c>
      <c r="V810">
        <v>0</v>
      </c>
      <c r="W810" t="s">
        <v>1073</v>
      </c>
      <c r="Z810" t="s">
        <v>36</v>
      </c>
    </row>
    <row r="811" spans="1:26" hidden="1" x14ac:dyDescent="0.2">
      <c r="A811" s="3">
        <v>43755</v>
      </c>
      <c r="D811" s="5">
        <v>0.83618055555555559</v>
      </c>
      <c r="E811">
        <v>-76.718339999999998</v>
      </c>
      <c r="F811">
        <v>3.4851433333333302</v>
      </c>
      <c r="G811">
        <v>1924</v>
      </c>
      <c r="H811">
        <v>0</v>
      </c>
      <c r="I811">
        <v>2019</v>
      </c>
      <c r="J811">
        <v>15</v>
      </c>
      <c r="K811">
        <v>9</v>
      </c>
      <c r="M811" t="s">
        <v>247</v>
      </c>
      <c r="O811" t="s">
        <v>40</v>
      </c>
      <c r="P811" t="s">
        <v>272</v>
      </c>
      <c r="R811" t="s">
        <v>919</v>
      </c>
      <c r="U811" t="s">
        <v>36</v>
      </c>
      <c r="V811">
        <v>0</v>
      </c>
      <c r="Z811" t="s">
        <v>36</v>
      </c>
    </row>
    <row r="812" spans="1:26" hidden="1" x14ac:dyDescent="0.2">
      <c r="A812" s="3">
        <v>43755</v>
      </c>
      <c r="D812" s="5">
        <v>0.83618055555555559</v>
      </c>
      <c r="E812">
        <v>-76.718339999999998</v>
      </c>
      <c r="F812">
        <v>3.4851433333333302</v>
      </c>
      <c r="G812">
        <v>1924</v>
      </c>
      <c r="H812">
        <v>0</v>
      </c>
      <c r="I812">
        <v>2019</v>
      </c>
      <c r="J812">
        <v>15</v>
      </c>
      <c r="K812">
        <v>9</v>
      </c>
      <c r="M812" t="s">
        <v>247</v>
      </c>
      <c r="O812" t="s">
        <v>40</v>
      </c>
      <c r="P812" t="s">
        <v>272</v>
      </c>
      <c r="R812" t="s">
        <v>919</v>
      </c>
      <c r="U812" t="s">
        <v>36</v>
      </c>
      <c r="V812">
        <v>0</v>
      </c>
      <c r="W812" t="s">
        <v>1073</v>
      </c>
      <c r="Z812" t="s">
        <v>36</v>
      </c>
    </row>
    <row r="813" spans="1:26" hidden="1" x14ac:dyDescent="0.2">
      <c r="A813" s="3">
        <v>43755</v>
      </c>
      <c r="D813" s="5">
        <v>0.83174768518518516</v>
      </c>
      <c r="E813">
        <v>-76.718209999999999</v>
      </c>
      <c r="F813">
        <v>3.4851399999999999</v>
      </c>
      <c r="G813">
        <v>1924</v>
      </c>
      <c r="H813">
        <v>0</v>
      </c>
      <c r="I813">
        <v>2019</v>
      </c>
      <c r="J813">
        <v>15</v>
      </c>
      <c r="K813">
        <v>9</v>
      </c>
      <c r="M813" t="s">
        <v>247</v>
      </c>
      <c r="O813" t="s">
        <v>40</v>
      </c>
      <c r="P813" t="s">
        <v>272</v>
      </c>
      <c r="R813" t="s">
        <v>919</v>
      </c>
      <c r="U813" t="s">
        <v>88</v>
      </c>
      <c r="V813">
        <v>1</v>
      </c>
      <c r="Z813" t="s">
        <v>36</v>
      </c>
    </row>
    <row r="814" spans="1:26" hidden="1" x14ac:dyDescent="0.2">
      <c r="A814" s="3">
        <v>43755</v>
      </c>
      <c r="D814" s="5">
        <v>0.83174768518518516</v>
      </c>
      <c r="E814">
        <v>-76.718209999999999</v>
      </c>
      <c r="F814">
        <v>3.4851399999999999</v>
      </c>
      <c r="G814">
        <v>1924</v>
      </c>
      <c r="H814">
        <v>0</v>
      </c>
      <c r="I814">
        <v>2019</v>
      </c>
      <c r="J814">
        <v>18</v>
      </c>
      <c r="K814">
        <v>9</v>
      </c>
      <c r="M814" t="s">
        <v>247</v>
      </c>
      <c r="O814" t="s">
        <v>40</v>
      </c>
      <c r="P814" t="s">
        <v>272</v>
      </c>
      <c r="R814" t="s">
        <v>919</v>
      </c>
      <c r="S814" t="s">
        <v>961</v>
      </c>
      <c r="U814" t="s">
        <v>252</v>
      </c>
      <c r="V814">
        <v>1</v>
      </c>
      <c r="Z814" t="s">
        <v>36</v>
      </c>
    </row>
    <row r="815" spans="1:26" hidden="1" x14ac:dyDescent="0.2">
      <c r="A815" s="3">
        <v>43755</v>
      </c>
      <c r="D815" s="5">
        <v>0.89709490740740738</v>
      </c>
      <c r="E815">
        <v>-76.718909999999994</v>
      </c>
      <c r="F815">
        <v>3.48484666666667</v>
      </c>
      <c r="G815">
        <v>1943</v>
      </c>
      <c r="H815">
        <v>1.5</v>
      </c>
      <c r="I815">
        <v>2019</v>
      </c>
      <c r="J815">
        <v>18</v>
      </c>
      <c r="K815">
        <v>15</v>
      </c>
      <c r="M815" t="s">
        <v>247</v>
      </c>
      <c r="O815" t="s">
        <v>38</v>
      </c>
      <c r="P815" t="s">
        <v>272</v>
      </c>
      <c r="R815" t="s">
        <v>919</v>
      </c>
      <c r="S815" t="s">
        <v>945</v>
      </c>
      <c r="U815" t="s">
        <v>238</v>
      </c>
      <c r="V815">
        <v>1</v>
      </c>
      <c r="Z815" t="s">
        <v>36</v>
      </c>
    </row>
    <row r="816" spans="1:26" hidden="1" x14ac:dyDescent="0.2">
      <c r="A816" s="3">
        <v>43755</v>
      </c>
      <c r="D816" s="5">
        <v>0.88416666666666666</v>
      </c>
      <c r="E816">
        <v>-76.7188533333333</v>
      </c>
      <c r="F816">
        <v>3.48494833333333</v>
      </c>
      <c r="G816">
        <v>1946</v>
      </c>
      <c r="H816">
        <v>2</v>
      </c>
      <c r="I816">
        <v>2019</v>
      </c>
      <c r="J816">
        <v>18</v>
      </c>
      <c r="K816">
        <v>15</v>
      </c>
      <c r="M816" t="s">
        <v>247</v>
      </c>
      <c r="O816" t="s">
        <v>38</v>
      </c>
      <c r="P816" t="s">
        <v>272</v>
      </c>
      <c r="R816" t="s">
        <v>919</v>
      </c>
      <c r="S816" t="s">
        <v>961</v>
      </c>
      <c r="U816" t="s">
        <v>88</v>
      </c>
      <c r="V816">
        <v>1</v>
      </c>
      <c r="Z816" t="s">
        <v>36</v>
      </c>
    </row>
    <row r="817" spans="1:26" hidden="1" x14ac:dyDescent="0.2">
      <c r="A817" s="3">
        <v>43755</v>
      </c>
      <c r="D817" s="5">
        <v>0.8911458333333333</v>
      </c>
      <c r="E817">
        <v>-76.718890000000002</v>
      </c>
      <c r="F817">
        <v>3.4849649999999999</v>
      </c>
      <c r="G817">
        <v>1943</v>
      </c>
      <c r="H817">
        <v>2</v>
      </c>
      <c r="I817">
        <v>2019</v>
      </c>
      <c r="J817">
        <v>18</v>
      </c>
      <c r="K817">
        <v>10</v>
      </c>
      <c r="M817" t="s">
        <v>247</v>
      </c>
      <c r="O817" t="s">
        <v>38</v>
      </c>
      <c r="P817" t="s">
        <v>272</v>
      </c>
      <c r="R817" t="s">
        <v>919</v>
      </c>
      <c r="S817" t="s">
        <v>957</v>
      </c>
      <c r="U817" t="s">
        <v>238</v>
      </c>
      <c r="V817">
        <v>2</v>
      </c>
      <c r="Z817" t="s">
        <v>36</v>
      </c>
    </row>
    <row r="818" spans="1:26" hidden="1" x14ac:dyDescent="0.2">
      <c r="A818" s="3">
        <v>43755</v>
      </c>
      <c r="D818" s="5">
        <v>0.82306712962962958</v>
      </c>
      <c r="E818">
        <v>-76.718145000000007</v>
      </c>
      <c r="F818">
        <v>3.4851816666666702</v>
      </c>
      <c r="G818">
        <v>1926</v>
      </c>
      <c r="H818">
        <v>0</v>
      </c>
      <c r="I818">
        <v>2019</v>
      </c>
      <c r="J818">
        <v>15</v>
      </c>
      <c r="K818">
        <v>12</v>
      </c>
      <c r="M818" t="s">
        <v>247</v>
      </c>
      <c r="O818" t="s">
        <v>40</v>
      </c>
      <c r="P818" t="s">
        <v>272</v>
      </c>
      <c r="R818" t="s">
        <v>919</v>
      </c>
      <c r="S818" t="s">
        <v>957</v>
      </c>
      <c r="U818" t="s">
        <v>936</v>
      </c>
      <c r="V818">
        <v>1</v>
      </c>
      <c r="Z818" t="s">
        <v>36</v>
      </c>
    </row>
    <row r="819" spans="1:26" hidden="1" x14ac:dyDescent="0.2">
      <c r="A819" s="3">
        <v>43755</v>
      </c>
      <c r="D819" s="5">
        <v>0.82461805555555556</v>
      </c>
      <c r="E819">
        <v>-76.718114999999997</v>
      </c>
      <c r="F819">
        <v>3.4851800000000002</v>
      </c>
      <c r="G819">
        <v>1928</v>
      </c>
      <c r="H819">
        <v>0</v>
      </c>
      <c r="I819">
        <v>2019</v>
      </c>
      <c r="J819">
        <v>15</v>
      </c>
      <c r="K819">
        <v>12</v>
      </c>
      <c r="M819" t="s">
        <v>247</v>
      </c>
      <c r="O819" t="s">
        <v>40</v>
      </c>
      <c r="P819" t="s">
        <v>272</v>
      </c>
      <c r="R819" t="s">
        <v>919</v>
      </c>
      <c r="S819" t="s">
        <v>961</v>
      </c>
      <c r="U819" t="s">
        <v>293</v>
      </c>
      <c r="V819">
        <v>1</v>
      </c>
      <c r="Z819" t="s">
        <v>36</v>
      </c>
    </row>
    <row r="820" spans="1:26" hidden="1" x14ac:dyDescent="0.2">
      <c r="A820" s="3">
        <v>43755</v>
      </c>
      <c r="D820" s="5">
        <v>0.93177083333333333</v>
      </c>
      <c r="E820">
        <v>-76.718551666666599</v>
      </c>
      <c r="F820">
        <v>3.4868549999999998</v>
      </c>
      <c r="G820">
        <v>1813</v>
      </c>
      <c r="H820">
        <v>0</v>
      </c>
      <c r="I820">
        <v>2019</v>
      </c>
      <c r="J820">
        <v>8</v>
      </c>
      <c r="K820">
        <v>6</v>
      </c>
      <c r="M820" t="s">
        <v>247</v>
      </c>
      <c r="O820" t="s">
        <v>58</v>
      </c>
      <c r="P820" t="s">
        <v>272</v>
      </c>
      <c r="R820" t="s">
        <v>258</v>
      </c>
      <c r="U820" t="s">
        <v>36</v>
      </c>
      <c r="V820">
        <v>0</v>
      </c>
      <c r="W820" t="s">
        <v>1074</v>
      </c>
      <c r="Y820" t="s">
        <v>1021</v>
      </c>
      <c r="Z820" t="s">
        <v>1009</v>
      </c>
    </row>
    <row r="821" spans="1:26" hidden="1" x14ac:dyDescent="0.2">
      <c r="A821" s="3">
        <v>43755</v>
      </c>
      <c r="D821" s="5">
        <v>0.85035879629629629</v>
      </c>
      <c r="E821">
        <v>-76.7183316666667</v>
      </c>
      <c r="F821">
        <v>3.4851083333333301</v>
      </c>
      <c r="G821">
        <v>1936</v>
      </c>
      <c r="H821">
        <v>1.5</v>
      </c>
      <c r="I821">
        <v>2019</v>
      </c>
      <c r="J821">
        <v>25</v>
      </c>
      <c r="K821">
        <v>10</v>
      </c>
      <c r="M821" t="s">
        <v>247</v>
      </c>
      <c r="O821" t="s">
        <v>40</v>
      </c>
      <c r="P821" t="s">
        <v>272</v>
      </c>
      <c r="R821" t="s">
        <v>919</v>
      </c>
      <c r="U821" t="s">
        <v>36</v>
      </c>
      <c r="V821">
        <v>0</v>
      </c>
      <c r="W821" t="s">
        <v>1074</v>
      </c>
      <c r="Z821" t="s">
        <v>1009</v>
      </c>
    </row>
    <row r="822" spans="1:26" hidden="1" x14ac:dyDescent="0.2">
      <c r="A822" s="3">
        <v>43755</v>
      </c>
      <c r="D822" s="5">
        <v>0.88979166666666665</v>
      </c>
      <c r="E822">
        <v>-76.718874999999997</v>
      </c>
      <c r="F822">
        <v>3.484915</v>
      </c>
      <c r="G822">
        <v>1943</v>
      </c>
      <c r="H822">
        <v>2</v>
      </c>
      <c r="I822">
        <v>2019</v>
      </c>
      <c r="J822">
        <v>18</v>
      </c>
      <c r="K822">
        <v>10</v>
      </c>
      <c r="M822" t="s">
        <v>247</v>
      </c>
      <c r="O822" t="s">
        <v>38</v>
      </c>
      <c r="P822" t="s">
        <v>272</v>
      </c>
      <c r="R822" t="s">
        <v>919</v>
      </c>
      <c r="S822" t="s">
        <v>961</v>
      </c>
      <c r="U822" t="s">
        <v>238</v>
      </c>
      <c r="V822">
        <v>2</v>
      </c>
      <c r="Z822" t="s">
        <v>36</v>
      </c>
    </row>
    <row r="823" spans="1:26" hidden="1" x14ac:dyDescent="0.2">
      <c r="A823" s="3">
        <v>43755</v>
      </c>
      <c r="D823" s="5">
        <v>0.93626157407407407</v>
      </c>
      <c r="E823">
        <v>-76.718819999999994</v>
      </c>
      <c r="F823">
        <v>3.487215</v>
      </c>
      <c r="G823">
        <v>1918</v>
      </c>
      <c r="H823">
        <v>0</v>
      </c>
      <c r="I823">
        <v>2019</v>
      </c>
      <c r="J823">
        <v>4</v>
      </c>
      <c r="K823">
        <v>15</v>
      </c>
      <c r="M823" t="s">
        <v>247</v>
      </c>
      <c r="O823" t="s">
        <v>58</v>
      </c>
      <c r="P823" t="s">
        <v>272</v>
      </c>
      <c r="R823" t="s">
        <v>258</v>
      </c>
      <c r="U823" t="s">
        <v>36</v>
      </c>
      <c r="V823">
        <v>0</v>
      </c>
      <c r="W823" t="s">
        <v>1075</v>
      </c>
      <c r="Z823" t="s">
        <v>1011</v>
      </c>
    </row>
    <row r="824" spans="1:26" hidden="1" x14ac:dyDescent="0.2">
      <c r="A824" s="3">
        <v>43755</v>
      </c>
      <c r="D824" s="5">
        <v>0.92641203703703701</v>
      </c>
      <c r="E824">
        <v>-76.7182733333333</v>
      </c>
      <c r="F824">
        <v>3.4862166666666701</v>
      </c>
      <c r="G824">
        <v>1920</v>
      </c>
      <c r="H824">
        <v>0</v>
      </c>
      <c r="I824">
        <v>2019</v>
      </c>
      <c r="J824">
        <v>4</v>
      </c>
      <c r="K824">
        <v>7</v>
      </c>
      <c r="M824" t="s">
        <v>247</v>
      </c>
      <c r="O824" t="s">
        <v>47</v>
      </c>
      <c r="P824" t="s">
        <v>272</v>
      </c>
      <c r="R824" t="s">
        <v>258</v>
      </c>
      <c r="U824" t="s">
        <v>36</v>
      </c>
      <c r="V824">
        <v>0</v>
      </c>
      <c r="W824" t="s">
        <v>1073</v>
      </c>
      <c r="Y824" t="s">
        <v>1022</v>
      </c>
      <c r="Z824" t="s">
        <v>1009</v>
      </c>
    </row>
    <row r="825" spans="1:26" hidden="1" x14ac:dyDescent="0.2">
      <c r="A825" s="3">
        <v>43755</v>
      </c>
      <c r="D825" s="5">
        <v>0.86637731481481484</v>
      </c>
      <c r="E825">
        <v>-76.718638333333303</v>
      </c>
      <c r="F825">
        <v>3.48519333333333</v>
      </c>
      <c r="G825">
        <v>1940</v>
      </c>
      <c r="H825">
        <v>1.5</v>
      </c>
      <c r="I825">
        <v>2019</v>
      </c>
      <c r="J825">
        <v>12</v>
      </c>
      <c r="K825">
        <v>12</v>
      </c>
      <c r="M825" t="s">
        <v>247</v>
      </c>
      <c r="O825" t="s">
        <v>38</v>
      </c>
      <c r="P825" t="s">
        <v>272</v>
      </c>
      <c r="R825" t="s">
        <v>920</v>
      </c>
      <c r="S825" t="s">
        <v>961</v>
      </c>
      <c r="U825" t="s">
        <v>68</v>
      </c>
      <c r="V825">
        <v>1</v>
      </c>
      <c r="W825" t="s">
        <v>1076</v>
      </c>
      <c r="Z825" t="s">
        <v>36</v>
      </c>
    </row>
    <row r="826" spans="1:26" hidden="1" x14ac:dyDescent="0.2">
      <c r="A826" s="3">
        <v>43755</v>
      </c>
      <c r="D826" s="5">
        <v>0.91741898148148149</v>
      </c>
      <c r="E826">
        <v>-76.717631666666705</v>
      </c>
      <c r="F826">
        <v>3.4859049999999998</v>
      </c>
      <c r="G826">
        <v>1924</v>
      </c>
      <c r="H826">
        <v>0</v>
      </c>
      <c r="I826">
        <v>2019</v>
      </c>
      <c r="J826">
        <v>8</v>
      </c>
      <c r="K826">
        <v>10</v>
      </c>
      <c r="M826" t="s">
        <v>247</v>
      </c>
      <c r="O826" t="s">
        <v>47</v>
      </c>
      <c r="P826" t="s">
        <v>272</v>
      </c>
      <c r="R826" t="s">
        <v>258</v>
      </c>
      <c r="U826" t="s">
        <v>36</v>
      </c>
      <c r="V826">
        <v>0</v>
      </c>
      <c r="W826" t="s">
        <v>1077</v>
      </c>
      <c r="Z826" t="s">
        <v>1009</v>
      </c>
    </row>
    <row r="827" spans="1:26" hidden="1" x14ac:dyDescent="0.2">
      <c r="A827" s="3">
        <v>43755</v>
      </c>
      <c r="D827" s="5">
        <v>0.79392361111111109</v>
      </c>
      <c r="E827">
        <v>-76.7176166666667</v>
      </c>
      <c r="F827">
        <v>3.4859133333333299</v>
      </c>
      <c r="G827">
        <v>1924</v>
      </c>
      <c r="H827">
        <v>0</v>
      </c>
      <c r="I827">
        <v>2019</v>
      </c>
      <c r="J827">
        <v>8</v>
      </c>
      <c r="K827">
        <v>10</v>
      </c>
      <c r="M827" t="s">
        <v>247</v>
      </c>
      <c r="O827" t="s">
        <v>47</v>
      </c>
      <c r="P827" t="s">
        <v>272</v>
      </c>
      <c r="R827" t="s">
        <v>258</v>
      </c>
      <c r="U827" t="s">
        <v>36</v>
      </c>
      <c r="V827">
        <v>0</v>
      </c>
      <c r="W827" t="s">
        <v>1078</v>
      </c>
      <c r="Z827" t="s">
        <v>36</v>
      </c>
    </row>
    <row r="828" spans="1:26" hidden="1" x14ac:dyDescent="0.2">
      <c r="A828" s="3">
        <v>43755</v>
      </c>
      <c r="D828" s="5">
        <v>0.93943287037037038</v>
      </c>
      <c r="E828">
        <v>-76.719004999999996</v>
      </c>
      <c r="F828">
        <v>3.4875766666666701</v>
      </c>
      <c r="G828">
        <v>1920</v>
      </c>
      <c r="H828">
        <v>0</v>
      </c>
      <c r="I828">
        <v>2019</v>
      </c>
      <c r="J828">
        <v>5</v>
      </c>
      <c r="K828">
        <v>15</v>
      </c>
      <c r="M828" t="s">
        <v>247</v>
      </c>
      <c r="O828" t="s">
        <v>58</v>
      </c>
      <c r="P828" t="s">
        <v>272</v>
      </c>
      <c r="R828" t="s">
        <v>258</v>
      </c>
      <c r="U828" t="s">
        <v>36</v>
      </c>
      <c r="V828">
        <v>0</v>
      </c>
      <c r="W828" t="s">
        <v>1073</v>
      </c>
      <c r="Y828" t="s">
        <v>1022</v>
      </c>
      <c r="Z828" t="s">
        <v>1009</v>
      </c>
    </row>
    <row r="829" spans="1:26" hidden="1" x14ac:dyDescent="0.2">
      <c r="A829" s="3">
        <v>43756</v>
      </c>
      <c r="D829" s="5">
        <v>0.52697916666666667</v>
      </c>
      <c r="E829">
        <v>-76.715226666666695</v>
      </c>
      <c r="F829">
        <v>3.487015</v>
      </c>
      <c r="G829">
        <v>1871</v>
      </c>
      <c r="H829">
        <v>1</v>
      </c>
      <c r="I829">
        <v>2019</v>
      </c>
      <c r="J829">
        <v>4</v>
      </c>
      <c r="K829">
        <v>15</v>
      </c>
      <c r="M829" t="s">
        <v>247</v>
      </c>
      <c r="O829" t="s">
        <v>40</v>
      </c>
      <c r="P829" t="s">
        <v>672</v>
      </c>
      <c r="R829" t="s">
        <v>920</v>
      </c>
      <c r="U829" t="s">
        <v>36</v>
      </c>
      <c r="V829">
        <v>0</v>
      </c>
      <c r="W829" t="s">
        <v>1079</v>
      </c>
      <c r="Y829" t="s">
        <v>273</v>
      </c>
      <c r="Z829" t="s">
        <v>137</v>
      </c>
    </row>
    <row r="830" spans="1:26" hidden="1" x14ac:dyDescent="0.2">
      <c r="A830" s="3">
        <v>43756</v>
      </c>
      <c r="D830" s="5">
        <v>0.51775462962962959</v>
      </c>
      <c r="E830">
        <v>-76.714896666666704</v>
      </c>
      <c r="F830">
        <v>3.4871699999999999</v>
      </c>
      <c r="G830">
        <v>1857</v>
      </c>
      <c r="H830">
        <v>1</v>
      </c>
      <c r="I830">
        <v>2019</v>
      </c>
      <c r="J830">
        <v>12</v>
      </c>
      <c r="K830">
        <v>10</v>
      </c>
      <c r="M830" t="s">
        <v>247</v>
      </c>
      <c r="O830" t="s">
        <v>40</v>
      </c>
      <c r="P830" t="s">
        <v>672</v>
      </c>
      <c r="R830" t="s">
        <v>920</v>
      </c>
      <c r="U830" t="s">
        <v>36</v>
      </c>
      <c r="V830">
        <v>0</v>
      </c>
      <c r="W830" t="s">
        <v>1023</v>
      </c>
      <c r="Z830" t="s">
        <v>1011</v>
      </c>
    </row>
    <row r="831" spans="1:26" hidden="1" x14ac:dyDescent="0.2">
      <c r="A831" s="3">
        <v>43756</v>
      </c>
      <c r="D831" s="5">
        <v>0.51775462962962959</v>
      </c>
      <c r="E831">
        <v>-76.714896666666704</v>
      </c>
      <c r="F831">
        <v>3.4871699999999999</v>
      </c>
      <c r="G831">
        <v>1875</v>
      </c>
      <c r="H831">
        <v>1</v>
      </c>
      <c r="I831">
        <v>2019</v>
      </c>
      <c r="J831">
        <v>12</v>
      </c>
      <c r="K831">
        <v>10</v>
      </c>
      <c r="M831" t="s">
        <v>247</v>
      </c>
      <c r="O831" t="s">
        <v>40</v>
      </c>
      <c r="P831" t="s">
        <v>672</v>
      </c>
      <c r="R831" t="s">
        <v>920</v>
      </c>
      <c r="U831" t="s">
        <v>36</v>
      </c>
      <c r="V831">
        <v>0</v>
      </c>
      <c r="W831" t="s">
        <v>1080</v>
      </c>
      <c r="Y831" t="s">
        <v>1023</v>
      </c>
      <c r="Z831" t="s">
        <v>1011</v>
      </c>
    </row>
    <row r="832" spans="1:26" hidden="1" x14ac:dyDescent="0.2">
      <c r="A832" s="3">
        <v>43756</v>
      </c>
      <c r="D832" s="5">
        <v>0.50258101851851855</v>
      </c>
      <c r="E832">
        <v>-76.714598333333299</v>
      </c>
      <c r="F832">
        <v>3.48752833333333</v>
      </c>
      <c r="G832">
        <v>1871</v>
      </c>
      <c r="H832">
        <v>1.6</v>
      </c>
      <c r="I832">
        <v>2019</v>
      </c>
      <c r="J832">
        <v>12</v>
      </c>
      <c r="K832">
        <v>10</v>
      </c>
      <c r="M832" t="s">
        <v>247</v>
      </c>
      <c r="O832" t="s">
        <v>38</v>
      </c>
      <c r="P832" t="s">
        <v>672</v>
      </c>
      <c r="R832" t="s">
        <v>920</v>
      </c>
      <c r="U832" t="s">
        <v>36</v>
      </c>
      <c r="V832">
        <v>0</v>
      </c>
      <c r="W832" t="s">
        <v>1081</v>
      </c>
      <c r="Z832" t="s">
        <v>36</v>
      </c>
    </row>
    <row r="833" spans="1:26" hidden="1" x14ac:dyDescent="0.2">
      <c r="A833" s="3">
        <v>43756</v>
      </c>
      <c r="D833" s="5">
        <v>0.47940972222222222</v>
      </c>
      <c r="E833">
        <v>-76.713941666666699</v>
      </c>
      <c r="F833">
        <v>3.4877066666666701</v>
      </c>
      <c r="G833">
        <v>1857</v>
      </c>
      <c r="I833">
        <v>2019</v>
      </c>
      <c r="M833" t="s">
        <v>247</v>
      </c>
      <c r="O833" t="s">
        <v>32</v>
      </c>
      <c r="P833" t="s">
        <v>672</v>
      </c>
      <c r="R833" t="s">
        <v>920</v>
      </c>
      <c r="U833" t="s">
        <v>36</v>
      </c>
      <c r="V833">
        <v>0</v>
      </c>
      <c r="Z833" t="s">
        <v>1011</v>
      </c>
    </row>
    <row r="834" spans="1:26" hidden="1" x14ac:dyDescent="0.2">
      <c r="A834" s="3">
        <v>43756</v>
      </c>
      <c r="D834" s="5">
        <v>0.91538194444444443</v>
      </c>
      <c r="E834">
        <v>-76.714813333333296</v>
      </c>
      <c r="F834">
        <v>3.4874283333333298</v>
      </c>
      <c r="G834">
        <v>1854</v>
      </c>
      <c r="H834">
        <v>1.7</v>
      </c>
      <c r="I834">
        <v>2019</v>
      </c>
      <c r="J834">
        <v>7</v>
      </c>
      <c r="K834">
        <v>10</v>
      </c>
      <c r="M834" t="s">
        <v>247</v>
      </c>
      <c r="O834" t="s">
        <v>38</v>
      </c>
      <c r="P834" t="s">
        <v>672</v>
      </c>
      <c r="R834" t="s">
        <v>920</v>
      </c>
      <c r="S834" t="s">
        <v>945</v>
      </c>
      <c r="U834" t="s">
        <v>238</v>
      </c>
      <c r="V834">
        <v>1</v>
      </c>
      <c r="Z834" t="s">
        <v>36</v>
      </c>
    </row>
    <row r="835" spans="1:26" hidden="1" x14ac:dyDescent="0.2">
      <c r="A835" s="3">
        <v>43756</v>
      </c>
      <c r="D835" s="5">
        <v>0.91538194444444443</v>
      </c>
      <c r="E835">
        <v>-76.714813333333296</v>
      </c>
      <c r="F835">
        <v>3.4874283333333298</v>
      </c>
      <c r="G835">
        <v>1854</v>
      </c>
      <c r="H835">
        <v>1.7</v>
      </c>
      <c r="I835">
        <v>2019</v>
      </c>
      <c r="J835">
        <v>7</v>
      </c>
      <c r="K835">
        <v>13</v>
      </c>
      <c r="M835" t="s">
        <v>247</v>
      </c>
      <c r="O835" t="s">
        <v>38</v>
      </c>
      <c r="P835" t="s">
        <v>672</v>
      </c>
      <c r="R835" t="s">
        <v>920</v>
      </c>
      <c r="U835" t="s">
        <v>36</v>
      </c>
      <c r="V835">
        <v>0</v>
      </c>
      <c r="W835" t="s">
        <v>1077</v>
      </c>
      <c r="Z835" t="s">
        <v>36</v>
      </c>
    </row>
    <row r="836" spans="1:26" hidden="1" x14ac:dyDescent="0.2">
      <c r="A836" s="3">
        <v>43756</v>
      </c>
      <c r="D836" s="5">
        <v>0.87304398148148143</v>
      </c>
      <c r="E836">
        <v>-76.714053333333297</v>
      </c>
      <c r="F836">
        <v>3.48769666666667</v>
      </c>
      <c r="G836">
        <v>1861</v>
      </c>
      <c r="H836">
        <v>2</v>
      </c>
      <c r="I836">
        <v>2019</v>
      </c>
      <c r="J836">
        <v>5</v>
      </c>
      <c r="K836">
        <v>12</v>
      </c>
      <c r="M836" t="s">
        <v>247</v>
      </c>
      <c r="O836" t="s">
        <v>38</v>
      </c>
      <c r="P836" t="s">
        <v>672</v>
      </c>
      <c r="R836" t="s">
        <v>920</v>
      </c>
      <c r="U836" t="s">
        <v>36</v>
      </c>
      <c r="V836">
        <v>0</v>
      </c>
      <c r="Z836" t="s">
        <v>1011</v>
      </c>
    </row>
    <row r="837" spans="1:26" hidden="1" x14ac:dyDescent="0.2">
      <c r="A837" s="3">
        <v>43756</v>
      </c>
      <c r="D837" s="5">
        <v>0.52322916666666663</v>
      </c>
      <c r="E837">
        <v>-76.714873333333301</v>
      </c>
      <c r="F837">
        <v>3.4870633333333299</v>
      </c>
      <c r="G837">
        <v>1865</v>
      </c>
      <c r="H837">
        <v>1.2</v>
      </c>
      <c r="I837">
        <v>2019</v>
      </c>
      <c r="J837">
        <v>12</v>
      </c>
      <c r="K837">
        <v>8</v>
      </c>
      <c r="M837" t="s">
        <v>247</v>
      </c>
      <c r="O837" t="s">
        <v>40</v>
      </c>
      <c r="P837" t="s">
        <v>672</v>
      </c>
      <c r="R837" t="s">
        <v>920</v>
      </c>
      <c r="U837" t="s">
        <v>36</v>
      </c>
      <c r="V837">
        <v>0</v>
      </c>
      <c r="W837" t="s">
        <v>1082</v>
      </c>
      <c r="Z837" t="s">
        <v>1011</v>
      </c>
    </row>
    <row r="838" spans="1:26" hidden="1" x14ac:dyDescent="0.2">
      <c r="A838" s="3">
        <v>43756</v>
      </c>
      <c r="D838" s="5">
        <v>0.94353009259259257</v>
      </c>
      <c r="E838">
        <v>-76.715171666666706</v>
      </c>
      <c r="F838">
        <v>3.4865699999999999</v>
      </c>
      <c r="G838">
        <v>1866</v>
      </c>
      <c r="H838">
        <v>1.5</v>
      </c>
      <c r="I838">
        <v>2019</v>
      </c>
      <c r="J838">
        <v>12</v>
      </c>
      <c r="K838">
        <v>12</v>
      </c>
      <c r="M838" t="s">
        <v>247</v>
      </c>
      <c r="O838" t="s">
        <v>40</v>
      </c>
      <c r="P838" t="s">
        <v>672</v>
      </c>
      <c r="R838" t="s">
        <v>920</v>
      </c>
      <c r="U838" t="s">
        <v>36</v>
      </c>
      <c r="V838">
        <v>0</v>
      </c>
      <c r="W838" t="s">
        <v>1073</v>
      </c>
      <c r="Z838" t="s">
        <v>36</v>
      </c>
    </row>
    <row r="839" spans="1:26" hidden="1" x14ac:dyDescent="0.2">
      <c r="A839" s="3">
        <v>43756</v>
      </c>
      <c r="D839" s="5">
        <v>0.92302083333333329</v>
      </c>
      <c r="E839">
        <v>-76.7148866666667</v>
      </c>
      <c r="F839">
        <v>3.4872049999999999</v>
      </c>
      <c r="G839">
        <v>1855</v>
      </c>
      <c r="H839">
        <v>1.5</v>
      </c>
      <c r="I839">
        <v>2019</v>
      </c>
      <c r="J839">
        <v>5</v>
      </c>
      <c r="K839">
        <v>15</v>
      </c>
      <c r="M839" t="s">
        <v>247</v>
      </c>
      <c r="O839" t="s">
        <v>40</v>
      </c>
      <c r="P839" t="s">
        <v>672</v>
      </c>
      <c r="R839" t="s">
        <v>920</v>
      </c>
      <c r="S839" t="s">
        <v>961</v>
      </c>
      <c r="U839" t="s">
        <v>88</v>
      </c>
      <c r="V839">
        <v>1</v>
      </c>
      <c r="Z839" t="s">
        <v>36</v>
      </c>
    </row>
    <row r="840" spans="1:26" hidden="1" x14ac:dyDescent="0.2">
      <c r="A840" s="3">
        <v>43756</v>
      </c>
      <c r="D840" s="5">
        <v>0.88121527777777775</v>
      </c>
      <c r="E840">
        <v>-76.714224999999999</v>
      </c>
      <c r="F840">
        <v>3.4877449999999999</v>
      </c>
      <c r="G840">
        <v>1861</v>
      </c>
      <c r="H840">
        <v>1.7</v>
      </c>
      <c r="I840">
        <v>2019</v>
      </c>
      <c r="J840">
        <v>10</v>
      </c>
      <c r="K840">
        <v>10</v>
      </c>
      <c r="M840" t="s">
        <v>247</v>
      </c>
      <c r="O840" t="s">
        <v>38</v>
      </c>
      <c r="P840" t="s">
        <v>672</v>
      </c>
      <c r="R840" t="s">
        <v>920</v>
      </c>
      <c r="U840" t="s">
        <v>36</v>
      </c>
      <c r="V840">
        <v>0</v>
      </c>
      <c r="W840" t="s">
        <v>1024</v>
      </c>
      <c r="Z840" t="s">
        <v>1011</v>
      </c>
    </row>
    <row r="841" spans="1:26" hidden="1" x14ac:dyDescent="0.2">
      <c r="A841" s="3">
        <v>43756</v>
      </c>
      <c r="D841" s="5">
        <v>0.90869212962962964</v>
      </c>
      <c r="E841">
        <v>-76.714685000000003</v>
      </c>
      <c r="F841">
        <v>3.4873766666666701</v>
      </c>
      <c r="G841">
        <v>1855</v>
      </c>
      <c r="H841">
        <v>1.5</v>
      </c>
      <c r="I841">
        <v>2019</v>
      </c>
      <c r="J841">
        <v>10</v>
      </c>
      <c r="K841">
        <v>15</v>
      </c>
      <c r="M841" t="s">
        <v>247</v>
      </c>
      <c r="O841" t="s">
        <v>38</v>
      </c>
      <c r="P841" t="s">
        <v>672</v>
      </c>
      <c r="R841" t="s">
        <v>920</v>
      </c>
      <c r="U841" t="s">
        <v>36</v>
      </c>
      <c r="V841">
        <v>0</v>
      </c>
      <c r="W841" t="s">
        <v>1073</v>
      </c>
      <c r="Z841" t="s">
        <v>36</v>
      </c>
    </row>
    <row r="842" spans="1:26" hidden="1" x14ac:dyDescent="0.2">
      <c r="A842" s="3">
        <v>43756</v>
      </c>
      <c r="D842" s="5">
        <v>0.92836805555555557</v>
      </c>
      <c r="E842">
        <v>-76.714830000000006</v>
      </c>
      <c r="F842">
        <v>3.48718833333333</v>
      </c>
      <c r="G842">
        <v>1844</v>
      </c>
      <c r="H842">
        <v>1.5</v>
      </c>
      <c r="I842">
        <v>2019</v>
      </c>
      <c r="J842">
        <v>7</v>
      </c>
      <c r="K842">
        <v>12</v>
      </c>
      <c r="M842" t="s">
        <v>247</v>
      </c>
      <c r="O842" t="s">
        <v>40</v>
      </c>
      <c r="P842" t="s">
        <v>672</v>
      </c>
      <c r="R842" t="s">
        <v>920</v>
      </c>
      <c r="U842" t="s">
        <v>36</v>
      </c>
      <c r="V842">
        <v>0</v>
      </c>
      <c r="Y842" t="s">
        <v>1024</v>
      </c>
      <c r="Z842" t="s">
        <v>1011</v>
      </c>
    </row>
    <row r="843" spans="1:26" hidden="1" x14ac:dyDescent="0.2">
      <c r="A843" s="3">
        <v>43756</v>
      </c>
      <c r="D843" s="5">
        <v>0.92836805555555557</v>
      </c>
      <c r="E843">
        <v>-76.714830000000006</v>
      </c>
      <c r="F843">
        <v>3.48718833333333</v>
      </c>
      <c r="G843">
        <v>1844</v>
      </c>
      <c r="H843">
        <v>1.5</v>
      </c>
      <c r="I843">
        <v>2019</v>
      </c>
      <c r="J843">
        <v>7</v>
      </c>
      <c r="K843">
        <v>12</v>
      </c>
      <c r="M843" t="s">
        <v>247</v>
      </c>
      <c r="O843" t="s">
        <v>40</v>
      </c>
      <c r="P843" t="s">
        <v>672</v>
      </c>
      <c r="R843" t="s">
        <v>920</v>
      </c>
      <c r="U843" t="s">
        <v>36</v>
      </c>
      <c r="V843">
        <v>0</v>
      </c>
      <c r="Z843" t="s">
        <v>1011</v>
      </c>
    </row>
    <row r="844" spans="1:26" hidden="1" x14ac:dyDescent="0.2">
      <c r="A844" s="3">
        <v>43756</v>
      </c>
      <c r="D844" s="5">
        <v>0.48534722222222221</v>
      </c>
      <c r="E844">
        <v>-76.713933333333301</v>
      </c>
      <c r="F844">
        <v>3.48770333333333</v>
      </c>
      <c r="G844">
        <v>1850</v>
      </c>
      <c r="H844">
        <v>1.5</v>
      </c>
      <c r="I844">
        <v>2019</v>
      </c>
      <c r="J844">
        <v>12</v>
      </c>
      <c r="K844">
        <v>12</v>
      </c>
      <c r="M844" t="s">
        <v>247</v>
      </c>
      <c r="O844" t="s">
        <v>32</v>
      </c>
      <c r="P844" t="s">
        <v>672</v>
      </c>
      <c r="R844" t="s">
        <v>920</v>
      </c>
      <c r="U844" t="s">
        <v>36</v>
      </c>
      <c r="V844">
        <v>0</v>
      </c>
      <c r="W844" t="s">
        <v>1083</v>
      </c>
      <c r="Y844" t="s">
        <v>1025</v>
      </c>
      <c r="Z844" t="s">
        <v>1011</v>
      </c>
    </row>
    <row r="845" spans="1:26" hidden="1" x14ac:dyDescent="0.2">
      <c r="A845" s="3">
        <v>43756</v>
      </c>
      <c r="D845" s="5">
        <v>0.90688657407407403</v>
      </c>
      <c r="E845">
        <v>-76.714693333333301</v>
      </c>
      <c r="F845">
        <v>3.4874016666666701</v>
      </c>
      <c r="G845">
        <v>1855</v>
      </c>
      <c r="H845">
        <v>1.5</v>
      </c>
      <c r="I845">
        <v>2019</v>
      </c>
      <c r="J845">
        <v>8</v>
      </c>
      <c r="K845">
        <v>15</v>
      </c>
      <c r="M845" t="s">
        <v>247</v>
      </c>
      <c r="O845" t="s">
        <v>38</v>
      </c>
      <c r="P845" t="s">
        <v>672</v>
      </c>
      <c r="R845" t="s">
        <v>920</v>
      </c>
      <c r="S845" t="s">
        <v>961</v>
      </c>
      <c r="U845" t="s">
        <v>68</v>
      </c>
      <c r="V845">
        <v>8</v>
      </c>
      <c r="W845" t="s">
        <v>66</v>
      </c>
      <c r="Z845" t="s">
        <v>36</v>
      </c>
    </row>
    <row r="846" spans="1:26" hidden="1" x14ac:dyDescent="0.2">
      <c r="A846" s="3">
        <v>43756</v>
      </c>
      <c r="D846" s="5">
        <v>0.9362731481481481</v>
      </c>
      <c r="E846">
        <v>-76.715121666666704</v>
      </c>
      <c r="F846">
        <v>3.4870666666666699</v>
      </c>
      <c r="G846">
        <v>1871</v>
      </c>
      <c r="H846">
        <v>0</v>
      </c>
      <c r="I846">
        <v>2019</v>
      </c>
      <c r="J846">
        <v>6</v>
      </c>
      <c r="K846">
        <v>15</v>
      </c>
      <c r="M846" t="s">
        <v>247</v>
      </c>
      <c r="O846" t="s">
        <v>40</v>
      </c>
      <c r="P846" t="s">
        <v>672</v>
      </c>
      <c r="R846" t="s">
        <v>919</v>
      </c>
      <c r="S846" t="s">
        <v>945</v>
      </c>
      <c r="U846" t="s">
        <v>252</v>
      </c>
      <c r="V846">
        <v>1</v>
      </c>
      <c r="Y846" t="s">
        <v>1022</v>
      </c>
      <c r="Z846" t="s">
        <v>36</v>
      </c>
    </row>
    <row r="847" spans="1:26" hidden="1" x14ac:dyDescent="0.2">
      <c r="A847" s="3">
        <v>43756</v>
      </c>
      <c r="D847" s="5">
        <v>0.53268518518518515</v>
      </c>
      <c r="E847">
        <v>-76.715035</v>
      </c>
      <c r="F847">
        <v>3.4866199999999998</v>
      </c>
      <c r="G847">
        <v>1875</v>
      </c>
      <c r="H847">
        <v>1.1000000000000001</v>
      </c>
      <c r="I847">
        <v>2019</v>
      </c>
      <c r="J847">
        <v>10</v>
      </c>
      <c r="K847">
        <v>8</v>
      </c>
      <c r="M847" t="s">
        <v>247</v>
      </c>
      <c r="O847" t="s">
        <v>40</v>
      </c>
      <c r="P847" t="s">
        <v>672</v>
      </c>
      <c r="R847" t="s">
        <v>920</v>
      </c>
      <c r="U847" t="s">
        <v>36</v>
      </c>
      <c r="V847">
        <v>0</v>
      </c>
      <c r="W847" t="s">
        <v>1084</v>
      </c>
      <c r="Z847" t="s">
        <v>36</v>
      </c>
    </row>
    <row r="848" spans="1:26" hidden="1" x14ac:dyDescent="0.2">
      <c r="A848" s="3">
        <v>43756</v>
      </c>
      <c r="D848" s="5">
        <v>0.87578703703703709</v>
      </c>
      <c r="E848">
        <v>-76.714148333333299</v>
      </c>
      <c r="F848">
        <v>3.4876983333333298</v>
      </c>
      <c r="G848">
        <v>1861</v>
      </c>
      <c r="H848">
        <v>1.25</v>
      </c>
      <c r="I848">
        <v>2019</v>
      </c>
      <c r="J848">
        <v>12</v>
      </c>
      <c r="K848">
        <v>10</v>
      </c>
      <c r="M848" t="s">
        <v>247</v>
      </c>
      <c r="O848" t="s">
        <v>38</v>
      </c>
      <c r="P848" t="s">
        <v>672</v>
      </c>
      <c r="R848" t="s">
        <v>920</v>
      </c>
      <c r="U848" t="s">
        <v>36</v>
      </c>
      <c r="V848">
        <v>0</v>
      </c>
      <c r="W848" t="s">
        <v>1024</v>
      </c>
      <c r="Z848" t="s">
        <v>1011</v>
      </c>
    </row>
    <row r="849" spans="1:26" hidden="1" x14ac:dyDescent="0.2">
      <c r="A849" s="3">
        <v>43756</v>
      </c>
      <c r="D849" s="5">
        <v>0.88002314814814819</v>
      </c>
      <c r="E849">
        <v>-76.714011666666707</v>
      </c>
      <c r="F849">
        <v>3.4878216666666702</v>
      </c>
      <c r="G849">
        <v>1861</v>
      </c>
      <c r="H849">
        <v>1.7</v>
      </c>
      <c r="I849">
        <v>2019</v>
      </c>
      <c r="J849">
        <v>10</v>
      </c>
      <c r="K849">
        <v>10</v>
      </c>
      <c r="M849" t="s">
        <v>247</v>
      </c>
      <c r="O849" t="s">
        <v>32</v>
      </c>
      <c r="P849" t="s">
        <v>672</v>
      </c>
      <c r="R849" t="s">
        <v>920</v>
      </c>
      <c r="S849" t="s">
        <v>957</v>
      </c>
      <c r="U849" t="s">
        <v>936</v>
      </c>
      <c r="V849">
        <v>1</v>
      </c>
      <c r="Z849" t="s">
        <v>36</v>
      </c>
    </row>
    <row r="850" spans="1:26" hidden="1" x14ac:dyDescent="0.2">
      <c r="A850" s="3">
        <v>43756</v>
      </c>
      <c r="D850" s="5">
        <v>0.50793981481481476</v>
      </c>
      <c r="E850">
        <v>-76.71463</v>
      </c>
      <c r="F850">
        <v>3.4873783333333299</v>
      </c>
      <c r="G850">
        <v>1865</v>
      </c>
      <c r="H850">
        <v>1</v>
      </c>
      <c r="I850">
        <v>2019</v>
      </c>
      <c r="J850">
        <v>15</v>
      </c>
      <c r="K850">
        <v>12</v>
      </c>
      <c r="M850" t="s">
        <v>247</v>
      </c>
      <c r="O850" t="s">
        <v>38</v>
      </c>
      <c r="P850" t="s">
        <v>672</v>
      </c>
      <c r="R850" t="s">
        <v>920</v>
      </c>
      <c r="U850" t="s">
        <v>36</v>
      </c>
      <c r="V850">
        <v>0</v>
      </c>
      <c r="Y850" t="s">
        <v>1026</v>
      </c>
      <c r="Z850" t="s">
        <v>36</v>
      </c>
    </row>
    <row r="851" spans="1:26" hidden="1" x14ac:dyDescent="0.2">
      <c r="A851" s="3">
        <v>43756</v>
      </c>
      <c r="D851" s="5">
        <v>0.86640046296296291</v>
      </c>
      <c r="E851">
        <v>-76.713881666666694</v>
      </c>
      <c r="F851">
        <v>3.48786166666667</v>
      </c>
      <c r="G851">
        <v>1860</v>
      </c>
      <c r="H851">
        <v>1.7</v>
      </c>
      <c r="I851">
        <v>2019</v>
      </c>
      <c r="J851">
        <v>7</v>
      </c>
      <c r="K851">
        <v>10</v>
      </c>
      <c r="M851" t="s">
        <v>247</v>
      </c>
      <c r="O851" t="s">
        <v>32</v>
      </c>
      <c r="P851" t="s">
        <v>672</v>
      </c>
      <c r="R851" t="s">
        <v>920</v>
      </c>
      <c r="U851" t="s">
        <v>36</v>
      </c>
      <c r="V851">
        <v>0</v>
      </c>
      <c r="W851" t="s">
        <v>1077</v>
      </c>
      <c r="Z851" t="s">
        <v>36</v>
      </c>
    </row>
    <row r="852" spans="1:26" hidden="1" x14ac:dyDescent="0.2">
      <c r="A852" s="3">
        <v>43757</v>
      </c>
      <c r="D852" s="5">
        <v>0.9340856481481481</v>
      </c>
      <c r="E852">
        <v>-76.723174999999998</v>
      </c>
      <c r="F852">
        <v>3.47983333333333</v>
      </c>
      <c r="G852">
        <v>2100</v>
      </c>
      <c r="I852">
        <v>2019</v>
      </c>
      <c r="J852">
        <v>25</v>
      </c>
      <c r="K852">
        <v>10</v>
      </c>
      <c r="M852" t="s">
        <v>247</v>
      </c>
      <c r="O852" t="s">
        <v>47</v>
      </c>
      <c r="P852" t="s">
        <v>280</v>
      </c>
      <c r="R852" t="s">
        <v>921</v>
      </c>
      <c r="S852" t="s">
        <v>961</v>
      </c>
      <c r="U852" t="s">
        <v>88</v>
      </c>
      <c r="V852">
        <v>1</v>
      </c>
      <c r="Z852" t="s">
        <v>36</v>
      </c>
    </row>
    <row r="853" spans="1:26" hidden="1" x14ac:dyDescent="0.2">
      <c r="A853" s="3">
        <v>43757</v>
      </c>
      <c r="D853" s="5">
        <v>0.93885416666666666</v>
      </c>
      <c r="E853">
        <v>-76.723216666666701</v>
      </c>
      <c r="F853">
        <v>3.4802483333333298</v>
      </c>
      <c r="G853">
        <v>2091</v>
      </c>
      <c r="I853">
        <v>2019</v>
      </c>
      <c r="J853">
        <v>20</v>
      </c>
      <c r="K853">
        <v>10</v>
      </c>
      <c r="M853" t="s">
        <v>247</v>
      </c>
      <c r="O853" t="s">
        <v>58</v>
      </c>
      <c r="P853" t="s">
        <v>280</v>
      </c>
      <c r="R853" t="s">
        <v>921</v>
      </c>
      <c r="S853" t="s">
        <v>961</v>
      </c>
      <c r="U853" t="s">
        <v>936</v>
      </c>
      <c r="V853">
        <v>1</v>
      </c>
      <c r="Z853" t="s">
        <v>36</v>
      </c>
    </row>
    <row r="854" spans="1:26" hidden="1" x14ac:dyDescent="0.2">
      <c r="A854" s="3">
        <v>43757</v>
      </c>
      <c r="D854" s="5">
        <v>0.77793981481481478</v>
      </c>
      <c r="E854">
        <v>-76.722223333333403</v>
      </c>
      <c r="F854">
        <v>3.4767450000000002</v>
      </c>
      <c r="G854">
        <v>1857</v>
      </c>
      <c r="H854">
        <v>0</v>
      </c>
      <c r="I854">
        <v>2019</v>
      </c>
      <c r="J854">
        <v>22</v>
      </c>
      <c r="K854">
        <v>15</v>
      </c>
      <c r="M854" t="s">
        <v>247</v>
      </c>
      <c r="O854" t="s">
        <v>32</v>
      </c>
      <c r="P854" t="s">
        <v>280</v>
      </c>
      <c r="R854" t="s">
        <v>921</v>
      </c>
      <c r="U854" t="s">
        <v>36</v>
      </c>
      <c r="V854">
        <v>0</v>
      </c>
      <c r="Z854" t="s">
        <v>36</v>
      </c>
    </row>
    <row r="855" spans="1:26" hidden="1" x14ac:dyDescent="0.2">
      <c r="A855" s="3">
        <v>43757</v>
      </c>
      <c r="D855" s="5">
        <v>0.77793981481481478</v>
      </c>
      <c r="E855">
        <v>-76.722223333333403</v>
      </c>
      <c r="F855">
        <v>3.4767450000000002</v>
      </c>
      <c r="G855">
        <v>1957</v>
      </c>
      <c r="H855">
        <v>0</v>
      </c>
      <c r="I855">
        <v>2019</v>
      </c>
      <c r="J855">
        <v>22</v>
      </c>
      <c r="K855">
        <v>12</v>
      </c>
      <c r="M855" t="s">
        <v>247</v>
      </c>
      <c r="O855" t="s">
        <v>32</v>
      </c>
      <c r="P855" t="s">
        <v>280</v>
      </c>
      <c r="R855" t="s">
        <v>921</v>
      </c>
      <c r="S855" t="s">
        <v>961</v>
      </c>
      <c r="U855" t="s">
        <v>88</v>
      </c>
      <c r="V855">
        <v>2</v>
      </c>
      <c r="Z855" t="s">
        <v>36</v>
      </c>
    </row>
    <row r="856" spans="1:26" hidden="1" x14ac:dyDescent="0.2">
      <c r="A856" s="3">
        <v>43757</v>
      </c>
      <c r="D856" s="5">
        <v>0.85642361111111109</v>
      </c>
      <c r="E856">
        <v>-76.722624999999994</v>
      </c>
      <c r="F856">
        <v>3.4776566666666699</v>
      </c>
      <c r="G856">
        <v>2100</v>
      </c>
      <c r="H856">
        <v>0</v>
      </c>
      <c r="I856">
        <v>2019</v>
      </c>
      <c r="J856">
        <v>20</v>
      </c>
      <c r="K856">
        <v>15</v>
      </c>
      <c r="M856" t="s">
        <v>247</v>
      </c>
      <c r="O856" t="s">
        <v>38</v>
      </c>
      <c r="P856" t="s">
        <v>280</v>
      </c>
      <c r="R856" t="s">
        <v>921</v>
      </c>
      <c r="S856" t="s">
        <v>965</v>
      </c>
      <c r="U856" t="s">
        <v>316</v>
      </c>
      <c r="V856">
        <v>1</v>
      </c>
      <c r="Z856" t="s">
        <v>36</v>
      </c>
    </row>
    <row r="857" spans="1:26" hidden="1" x14ac:dyDescent="0.2">
      <c r="A857" s="3">
        <v>43757</v>
      </c>
      <c r="D857" s="5">
        <v>0.85642361111111109</v>
      </c>
      <c r="E857">
        <v>-76.722624999999994</v>
      </c>
      <c r="F857">
        <v>3.4776566666666699</v>
      </c>
      <c r="G857">
        <v>2100</v>
      </c>
      <c r="I857">
        <v>2019</v>
      </c>
      <c r="J857">
        <v>22</v>
      </c>
      <c r="K857">
        <v>15</v>
      </c>
      <c r="M857" t="s">
        <v>247</v>
      </c>
      <c r="O857" t="s">
        <v>38</v>
      </c>
      <c r="P857" t="s">
        <v>280</v>
      </c>
      <c r="R857" t="s">
        <v>921</v>
      </c>
      <c r="S857" t="s">
        <v>965</v>
      </c>
      <c r="U857" t="s">
        <v>88</v>
      </c>
      <c r="V857">
        <v>1</v>
      </c>
      <c r="Z857" t="s">
        <v>36</v>
      </c>
    </row>
    <row r="858" spans="1:26" hidden="1" x14ac:dyDescent="0.2">
      <c r="A858" s="3">
        <v>43757</v>
      </c>
      <c r="D858" s="5">
        <v>0.92103009259259261</v>
      </c>
      <c r="E858">
        <v>-76.722989999999996</v>
      </c>
      <c r="F858">
        <v>3.479355</v>
      </c>
      <c r="G858">
        <v>2100</v>
      </c>
      <c r="I858">
        <v>2019</v>
      </c>
      <c r="J858">
        <v>25</v>
      </c>
      <c r="K858">
        <v>10</v>
      </c>
      <c r="M858" t="s">
        <v>247</v>
      </c>
      <c r="O858" t="s">
        <v>47</v>
      </c>
      <c r="P858" t="s">
        <v>280</v>
      </c>
      <c r="R858" t="s">
        <v>921</v>
      </c>
      <c r="S858" t="s">
        <v>945</v>
      </c>
      <c r="U858" t="s">
        <v>88</v>
      </c>
      <c r="V858">
        <v>1</v>
      </c>
      <c r="Z858" t="s">
        <v>36</v>
      </c>
    </row>
    <row r="859" spans="1:26" hidden="1" x14ac:dyDescent="0.2">
      <c r="A859" s="3">
        <v>43757</v>
      </c>
      <c r="D859" s="5">
        <v>0.80666666666666664</v>
      </c>
      <c r="E859">
        <v>-76.722413333333293</v>
      </c>
      <c r="F859">
        <v>3.47718666666667</v>
      </c>
      <c r="G859">
        <v>2140</v>
      </c>
      <c r="H859">
        <v>0</v>
      </c>
      <c r="I859">
        <v>2019</v>
      </c>
      <c r="J859">
        <v>22</v>
      </c>
      <c r="K859">
        <v>10</v>
      </c>
      <c r="M859" t="s">
        <v>247</v>
      </c>
      <c r="O859" t="s">
        <v>38</v>
      </c>
      <c r="P859" t="s">
        <v>280</v>
      </c>
      <c r="R859" t="s">
        <v>921</v>
      </c>
      <c r="S859" t="s">
        <v>945</v>
      </c>
      <c r="U859" t="s">
        <v>88</v>
      </c>
      <c r="V859">
        <v>1</v>
      </c>
      <c r="Z859" t="s">
        <v>36</v>
      </c>
    </row>
    <row r="860" spans="1:26" hidden="1" x14ac:dyDescent="0.2">
      <c r="A860" s="3">
        <v>43757</v>
      </c>
      <c r="D860" s="5">
        <v>0.85107638888888892</v>
      </c>
      <c r="E860">
        <v>-76.722521666666694</v>
      </c>
      <c r="F860">
        <v>3.4774733333333301</v>
      </c>
      <c r="G860">
        <v>2130</v>
      </c>
      <c r="H860">
        <v>0</v>
      </c>
      <c r="I860">
        <v>2019</v>
      </c>
      <c r="J860">
        <v>22</v>
      </c>
      <c r="K860">
        <v>12</v>
      </c>
      <c r="M860" t="s">
        <v>247</v>
      </c>
      <c r="O860" t="s">
        <v>38</v>
      </c>
      <c r="P860" t="s">
        <v>280</v>
      </c>
      <c r="R860" t="s">
        <v>921</v>
      </c>
      <c r="S860" t="s">
        <v>966</v>
      </c>
      <c r="U860" t="s">
        <v>316</v>
      </c>
      <c r="V860">
        <v>1</v>
      </c>
      <c r="Z860" t="s">
        <v>36</v>
      </c>
    </row>
    <row r="861" spans="1:26" hidden="1" x14ac:dyDescent="0.2">
      <c r="A861" s="3">
        <v>43757</v>
      </c>
      <c r="D861" s="5">
        <v>0.78302083333333339</v>
      </c>
      <c r="E861">
        <v>-76.722264999999993</v>
      </c>
      <c r="F861">
        <v>3.4767683333333301</v>
      </c>
      <c r="G861">
        <v>2123</v>
      </c>
      <c r="H861">
        <v>0</v>
      </c>
      <c r="I861">
        <v>2019</v>
      </c>
      <c r="J861">
        <v>22</v>
      </c>
      <c r="K861">
        <v>12</v>
      </c>
      <c r="M861" t="s">
        <v>247</v>
      </c>
      <c r="O861" t="s">
        <v>32</v>
      </c>
      <c r="P861" t="s">
        <v>280</v>
      </c>
      <c r="R861" t="s">
        <v>921</v>
      </c>
      <c r="S861" t="s">
        <v>945</v>
      </c>
      <c r="U861" t="s">
        <v>316</v>
      </c>
      <c r="V861">
        <v>1</v>
      </c>
      <c r="Z861" t="s">
        <v>36</v>
      </c>
    </row>
    <row r="862" spans="1:26" hidden="1" x14ac:dyDescent="0.2">
      <c r="A862" s="3">
        <v>43757</v>
      </c>
      <c r="D862" s="5">
        <v>0.90598379629629633</v>
      </c>
      <c r="E862">
        <v>-76.722826666666705</v>
      </c>
      <c r="F862">
        <v>3.4788916666666698</v>
      </c>
      <c r="G862">
        <v>2100</v>
      </c>
      <c r="I862">
        <v>2019</v>
      </c>
      <c r="J862">
        <v>20</v>
      </c>
      <c r="K862">
        <v>10</v>
      </c>
      <c r="M862" t="s">
        <v>247</v>
      </c>
      <c r="O862" t="s">
        <v>40</v>
      </c>
      <c r="P862" t="s">
        <v>280</v>
      </c>
      <c r="R862" t="s">
        <v>921</v>
      </c>
      <c r="S862" t="s">
        <v>945</v>
      </c>
      <c r="U862" t="s">
        <v>316</v>
      </c>
      <c r="V862">
        <v>1</v>
      </c>
      <c r="Z862" t="s">
        <v>36</v>
      </c>
    </row>
    <row r="863" spans="1:26" hidden="1" x14ac:dyDescent="0.2">
      <c r="A863" s="3">
        <v>43757</v>
      </c>
      <c r="D863" s="5">
        <v>0.86746527777777782</v>
      </c>
      <c r="E863">
        <v>-76.722729999999999</v>
      </c>
      <c r="F863">
        <v>3.4777999999999998</v>
      </c>
      <c r="G863">
        <v>1989</v>
      </c>
      <c r="I863">
        <v>2019</v>
      </c>
      <c r="J863">
        <v>22</v>
      </c>
      <c r="K863">
        <v>15</v>
      </c>
      <c r="M863" t="s">
        <v>247</v>
      </c>
      <c r="O863" t="s">
        <v>38</v>
      </c>
      <c r="P863" t="s">
        <v>280</v>
      </c>
      <c r="R863" t="s">
        <v>921</v>
      </c>
      <c r="S863" t="s">
        <v>959</v>
      </c>
      <c r="U863" t="s">
        <v>293</v>
      </c>
      <c r="V863">
        <v>1</v>
      </c>
      <c r="Z863" t="s">
        <v>36</v>
      </c>
    </row>
    <row r="864" spans="1:26" hidden="1" x14ac:dyDescent="0.2">
      <c r="A864" s="3">
        <v>43757</v>
      </c>
      <c r="D864" s="5">
        <v>0.86746527777777782</v>
      </c>
      <c r="E864">
        <v>-76.722729999999999</v>
      </c>
      <c r="F864">
        <v>3.4777999999999998</v>
      </c>
      <c r="G864">
        <v>1989</v>
      </c>
      <c r="I864">
        <v>2019</v>
      </c>
      <c r="J864">
        <v>22</v>
      </c>
      <c r="K864">
        <v>15</v>
      </c>
      <c r="M864" t="s">
        <v>247</v>
      </c>
      <c r="O864" t="s">
        <v>38</v>
      </c>
      <c r="P864" t="s">
        <v>280</v>
      </c>
      <c r="R864" t="s">
        <v>921</v>
      </c>
      <c r="S864" t="s">
        <v>959</v>
      </c>
      <c r="U864" t="s">
        <v>936</v>
      </c>
      <c r="V864">
        <v>1</v>
      </c>
      <c r="Z864" t="s">
        <v>36</v>
      </c>
    </row>
    <row r="865" spans="1:26" hidden="1" x14ac:dyDescent="0.2">
      <c r="A865" s="3">
        <v>43757</v>
      </c>
      <c r="D865" s="5">
        <v>0.86746527777777782</v>
      </c>
      <c r="E865">
        <v>-76.722729999999999</v>
      </c>
      <c r="F865">
        <v>3.4777999999999998</v>
      </c>
      <c r="G865">
        <v>1989</v>
      </c>
      <c r="I865">
        <v>2019</v>
      </c>
      <c r="J865">
        <v>20</v>
      </c>
      <c r="K865">
        <v>15</v>
      </c>
      <c r="M865" t="s">
        <v>247</v>
      </c>
      <c r="O865" t="s">
        <v>38</v>
      </c>
      <c r="P865" t="s">
        <v>280</v>
      </c>
      <c r="R865" t="s">
        <v>921</v>
      </c>
      <c r="S865" t="s">
        <v>959</v>
      </c>
      <c r="U865" t="s">
        <v>88</v>
      </c>
      <c r="V865">
        <v>2</v>
      </c>
      <c r="Z865" t="s">
        <v>36</v>
      </c>
    </row>
    <row r="866" spans="1:26" hidden="1" x14ac:dyDescent="0.2">
      <c r="A866" s="3">
        <v>43757</v>
      </c>
      <c r="D866" s="5">
        <v>0.92415509259259254</v>
      </c>
      <c r="E866">
        <v>-76.723058333333299</v>
      </c>
      <c r="F866">
        <v>3.4794366666666701</v>
      </c>
      <c r="G866">
        <v>2100</v>
      </c>
      <c r="H866">
        <v>0</v>
      </c>
      <c r="I866">
        <v>2019</v>
      </c>
      <c r="J866">
        <v>25</v>
      </c>
      <c r="K866">
        <v>10</v>
      </c>
      <c r="M866" t="s">
        <v>247</v>
      </c>
      <c r="O866" t="s">
        <v>47</v>
      </c>
      <c r="P866" t="s">
        <v>280</v>
      </c>
      <c r="R866" t="s">
        <v>921</v>
      </c>
      <c r="S866" t="s">
        <v>959</v>
      </c>
      <c r="U866" t="s">
        <v>88</v>
      </c>
      <c r="V866">
        <v>1</v>
      </c>
      <c r="Z866" t="s">
        <v>36</v>
      </c>
    </row>
    <row r="867" spans="1:26" hidden="1" x14ac:dyDescent="0.2">
      <c r="A867" s="3">
        <v>43757</v>
      </c>
      <c r="D867" s="5">
        <v>0.79515046296296299</v>
      </c>
      <c r="E867">
        <v>-76.722438333333301</v>
      </c>
      <c r="F867">
        <v>3.4769899999999998</v>
      </c>
      <c r="G867">
        <v>2137</v>
      </c>
      <c r="H867">
        <v>0</v>
      </c>
      <c r="I867">
        <v>2019</v>
      </c>
      <c r="J867">
        <v>20</v>
      </c>
      <c r="K867">
        <v>8</v>
      </c>
      <c r="M867" t="s">
        <v>247</v>
      </c>
      <c r="O867" t="s">
        <v>32</v>
      </c>
      <c r="P867" t="s">
        <v>280</v>
      </c>
      <c r="R867" t="s">
        <v>921</v>
      </c>
      <c r="S867" t="s">
        <v>966</v>
      </c>
      <c r="U867" t="s">
        <v>316</v>
      </c>
      <c r="V867">
        <v>1</v>
      </c>
      <c r="Z867" t="s">
        <v>36</v>
      </c>
    </row>
    <row r="868" spans="1:26" hidden="1" x14ac:dyDescent="0.2">
      <c r="A868" s="3">
        <v>43757</v>
      </c>
      <c r="D868" s="5">
        <v>0.92914351851851851</v>
      </c>
      <c r="E868">
        <v>-76.723025000000007</v>
      </c>
      <c r="F868">
        <v>3.4795516666666702</v>
      </c>
      <c r="G868">
        <v>2100</v>
      </c>
      <c r="I868">
        <v>2019</v>
      </c>
      <c r="J868">
        <v>22</v>
      </c>
      <c r="K868">
        <v>10</v>
      </c>
      <c r="M868" t="s">
        <v>247</v>
      </c>
      <c r="O868" t="s">
        <v>47</v>
      </c>
      <c r="P868" t="s">
        <v>280</v>
      </c>
      <c r="R868" t="s">
        <v>921</v>
      </c>
      <c r="S868" t="s">
        <v>961</v>
      </c>
      <c r="U868" t="s">
        <v>293</v>
      </c>
      <c r="V868">
        <v>1</v>
      </c>
      <c r="Z868" t="s">
        <v>36</v>
      </c>
    </row>
    <row r="869" spans="1:26" hidden="1" x14ac:dyDescent="0.2">
      <c r="A869" s="3">
        <v>43757</v>
      </c>
      <c r="D869" s="5">
        <v>0.87820601851851854</v>
      </c>
      <c r="E869">
        <v>-76.722781666666705</v>
      </c>
      <c r="F869">
        <v>3.4779900000000001</v>
      </c>
      <c r="G869">
        <v>2120</v>
      </c>
      <c r="I869">
        <v>2019</v>
      </c>
      <c r="J869">
        <v>25</v>
      </c>
      <c r="K869">
        <v>17</v>
      </c>
      <c r="M869" t="s">
        <v>247</v>
      </c>
      <c r="O869" t="s">
        <v>40</v>
      </c>
      <c r="P869" t="s">
        <v>280</v>
      </c>
      <c r="R869" t="s">
        <v>921</v>
      </c>
      <c r="S869" t="s">
        <v>945</v>
      </c>
      <c r="U869" t="s">
        <v>88</v>
      </c>
      <c r="V869">
        <v>1</v>
      </c>
      <c r="Z869" t="s">
        <v>36</v>
      </c>
    </row>
    <row r="870" spans="1:26" hidden="1" x14ac:dyDescent="0.2">
      <c r="A870" s="3">
        <v>43757</v>
      </c>
      <c r="D870" s="5">
        <v>0.78539351851851846</v>
      </c>
      <c r="E870">
        <v>-76.722313333333403</v>
      </c>
      <c r="F870">
        <v>3.4768583333333298</v>
      </c>
      <c r="G870">
        <v>2123</v>
      </c>
      <c r="H870">
        <v>0</v>
      </c>
      <c r="I870">
        <v>2019</v>
      </c>
      <c r="J870">
        <v>23</v>
      </c>
      <c r="K870">
        <v>15</v>
      </c>
      <c r="M870" t="s">
        <v>247</v>
      </c>
      <c r="O870" t="s">
        <v>32</v>
      </c>
      <c r="P870" t="s">
        <v>280</v>
      </c>
      <c r="R870" t="s">
        <v>921</v>
      </c>
      <c r="S870" t="s">
        <v>961</v>
      </c>
      <c r="U870" t="s">
        <v>88</v>
      </c>
      <c r="V870">
        <v>1</v>
      </c>
      <c r="Z870" t="s">
        <v>36</v>
      </c>
    </row>
    <row r="871" spans="1:26" hidden="1" x14ac:dyDescent="0.2">
      <c r="A871" s="3">
        <v>43757</v>
      </c>
      <c r="D871" s="5">
        <v>0.83648148148148149</v>
      </c>
      <c r="E871">
        <v>-76.722461666666703</v>
      </c>
      <c r="F871">
        <v>3.4773049999999999</v>
      </c>
      <c r="G871">
        <v>2140</v>
      </c>
      <c r="H871">
        <v>0</v>
      </c>
      <c r="I871">
        <v>2019</v>
      </c>
      <c r="J871">
        <v>25</v>
      </c>
      <c r="K871">
        <v>12</v>
      </c>
      <c r="M871" t="s">
        <v>247</v>
      </c>
      <c r="O871" t="s">
        <v>38</v>
      </c>
      <c r="P871" t="s">
        <v>280</v>
      </c>
      <c r="R871" t="s">
        <v>921</v>
      </c>
      <c r="S871" t="s">
        <v>961</v>
      </c>
      <c r="U871" t="s">
        <v>293</v>
      </c>
      <c r="V871">
        <v>1</v>
      </c>
      <c r="Z871" t="s">
        <v>36</v>
      </c>
    </row>
    <row r="872" spans="1:26" hidden="1" x14ac:dyDescent="0.2">
      <c r="A872" s="3">
        <v>43757</v>
      </c>
      <c r="D872" s="5">
        <v>0.83648148148148149</v>
      </c>
      <c r="E872">
        <v>-76.722461666666703</v>
      </c>
      <c r="F872">
        <v>3.4773049999999999</v>
      </c>
      <c r="G872">
        <v>2140</v>
      </c>
      <c r="H872">
        <v>0</v>
      </c>
      <c r="I872">
        <v>2019</v>
      </c>
      <c r="J872">
        <v>25</v>
      </c>
      <c r="K872">
        <v>12</v>
      </c>
      <c r="M872" t="s">
        <v>247</v>
      </c>
      <c r="O872" t="s">
        <v>38</v>
      </c>
      <c r="P872" t="s">
        <v>280</v>
      </c>
      <c r="R872" t="s">
        <v>921</v>
      </c>
      <c r="S872" t="s">
        <v>961</v>
      </c>
      <c r="U872" t="s">
        <v>316</v>
      </c>
      <c r="V872">
        <v>1</v>
      </c>
      <c r="Z872" t="s">
        <v>36</v>
      </c>
    </row>
    <row r="873" spans="1:26" hidden="1" x14ac:dyDescent="0.2">
      <c r="A873" s="3">
        <v>43757</v>
      </c>
      <c r="D873" s="5">
        <v>0.87049768518518522</v>
      </c>
      <c r="E873">
        <v>-76.722743333333298</v>
      </c>
      <c r="F873">
        <v>3.4778099999999998</v>
      </c>
      <c r="G873">
        <v>1980</v>
      </c>
      <c r="H873">
        <v>0</v>
      </c>
      <c r="I873">
        <v>2019</v>
      </c>
      <c r="J873">
        <v>25</v>
      </c>
      <c r="K873">
        <v>12</v>
      </c>
      <c r="M873" t="s">
        <v>247</v>
      </c>
      <c r="O873" t="s">
        <v>38</v>
      </c>
      <c r="P873" t="s">
        <v>280</v>
      </c>
      <c r="R873" t="s">
        <v>921</v>
      </c>
      <c r="S873" t="s">
        <v>961</v>
      </c>
      <c r="U873" t="s">
        <v>936</v>
      </c>
      <c r="V873">
        <v>1</v>
      </c>
      <c r="Z873" t="s">
        <v>36</v>
      </c>
    </row>
    <row r="874" spans="1:26" hidden="1" x14ac:dyDescent="0.2">
      <c r="A874" s="3">
        <v>43757</v>
      </c>
      <c r="D874" s="5">
        <v>0.89236111111111116</v>
      </c>
      <c r="E874">
        <v>-76.722858333333306</v>
      </c>
      <c r="F874">
        <v>3.4784449999999998</v>
      </c>
      <c r="G874">
        <v>2100</v>
      </c>
      <c r="I874">
        <v>2019</v>
      </c>
      <c r="J874">
        <v>25</v>
      </c>
      <c r="K874">
        <v>16</v>
      </c>
      <c r="M874" t="s">
        <v>247</v>
      </c>
      <c r="O874" t="s">
        <v>40</v>
      </c>
      <c r="P874" t="s">
        <v>280</v>
      </c>
      <c r="R874" t="s">
        <v>921</v>
      </c>
      <c r="S874" t="s">
        <v>967</v>
      </c>
      <c r="U874" t="s">
        <v>316</v>
      </c>
      <c r="V874">
        <v>1</v>
      </c>
      <c r="Z874" t="s">
        <v>36</v>
      </c>
    </row>
    <row r="875" spans="1:26" hidden="1" x14ac:dyDescent="0.2">
      <c r="A875" s="3">
        <v>43757</v>
      </c>
      <c r="D875" s="5">
        <v>0.86186342592592591</v>
      </c>
      <c r="E875">
        <v>-76.722650000000002</v>
      </c>
      <c r="F875">
        <v>3.47770166666667</v>
      </c>
      <c r="G875">
        <v>1999</v>
      </c>
      <c r="I875">
        <v>2019</v>
      </c>
      <c r="J875">
        <v>22</v>
      </c>
      <c r="K875">
        <v>15</v>
      </c>
      <c r="M875" t="s">
        <v>247</v>
      </c>
      <c r="O875" t="s">
        <v>38</v>
      </c>
      <c r="P875" t="s">
        <v>280</v>
      </c>
      <c r="R875" t="s">
        <v>921</v>
      </c>
      <c r="S875" t="s">
        <v>945</v>
      </c>
      <c r="U875" t="s">
        <v>88</v>
      </c>
      <c r="V875">
        <v>1</v>
      </c>
      <c r="Z875" t="s">
        <v>36</v>
      </c>
    </row>
    <row r="876" spans="1:26" hidden="1" x14ac:dyDescent="0.2">
      <c r="A876" s="3">
        <v>43757</v>
      </c>
      <c r="D876" s="5">
        <v>0.87156250000000002</v>
      </c>
      <c r="E876">
        <v>-76.722753333333301</v>
      </c>
      <c r="F876">
        <v>3.4778483333333301</v>
      </c>
      <c r="G876">
        <v>1980</v>
      </c>
      <c r="I876">
        <v>2019</v>
      </c>
      <c r="J876">
        <v>22</v>
      </c>
      <c r="K876">
        <v>12</v>
      </c>
      <c r="M876" t="s">
        <v>247</v>
      </c>
      <c r="O876" t="s">
        <v>38</v>
      </c>
      <c r="P876" t="s">
        <v>280</v>
      </c>
      <c r="R876" t="s">
        <v>921</v>
      </c>
      <c r="S876" t="s">
        <v>961</v>
      </c>
      <c r="U876" t="s">
        <v>937</v>
      </c>
      <c r="V876">
        <v>1</v>
      </c>
      <c r="Z876" t="s">
        <v>36</v>
      </c>
    </row>
    <row r="877" spans="1:26" hidden="1" x14ac:dyDescent="0.2">
      <c r="A877" s="3">
        <v>43757</v>
      </c>
      <c r="D877" s="5">
        <v>0.89445601851851853</v>
      </c>
      <c r="E877">
        <v>-76.722774999999999</v>
      </c>
      <c r="F877">
        <v>3.4785300000000001</v>
      </c>
      <c r="G877">
        <v>2100</v>
      </c>
      <c r="I877">
        <v>2019</v>
      </c>
      <c r="J877">
        <v>25</v>
      </c>
      <c r="K877">
        <v>15</v>
      </c>
      <c r="M877" t="s">
        <v>247</v>
      </c>
      <c r="O877" t="s">
        <v>40</v>
      </c>
      <c r="P877" t="s">
        <v>280</v>
      </c>
      <c r="R877" t="s">
        <v>921</v>
      </c>
      <c r="S877" t="s">
        <v>961</v>
      </c>
      <c r="U877" t="s">
        <v>296</v>
      </c>
      <c r="V877">
        <v>1</v>
      </c>
      <c r="Z877" t="s">
        <v>36</v>
      </c>
    </row>
    <row r="878" spans="1:26" hidden="1" x14ac:dyDescent="0.2">
      <c r="A878" s="3">
        <v>43757</v>
      </c>
      <c r="D878" s="5">
        <v>0.88741898148148146</v>
      </c>
      <c r="E878">
        <v>-76.722776666666704</v>
      </c>
      <c r="F878">
        <v>3.4783033333333302</v>
      </c>
      <c r="G878">
        <v>2100</v>
      </c>
      <c r="I878">
        <v>2019</v>
      </c>
      <c r="J878">
        <v>22</v>
      </c>
      <c r="K878">
        <v>15</v>
      </c>
      <c r="M878" t="s">
        <v>247</v>
      </c>
      <c r="O878" t="s">
        <v>40</v>
      </c>
      <c r="P878" t="s">
        <v>280</v>
      </c>
      <c r="R878" t="s">
        <v>921</v>
      </c>
      <c r="S878" t="s">
        <v>945</v>
      </c>
      <c r="U878" t="s">
        <v>88</v>
      </c>
      <c r="V878">
        <v>1</v>
      </c>
      <c r="Z878" t="s">
        <v>36</v>
      </c>
    </row>
    <row r="879" spans="1:26" hidden="1" x14ac:dyDescent="0.2">
      <c r="A879" s="3">
        <v>43757</v>
      </c>
      <c r="D879" s="5">
        <v>0.86311342592592588</v>
      </c>
      <c r="E879">
        <v>-76.722716666666699</v>
      </c>
      <c r="F879">
        <v>3.4777233333333299</v>
      </c>
      <c r="G879">
        <v>1997</v>
      </c>
      <c r="I879">
        <v>2019</v>
      </c>
      <c r="J879">
        <v>20</v>
      </c>
      <c r="K879">
        <v>15</v>
      </c>
      <c r="M879" t="s">
        <v>247</v>
      </c>
      <c r="O879" t="s">
        <v>38</v>
      </c>
      <c r="P879" t="s">
        <v>280</v>
      </c>
      <c r="R879" t="s">
        <v>921</v>
      </c>
      <c r="S879" t="s">
        <v>965</v>
      </c>
      <c r="U879" t="s">
        <v>936</v>
      </c>
      <c r="V879">
        <v>1</v>
      </c>
      <c r="Z879" t="s">
        <v>36</v>
      </c>
    </row>
    <row r="880" spans="1:26" hidden="1" x14ac:dyDescent="0.2">
      <c r="A880" s="3">
        <v>43757</v>
      </c>
      <c r="D880" s="5">
        <v>0.90437500000000004</v>
      </c>
      <c r="E880">
        <v>-76.722846666666598</v>
      </c>
      <c r="F880">
        <v>3.4788666666666699</v>
      </c>
      <c r="G880">
        <v>2100</v>
      </c>
      <c r="I880">
        <v>2019</v>
      </c>
      <c r="J880">
        <v>22</v>
      </c>
      <c r="K880">
        <v>12</v>
      </c>
      <c r="M880" t="s">
        <v>247</v>
      </c>
      <c r="O880" t="s">
        <v>40</v>
      </c>
      <c r="P880" t="s">
        <v>280</v>
      </c>
      <c r="R880" t="s">
        <v>921</v>
      </c>
      <c r="S880" t="s">
        <v>961</v>
      </c>
      <c r="U880" t="s">
        <v>88</v>
      </c>
      <c r="V880">
        <v>2</v>
      </c>
      <c r="Z880" t="s">
        <v>36</v>
      </c>
    </row>
    <row r="881" spans="1:26" hidden="1" x14ac:dyDescent="0.2">
      <c r="A881" s="3">
        <v>43757</v>
      </c>
      <c r="D881" s="5">
        <v>0.9264930555555555</v>
      </c>
      <c r="E881">
        <v>-76.7230633333333</v>
      </c>
      <c r="F881">
        <v>3.4795766666666701</v>
      </c>
      <c r="G881">
        <v>2100</v>
      </c>
      <c r="I881">
        <v>2019</v>
      </c>
      <c r="J881">
        <v>20</v>
      </c>
      <c r="K881">
        <v>10</v>
      </c>
      <c r="M881" t="s">
        <v>247</v>
      </c>
      <c r="O881" t="s">
        <v>47</v>
      </c>
      <c r="P881" t="s">
        <v>280</v>
      </c>
      <c r="R881" t="s">
        <v>921</v>
      </c>
      <c r="S881" t="s">
        <v>957</v>
      </c>
      <c r="U881" t="s">
        <v>936</v>
      </c>
      <c r="V881">
        <v>1</v>
      </c>
      <c r="Z881" t="s">
        <v>36</v>
      </c>
    </row>
    <row r="882" spans="1:26" hidden="1" x14ac:dyDescent="0.2">
      <c r="A882" s="3">
        <v>43757</v>
      </c>
      <c r="D882" s="5">
        <v>0.9264930555555555</v>
      </c>
      <c r="E882">
        <v>-76.7230633333333</v>
      </c>
      <c r="F882">
        <v>3.4795766666666701</v>
      </c>
      <c r="G882">
        <v>2100</v>
      </c>
      <c r="I882">
        <v>2019</v>
      </c>
      <c r="J882">
        <v>20</v>
      </c>
      <c r="K882">
        <v>10</v>
      </c>
      <c r="M882" t="s">
        <v>247</v>
      </c>
      <c r="O882" t="s">
        <v>47</v>
      </c>
      <c r="P882" t="s">
        <v>280</v>
      </c>
      <c r="R882" t="s">
        <v>921</v>
      </c>
      <c r="S882" t="s">
        <v>945</v>
      </c>
      <c r="U882" t="s">
        <v>293</v>
      </c>
      <c r="V882">
        <v>1</v>
      </c>
      <c r="Z882" t="s">
        <v>36</v>
      </c>
    </row>
    <row r="883" spans="1:26" hidden="1" x14ac:dyDescent="0.2">
      <c r="A883" s="3">
        <v>43757</v>
      </c>
      <c r="D883" s="5">
        <v>0.86576388888888889</v>
      </c>
      <c r="E883">
        <v>-76.722668333333303</v>
      </c>
      <c r="F883">
        <v>3.4777749999999998</v>
      </c>
      <c r="G883">
        <v>1989</v>
      </c>
      <c r="I883">
        <v>2019</v>
      </c>
      <c r="J883">
        <v>25</v>
      </c>
      <c r="K883">
        <v>15</v>
      </c>
      <c r="M883" t="s">
        <v>247</v>
      </c>
      <c r="O883" t="s">
        <v>38</v>
      </c>
      <c r="P883" t="s">
        <v>280</v>
      </c>
      <c r="R883" t="s">
        <v>921</v>
      </c>
      <c r="S883" t="s">
        <v>965</v>
      </c>
      <c r="U883" t="s">
        <v>313</v>
      </c>
      <c r="V883">
        <v>1</v>
      </c>
      <c r="Z883" t="s">
        <v>36</v>
      </c>
    </row>
    <row r="884" spans="1:26" hidden="1" x14ac:dyDescent="0.2">
      <c r="A884" s="3">
        <v>43757</v>
      </c>
      <c r="D884" s="5">
        <v>0.90001157407407406</v>
      </c>
      <c r="E884">
        <v>-76.722880000000004</v>
      </c>
      <c r="F884">
        <v>3.47874666666667</v>
      </c>
      <c r="G884">
        <v>2100</v>
      </c>
      <c r="I884">
        <v>2019</v>
      </c>
      <c r="J884">
        <v>25</v>
      </c>
      <c r="K884">
        <v>12</v>
      </c>
      <c r="M884" t="s">
        <v>247</v>
      </c>
      <c r="O884" t="s">
        <v>40</v>
      </c>
      <c r="P884" t="s">
        <v>280</v>
      </c>
      <c r="R884" t="s">
        <v>921</v>
      </c>
      <c r="S884" t="s">
        <v>945</v>
      </c>
      <c r="U884" t="s">
        <v>936</v>
      </c>
      <c r="V884">
        <v>1</v>
      </c>
      <c r="Z884" t="s">
        <v>36</v>
      </c>
    </row>
    <row r="885" spans="1:26" hidden="1" x14ac:dyDescent="0.2">
      <c r="A885" s="3">
        <v>43757</v>
      </c>
      <c r="D885" s="5">
        <v>0.90001157407407406</v>
      </c>
      <c r="E885">
        <v>-76.722880000000004</v>
      </c>
      <c r="F885">
        <v>3.47874666666667</v>
      </c>
      <c r="G885">
        <v>2100</v>
      </c>
      <c r="I885">
        <v>2019</v>
      </c>
      <c r="J885">
        <v>22</v>
      </c>
      <c r="K885">
        <v>12</v>
      </c>
      <c r="M885" t="s">
        <v>247</v>
      </c>
      <c r="O885" t="s">
        <v>40</v>
      </c>
      <c r="P885" t="s">
        <v>280</v>
      </c>
      <c r="R885" t="s">
        <v>921</v>
      </c>
      <c r="S885" t="s">
        <v>945</v>
      </c>
      <c r="U885" t="s">
        <v>88</v>
      </c>
      <c r="V885">
        <v>1</v>
      </c>
      <c r="Z885" t="s">
        <v>36</v>
      </c>
    </row>
    <row r="886" spans="1:26" hidden="1" x14ac:dyDescent="0.2">
      <c r="A886" s="3">
        <v>43757</v>
      </c>
      <c r="D886" s="5">
        <v>0.88254629629629633</v>
      </c>
      <c r="E886">
        <v>-76.722750000000005</v>
      </c>
      <c r="F886">
        <v>3.4780783333333298</v>
      </c>
      <c r="G886">
        <v>2100</v>
      </c>
      <c r="I886">
        <v>2019</v>
      </c>
      <c r="J886">
        <v>25</v>
      </c>
      <c r="K886">
        <v>15</v>
      </c>
      <c r="M886" t="s">
        <v>247</v>
      </c>
      <c r="O886" t="s">
        <v>40</v>
      </c>
      <c r="P886" t="s">
        <v>280</v>
      </c>
      <c r="R886" t="s">
        <v>921</v>
      </c>
      <c r="S886" t="s">
        <v>957</v>
      </c>
      <c r="U886" t="s">
        <v>296</v>
      </c>
      <c r="V886">
        <v>1</v>
      </c>
      <c r="Z886" t="s">
        <v>36</v>
      </c>
    </row>
    <row r="887" spans="1:26" hidden="1" x14ac:dyDescent="0.2">
      <c r="A887" s="3">
        <v>43757</v>
      </c>
      <c r="D887" s="5">
        <v>0.86020833333333335</v>
      </c>
      <c r="E887">
        <v>-76.722691666666705</v>
      </c>
      <c r="F887">
        <v>3.4777316666666702</v>
      </c>
      <c r="G887">
        <v>2005</v>
      </c>
      <c r="I887">
        <v>2019</v>
      </c>
      <c r="J887">
        <v>20</v>
      </c>
      <c r="K887">
        <v>12</v>
      </c>
      <c r="M887" t="s">
        <v>247</v>
      </c>
      <c r="O887" t="s">
        <v>38</v>
      </c>
      <c r="P887" t="s">
        <v>280</v>
      </c>
      <c r="R887" t="s">
        <v>921</v>
      </c>
      <c r="S887" t="s">
        <v>961</v>
      </c>
      <c r="U887" t="s">
        <v>936</v>
      </c>
      <c r="V887">
        <v>1</v>
      </c>
      <c r="Z887" t="s">
        <v>36</v>
      </c>
    </row>
    <row r="888" spans="1:26" hidden="1" x14ac:dyDescent="0.2">
      <c r="A888" s="3">
        <v>43757</v>
      </c>
      <c r="D888" s="5">
        <v>0.90959490740740745</v>
      </c>
      <c r="E888">
        <v>-76.722971666666695</v>
      </c>
      <c r="F888">
        <v>3.4790000000000001</v>
      </c>
      <c r="G888">
        <v>2100</v>
      </c>
      <c r="I888">
        <v>2019</v>
      </c>
      <c r="J888">
        <v>22</v>
      </c>
      <c r="K888">
        <v>12</v>
      </c>
      <c r="M888" t="s">
        <v>247</v>
      </c>
      <c r="O888" t="s">
        <v>40</v>
      </c>
      <c r="P888" t="s">
        <v>280</v>
      </c>
      <c r="R888" t="s">
        <v>921</v>
      </c>
      <c r="S888" t="s">
        <v>961</v>
      </c>
      <c r="U888" t="s">
        <v>293</v>
      </c>
      <c r="V888">
        <v>1</v>
      </c>
      <c r="Z888" t="s">
        <v>36</v>
      </c>
    </row>
    <row r="889" spans="1:26" hidden="1" x14ac:dyDescent="0.2">
      <c r="A889" s="3">
        <v>43757</v>
      </c>
      <c r="D889" s="5">
        <v>0.88997685185185182</v>
      </c>
      <c r="E889">
        <v>-76.722858333333306</v>
      </c>
      <c r="F889">
        <v>3.47841666666667</v>
      </c>
      <c r="G889">
        <v>2100</v>
      </c>
      <c r="I889">
        <v>2019</v>
      </c>
      <c r="J889">
        <v>25</v>
      </c>
      <c r="K889">
        <v>15</v>
      </c>
      <c r="M889" t="s">
        <v>247</v>
      </c>
      <c r="O889" t="s">
        <v>40</v>
      </c>
      <c r="P889" t="s">
        <v>280</v>
      </c>
      <c r="R889" t="s">
        <v>921</v>
      </c>
      <c r="S889" t="s">
        <v>961</v>
      </c>
      <c r="U889" t="s">
        <v>88</v>
      </c>
      <c r="V889">
        <v>1</v>
      </c>
      <c r="Z889" t="s">
        <v>36</v>
      </c>
    </row>
    <row r="890" spans="1:26" hidden="1" x14ac:dyDescent="0.2">
      <c r="A890" s="3">
        <v>43757</v>
      </c>
      <c r="D890" s="5">
        <v>0.89607638888888885</v>
      </c>
      <c r="E890">
        <v>-76.722768333333306</v>
      </c>
      <c r="F890">
        <v>3.4785849999999998</v>
      </c>
      <c r="G890">
        <v>2127</v>
      </c>
      <c r="I890">
        <v>2019</v>
      </c>
      <c r="J890">
        <v>25</v>
      </c>
      <c r="K890">
        <v>12</v>
      </c>
      <c r="M890" t="s">
        <v>247</v>
      </c>
      <c r="O890" t="s">
        <v>40</v>
      </c>
      <c r="P890" t="s">
        <v>280</v>
      </c>
      <c r="R890" t="s">
        <v>921</v>
      </c>
      <c r="S890" t="s">
        <v>961</v>
      </c>
      <c r="U890" t="s">
        <v>88</v>
      </c>
      <c r="V890">
        <v>1</v>
      </c>
      <c r="Z890" t="s">
        <v>36</v>
      </c>
    </row>
    <row r="891" spans="1:26" hidden="1" x14ac:dyDescent="0.2">
      <c r="A891" s="3">
        <v>43757</v>
      </c>
      <c r="D891" s="5">
        <v>0.89607638888888885</v>
      </c>
      <c r="E891">
        <v>-76.722768333333306</v>
      </c>
      <c r="F891">
        <v>3.4785849999999998</v>
      </c>
      <c r="G891">
        <v>2100</v>
      </c>
      <c r="I891">
        <v>2019</v>
      </c>
      <c r="J891">
        <v>25</v>
      </c>
      <c r="K891">
        <v>12</v>
      </c>
      <c r="M891" t="s">
        <v>247</v>
      </c>
      <c r="O891" t="s">
        <v>40</v>
      </c>
      <c r="P891" t="s">
        <v>280</v>
      </c>
      <c r="R891" t="s">
        <v>921</v>
      </c>
      <c r="S891" t="s">
        <v>961</v>
      </c>
      <c r="U891" t="s">
        <v>270</v>
      </c>
      <c r="V891">
        <v>1</v>
      </c>
      <c r="Z891" t="s">
        <v>36</v>
      </c>
    </row>
    <row r="892" spans="1:26" hidden="1" x14ac:dyDescent="0.2">
      <c r="A892" s="3">
        <v>43757</v>
      </c>
      <c r="D892" s="5">
        <v>0.84450231481481486</v>
      </c>
      <c r="E892">
        <v>-76.722465</v>
      </c>
      <c r="F892">
        <v>3.4774616666666698</v>
      </c>
      <c r="G892">
        <v>2140</v>
      </c>
      <c r="H892">
        <v>0</v>
      </c>
      <c r="I892">
        <v>2019</v>
      </c>
      <c r="J892">
        <v>20</v>
      </c>
      <c r="K892">
        <v>12</v>
      </c>
      <c r="M892" t="s">
        <v>247</v>
      </c>
      <c r="O892" t="s">
        <v>38</v>
      </c>
      <c r="P892" t="s">
        <v>280</v>
      </c>
      <c r="R892" t="s">
        <v>921</v>
      </c>
      <c r="S892" t="s">
        <v>961</v>
      </c>
      <c r="U892" t="s">
        <v>88</v>
      </c>
      <c r="V892">
        <v>1</v>
      </c>
      <c r="Z892" t="s">
        <v>36</v>
      </c>
    </row>
    <row r="893" spans="1:26" hidden="1" x14ac:dyDescent="0.2">
      <c r="A893" s="3">
        <v>43757</v>
      </c>
      <c r="D893" s="5">
        <v>0.84450231481481486</v>
      </c>
      <c r="E893">
        <v>-76.722465</v>
      </c>
      <c r="F893">
        <v>3.4774616666666698</v>
      </c>
      <c r="G893">
        <v>2140</v>
      </c>
      <c r="H893">
        <v>0</v>
      </c>
      <c r="I893">
        <v>2019</v>
      </c>
      <c r="K893">
        <v>12</v>
      </c>
      <c r="M893" t="s">
        <v>247</v>
      </c>
      <c r="O893" t="s">
        <v>38</v>
      </c>
      <c r="P893" t="s">
        <v>280</v>
      </c>
      <c r="R893" t="s">
        <v>921</v>
      </c>
      <c r="S893" t="s">
        <v>961</v>
      </c>
      <c r="U893" t="s">
        <v>316</v>
      </c>
      <c r="V893">
        <v>1</v>
      </c>
      <c r="Z893" t="s">
        <v>36</v>
      </c>
    </row>
    <row r="894" spans="1:26" hidden="1" x14ac:dyDescent="0.2">
      <c r="A894" s="3">
        <v>43757</v>
      </c>
      <c r="D894" s="5">
        <v>0.84450231481481486</v>
      </c>
      <c r="E894">
        <v>-76.722465</v>
      </c>
      <c r="F894">
        <v>3.4774616666666698</v>
      </c>
      <c r="G894">
        <v>2140</v>
      </c>
      <c r="H894">
        <v>0</v>
      </c>
      <c r="I894">
        <v>2019</v>
      </c>
      <c r="J894">
        <v>22</v>
      </c>
      <c r="K894">
        <v>10</v>
      </c>
      <c r="M894" t="s">
        <v>247</v>
      </c>
      <c r="O894" t="s">
        <v>38</v>
      </c>
      <c r="P894" t="s">
        <v>280</v>
      </c>
      <c r="R894" t="s">
        <v>921</v>
      </c>
      <c r="S894" t="s">
        <v>961</v>
      </c>
      <c r="U894" t="s">
        <v>270</v>
      </c>
      <c r="V894">
        <v>1</v>
      </c>
      <c r="Z894" t="s">
        <v>36</v>
      </c>
    </row>
    <row r="895" spans="1:26" hidden="1" x14ac:dyDescent="0.2">
      <c r="A895" s="3">
        <v>43757</v>
      </c>
      <c r="D895" s="5">
        <v>0.84450231481481486</v>
      </c>
      <c r="E895">
        <v>-76.722465</v>
      </c>
      <c r="F895">
        <v>3.4774616666666698</v>
      </c>
      <c r="G895">
        <v>2140</v>
      </c>
      <c r="H895">
        <v>0</v>
      </c>
      <c r="I895">
        <v>2019</v>
      </c>
      <c r="J895">
        <v>22</v>
      </c>
      <c r="K895">
        <v>12</v>
      </c>
      <c r="M895" t="s">
        <v>247</v>
      </c>
      <c r="O895" t="s">
        <v>38</v>
      </c>
      <c r="P895" t="s">
        <v>280</v>
      </c>
      <c r="R895" t="s">
        <v>921</v>
      </c>
      <c r="S895" t="s">
        <v>961</v>
      </c>
      <c r="U895" t="s">
        <v>936</v>
      </c>
      <c r="V895">
        <v>1</v>
      </c>
      <c r="Z895" t="s">
        <v>36</v>
      </c>
    </row>
    <row r="896" spans="1:26" hidden="1" x14ac:dyDescent="0.2">
      <c r="A896" s="3">
        <v>43757</v>
      </c>
      <c r="D896" s="5">
        <v>0.84303240740740737</v>
      </c>
      <c r="E896">
        <v>-76.722454999999997</v>
      </c>
      <c r="F896">
        <v>3.4773433333333301</v>
      </c>
      <c r="G896">
        <v>2140</v>
      </c>
      <c r="H896">
        <v>0</v>
      </c>
      <c r="I896">
        <v>2019</v>
      </c>
      <c r="J896">
        <v>22</v>
      </c>
      <c r="K896">
        <v>12</v>
      </c>
      <c r="M896" t="s">
        <v>247</v>
      </c>
      <c r="O896" t="s">
        <v>38</v>
      </c>
      <c r="P896" t="s">
        <v>280</v>
      </c>
      <c r="R896" t="s">
        <v>921</v>
      </c>
      <c r="S896" t="s">
        <v>964</v>
      </c>
      <c r="U896" t="s">
        <v>88</v>
      </c>
      <c r="V896">
        <v>1</v>
      </c>
      <c r="W896" t="s">
        <v>1085</v>
      </c>
      <c r="Z896" t="s">
        <v>36</v>
      </c>
    </row>
    <row r="897" spans="1:26" hidden="1" x14ac:dyDescent="0.2">
      <c r="A897" s="3">
        <v>43757</v>
      </c>
      <c r="D897" s="5">
        <v>0.93222222222222217</v>
      </c>
      <c r="E897">
        <v>-76.723134999999999</v>
      </c>
      <c r="F897">
        <v>3.47973</v>
      </c>
      <c r="G897">
        <v>2100</v>
      </c>
      <c r="I897">
        <v>2019</v>
      </c>
      <c r="J897">
        <v>20</v>
      </c>
      <c r="K897">
        <v>10</v>
      </c>
      <c r="M897" t="s">
        <v>247</v>
      </c>
      <c r="O897" t="s">
        <v>47</v>
      </c>
      <c r="P897" t="s">
        <v>280</v>
      </c>
      <c r="R897" t="s">
        <v>921</v>
      </c>
      <c r="S897" t="s">
        <v>945</v>
      </c>
      <c r="U897" t="s">
        <v>936</v>
      </c>
      <c r="V897">
        <v>1</v>
      </c>
      <c r="Z897" t="s">
        <v>36</v>
      </c>
    </row>
    <row r="898" spans="1:26" hidden="1" x14ac:dyDescent="0.2">
      <c r="A898" s="3">
        <v>43757</v>
      </c>
      <c r="D898" s="5">
        <v>0.85478009259259258</v>
      </c>
      <c r="E898">
        <v>-76.722528333333301</v>
      </c>
      <c r="F898">
        <v>3.4776099999999999</v>
      </c>
      <c r="G898">
        <v>2100</v>
      </c>
      <c r="H898">
        <v>0</v>
      </c>
      <c r="I898">
        <v>2019</v>
      </c>
      <c r="J898">
        <v>22</v>
      </c>
      <c r="K898">
        <v>17</v>
      </c>
      <c r="M898" t="s">
        <v>247</v>
      </c>
      <c r="O898" t="s">
        <v>38</v>
      </c>
      <c r="P898" t="s">
        <v>280</v>
      </c>
      <c r="R898" t="s">
        <v>921</v>
      </c>
      <c r="S898" t="s">
        <v>961</v>
      </c>
      <c r="U898" t="s">
        <v>88</v>
      </c>
      <c r="V898">
        <v>1</v>
      </c>
      <c r="Z898" t="s">
        <v>36</v>
      </c>
    </row>
    <row r="899" spans="1:26" hidden="1" x14ac:dyDescent="0.2">
      <c r="A899" s="3">
        <v>43757</v>
      </c>
      <c r="D899" s="5">
        <v>0.80877314814814816</v>
      </c>
      <c r="E899">
        <v>-76.722388333333299</v>
      </c>
      <c r="F899">
        <v>3.4772650000000001</v>
      </c>
      <c r="G899">
        <v>2140</v>
      </c>
      <c r="H899">
        <v>0</v>
      </c>
      <c r="I899">
        <v>2019</v>
      </c>
      <c r="K899">
        <v>15</v>
      </c>
      <c r="M899" t="s">
        <v>247</v>
      </c>
      <c r="O899" t="s">
        <v>38</v>
      </c>
      <c r="P899" t="s">
        <v>280</v>
      </c>
      <c r="R899" t="s">
        <v>921</v>
      </c>
      <c r="S899" t="s">
        <v>964</v>
      </c>
      <c r="U899" t="s">
        <v>88</v>
      </c>
      <c r="V899">
        <v>2</v>
      </c>
      <c r="W899" t="s">
        <v>773</v>
      </c>
      <c r="Z899" t="s">
        <v>36</v>
      </c>
    </row>
    <row r="900" spans="1:26" hidden="1" x14ac:dyDescent="0.2">
      <c r="A900" s="3">
        <v>43757</v>
      </c>
      <c r="D900" s="5">
        <v>0.80877314814814816</v>
      </c>
      <c r="E900">
        <v>-76.722388333333299</v>
      </c>
      <c r="F900">
        <v>3.4772650000000001</v>
      </c>
      <c r="G900">
        <v>2140</v>
      </c>
      <c r="H900">
        <v>0</v>
      </c>
      <c r="I900">
        <v>2019</v>
      </c>
      <c r="J900">
        <v>25</v>
      </c>
      <c r="K900">
        <v>15</v>
      </c>
      <c r="M900" t="s">
        <v>247</v>
      </c>
      <c r="O900" t="s">
        <v>38</v>
      </c>
      <c r="P900" t="s">
        <v>280</v>
      </c>
      <c r="R900" t="s">
        <v>921</v>
      </c>
      <c r="S900" t="s">
        <v>961</v>
      </c>
      <c r="U900" t="s">
        <v>938</v>
      </c>
      <c r="V900">
        <v>1</v>
      </c>
      <c r="Z900" t="s">
        <v>36</v>
      </c>
    </row>
    <row r="901" spans="1:26" hidden="1" x14ac:dyDescent="0.2">
      <c r="A901" s="3">
        <v>43757</v>
      </c>
      <c r="D901" s="5">
        <v>0.80877314814814816</v>
      </c>
      <c r="E901">
        <v>-76.722388333333299</v>
      </c>
      <c r="F901">
        <v>3.4772650000000001</v>
      </c>
      <c r="G901">
        <v>2140</v>
      </c>
      <c r="H901">
        <v>0</v>
      </c>
      <c r="I901">
        <v>2019</v>
      </c>
      <c r="J901">
        <v>25</v>
      </c>
      <c r="K901">
        <v>15</v>
      </c>
      <c r="M901" t="s">
        <v>247</v>
      </c>
      <c r="O901" t="s">
        <v>38</v>
      </c>
      <c r="P901" t="s">
        <v>280</v>
      </c>
      <c r="R901" t="s">
        <v>921</v>
      </c>
      <c r="S901" t="s">
        <v>965</v>
      </c>
      <c r="U901" t="s">
        <v>270</v>
      </c>
      <c r="V901">
        <v>1</v>
      </c>
      <c r="Z901" t="s">
        <v>36</v>
      </c>
    </row>
    <row r="902" spans="1:26" hidden="1" x14ac:dyDescent="0.2">
      <c r="A902" s="3">
        <v>43757</v>
      </c>
      <c r="D902" s="5">
        <v>0.81297453703703704</v>
      </c>
      <c r="E902">
        <v>-76.722485000000006</v>
      </c>
      <c r="F902">
        <v>3.4772966666666698</v>
      </c>
      <c r="G902">
        <v>2140</v>
      </c>
      <c r="H902">
        <v>0</v>
      </c>
      <c r="I902">
        <v>2019</v>
      </c>
      <c r="J902">
        <v>28</v>
      </c>
      <c r="K902">
        <v>15</v>
      </c>
      <c r="M902" t="s">
        <v>247</v>
      </c>
      <c r="O902" t="s">
        <v>38</v>
      </c>
      <c r="P902" t="s">
        <v>280</v>
      </c>
      <c r="R902" t="s">
        <v>921</v>
      </c>
      <c r="S902" t="s">
        <v>961</v>
      </c>
      <c r="U902" t="s">
        <v>936</v>
      </c>
      <c r="V902">
        <v>1</v>
      </c>
      <c r="Z902" t="s">
        <v>36</v>
      </c>
    </row>
    <row r="903" spans="1:26" hidden="1" x14ac:dyDescent="0.2">
      <c r="A903" s="3">
        <v>43757</v>
      </c>
      <c r="D903" s="5">
        <v>0.81297453703703704</v>
      </c>
      <c r="E903">
        <v>-76.722485000000006</v>
      </c>
      <c r="F903">
        <v>3.4772966666666698</v>
      </c>
      <c r="G903">
        <v>2140</v>
      </c>
      <c r="H903">
        <v>0</v>
      </c>
      <c r="I903">
        <v>2019</v>
      </c>
      <c r="J903">
        <v>25</v>
      </c>
      <c r="K903">
        <v>15</v>
      </c>
      <c r="M903" t="s">
        <v>247</v>
      </c>
      <c r="O903" t="s">
        <v>38</v>
      </c>
      <c r="P903" t="s">
        <v>280</v>
      </c>
      <c r="R903" t="s">
        <v>921</v>
      </c>
      <c r="S903" t="s">
        <v>961</v>
      </c>
      <c r="U903" t="s">
        <v>316</v>
      </c>
      <c r="V903">
        <v>1</v>
      </c>
      <c r="Z903" t="s">
        <v>36</v>
      </c>
    </row>
    <row r="904" spans="1:26" hidden="1" x14ac:dyDescent="0.2">
      <c r="A904" s="3">
        <v>43757</v>
      </c>
      <c r="D904" s="5">
        <v>0.81297453703703704</v>
      </c>
      <c r="E904">
        <v>-76.722485000000006</v>
      </c>
      <c r="F904">
        <v>3.4772966666666698</v>
      </c>
      <c r="G904">
        <v>2140</v>
      </c>
      <c r="H904">
        <v>0</v>
      </c>
      <c r="I904">
        <v>2019</v>
      </c>
      <c r="J904">
        <v>25</v>
      </c>
      <c r="K904">
        <v>15</v>
      </c>
      <c r="M904" t="s">
        <v>247</v>
      </c>
      <c r="O904" t="s">
        <v>38</v>
      </c>
      <c r="P904" t="s">
        <v>280</v>
      </c>
      <c r="R904" t="s">
        <v>921</v>
      </c>
      <c r="U904" t="s">
        <v>36</v>
      </c>
      <c r="V904">
        <v>0</v>
      </c>
      <c r="W904" t="s">
        <v>1086</v>
      </c>
      <c r="Z904" t="s">
        <v>36</v>
      </c>
    </row>
    <row r="905" spans="1:26" hidden="1" x14ac:dyDescent="0.2">
      <c r="A905" s="3">
        <v>43757</v>
      </c>
      <c r="D905" s="5">
        <v>0.81297453703703704</v>
      </c>
      <c r="E905">
        <v>-76.722485000000006</v>
      </c>
      <c r="F905">
        <v>3.4772966666666698</v>
      </c>
      <c r="G905">
        <v>2140</v>
      </c>
      <c r="H905">
        <v>0</v>
      </c>
      <c r="I905">
        <v>2019</v>
      </c>
      <c r="J905">
        <v>28</v>
      </c>
      <c r="K905">
        <v>15</v>
      </c>
      <c r="M905" t="s">
        <v>247</v>
      </c>
      <c r="O905" t="s">
        <v>38</v>
      </c>
      <c r="P905" t="s">
        <v>280</v>
      </c>
      <c r="R905" t="s">
        <v>921</v>
      </c>
      <c r="S905" t="s">
        <v>961</v>
      </c>
      <c r="U905" t="s">
        <v>88</v>
      </c>
      <c r="V905">
        <v>1</v>
      </c>
      <c r="Z905" t="s">
        <v>36</v>
      </c>
    </row>
    <row r="906" spans="1:26" hidden="1" x14ac:dyDescent="0.2">
      <c r="A906" s="3">
        <v>43757</v>
      </c>
      <c r="D906" s="5">
        <v>0.81297453703703704</v>
      </c>
      <c r="E906">
        <v>-76.722485000000006</v>
      </c>
      <c r="F906">
        <v>3.4772966666666698</v>
      </c>
      <c r="G906">
        <v>2140</v>
      </c>
      <c r="H906">
        <v>0</v>
      </c>
      <c r="I906">
        <v>2019</v>
      </c>
      <c r="J906">
        <v>28</v>
      </c>
      <c r="K906">
        <v>15</v>
      </c>
      <c r="M906" t="s">
        <v>247</v>
      </c>
      <c r="O906" t="s">
        <v>38</v>
      </c>
      <c r="P906" t="s">
        <v>280</v>
      </c>
      <c r="R906" t="s">
        <v>921</v>
      </c>
      <c r="S906" t="s">
        <v>961</v>
      </c>
      <c r="U906" t="s">
        <v>88</v>
      </c>
      <c r="V906">
        <v>1</v>
      </c>
      <c r="Z906" t="s">
        <v>36</v>
      </c>
    </row>
    <row r="907" spans="1:26" hidden="1" x14ac:dyDescent="0.2">
      <c r="A907" s="3">
        <v>43757</v>
      </c>
      <c r="D907" s="5">
        <v>0.87542824074074077</v>
      </c>
      <c r="E907">
        <v>-76.722741666666707</v>
      </c>
      <c r="F907">
        <v>3.4779450000000001</v>
      </c>
      <c r="G907">
        <v>1980</v>
      </c>
      <c r="I907">
        <v>2019</v>
      </c>
      <c r="J907">
        <v>20</v>
      </c>
      <c r="K907">
        <v>12</v>
      </c>
      <c r="M907" t="s">
        <v>247</v>
      </c>
      <c r="O907" t="s">
        <v>38</v>
      </c>
      <c r="P907" t="s">
        <v>280</v>
      </c>
      <c r="R907" t="s">
        <v>921</v>
      </c>
      <c r="S907" t="s">
        <v>961</v>
      </c>
      <c r="U907" t="s">
        <v>293</v>
      </c>
      <c r="V907">
        <v>1</v>
      </c>
      <c r="Z907" t="s">
        <v>36</v>
      </c>
    </row>
    <row r="908" spans="1:26" hidden="1" x14ac:dyDescent="0.2">
      <c r="A908" s="3">
        <v>43757</v>
      </c>
      <c r="D908" s="5">
        <v>0.87542824074074077</v>
      </c>
      <c r="E908">
        <v>-76.722741666666707</v>
      </c>
      <c r="F908">
        <v>3.4779450000000001</v>
      </c>
      <c r="G908">
        <v>1980</v>
      </c>
      <c r="I908">
        <v>2019</v>
      </c>
      <c r="J908">
        <v>22</v>
      </c>
      <c r="K908">
        <v>15</v>
      </c>
      <c r="M908" t="s">
        <v>247</v>
      </c>
      <c r="O908" t="s">
        <v>38</v>
      </c>
      <c r="P908" t="s">
        <v>280</v>
      </c>
      <c r="R908" t="s">
        <v>921</v>
      </c>
      <c r="S908" t="s">
        <v>961</v>
      </c>
      <c r="U908" t="s">
        <v>88</v>
      </c>
      <c r="V908">
        <v>1</v>
      </c>
      <c r="Z908" t="s">
        <v>36</v>
      </c>
    </row>
    <row r="909" spans="1:26" hidden="1" x14ac:dyDescent="0.2">
      <c r="A909" s="3">
        <v>43778</v>
      </c>
      <c r="D909" s="5">
        <v>0.87112268518518521</v>
      </c>
      <c r="E909">
        <v>-76.647082668206195</v>
      </c>
      <c r="F909">
        <v>3.3488794708523599</v>
      </c>
      <c r="G909">
        <v>2422</v>
      </c>
      <c r="H909">
        <v>0.5</v>
      </c>
      <c r="I909">
        <v>2019</v>
      </c>
      <c r="J909">
        <v>12</v>
      </c>
      <c r="K909">
        <v>5</v>
      </c>
      <c r="M909" t="s">
        <v>624</v>
      </c>
      <c r="O909" t="s">
        <v>32</v>
      </c>
      <c r="P909" t="s">
        <v>643</v>
      </c>
      <c r="R909" t="s">
        <v>919</v>
      </c>
      <c r="U909" t="s">
        <v>36</v>
      </c>
      <c r="V909">
        <v>0</v>
      </c>
      <c r="W909" t="s">
        <v>1077</v>
      </c>
      <c r="Z909" t="s">
        <v>36</v>
      </c>
    </row>
    <row r="910" spans="1:26" hidden="1" x14ac:dyDescent="0.2">
      <c r="A910" s="3">
        <v>43778</v>
      </c>
      <c r="D910" s="5">
        <v>0.8957060185185185</v>
      </c>
      <c r="E910">
        <v>-76.647207729910406</v>
      </c>
      <c r="F910">
        <v>3.3484251608551601</v>
      </c>
      <c r="G910">
        <v>2396</v>
      </c>
      <c r="H910">
        <v>1</v>
      </c>
      <c r="I910">
        <v>2019</v>
      </c>
      <c r="J910">
        <v>8</v>
      </c>
      <c r="K910">
        <v>9</v>
      </c>
      <c r="M910" t="s">
        <v>624</v>
      </c>
      <c r="O910" t="s">
        <v>32</v>
      </c>
      <c r="P910" t="s">
        <v>643</v>
      </c>
      <c r="R910" t="s">
        <v>919</v>
      </c>
      <c r="U910" t="s">
        <v>36</v>
      </c>
      <c r="V910">
        <v>0</v>
      </c>
      <c r="W910" t="s">
        <v>1073</v>
      </c>
      <c r="Z910" t="s">
        <v>36</v>
      </c>
    </row>
    <row r="911" spans="1:26" hidden="1" x14ac:dyDescent="0.2">
      <c r="A911" s="3">
        <v>43778</v>
      </c>
      <c r="D911" s="5">
        <v>0.86665509259259255</v>
      </c>
      <c r="E911">
        <v>-76.647080475924895</v>
      </c>
      <c r="F911">
        <v>3.3489414414455898</v>
      </c>
      <c r="G911">
        <v>2400</v>
      </c>
      <c r="H911">
        <v>0.5</v>
      </c>
      <c r="I911">
        <v>2019</v>
      </c>
      <c r="J911">
        <v>15</v>
      </c>
      <c r="K911">
        <v>8</v>
      </c>
      <c r="M911" t="s">
        <v>624</v>
      </c>
      <c r="O911" t="s">
        <v>32</v>
      </c>
      <c r="P911" t="s">
        <v>643</v>
      </c>
      <c r="R911" t="s">
        <v>919</v>
      </c>
      <c r="U911" t="s">
        <v>36</v>
      </c>
      <c r="V911">
        <v>0</v>
      </c>
      <c r="W911" t="s">
        <v>1073</v>
      </c>
      <c r="Z911" t="s">
        <v>36</v>
      </c>
    </row>
    <row r="912" spans="1:26" hidden="1" x14ac:dyDescent="0.2">
      <c r="A912" s="3">
        <v>43778</v>
      </c>
      <c r="D912" s="5">
        <v>0.83924768518518522</v>
      </c>
      <c r="E912">
        <v>-76.647081889128401</v>
      </c>
      <c r="F912">
        <v>3.34964571847713</v>
      </c>
      <c r="G912">
        <v>2425</v>
      </c>
      <c r="H912">
        <v>0</v>
      </c>
      <c r="I912">
        <v>2019</v>
      </c>
      <c r="J912">
        <v>10</v>
      </c>
      <c r="K912">
        <v>10</v>
      </c>
      <c r="M912" t="s">
        <v>624</v>
      </c>
      <c r="O912" t="s">
        <v>38</v>
      </c>
      <c r="P912" t="s">
        <v>643</v>
      </c>
      <c r="R912" t="s">
        <v>919</v>
      </c>
      <c r="U912" t="s">
        <v>36</v>
      </c>
      <c r="V912">
        <v>0</v>
      </c>
      <c r="W912" t="s">
        <v>1087</v>
      </c>
      <c r="Z912" t="s">
        <v>36</v>
      </c>
    </row>
    <row r="913" spans="1:26" hidden="1" x14ac:dyDescent="0.2">
      <c r="A913" s="3">
        <v>43779</v>
      </c>
      <c r="D913" s="5">
        <v>0.87605324074074076</v>
      </c>
      <c r="E913">
        <v>-76.645267013155703</v>
      </c>
      <c r="F913">
        <v>3.3496489541684098</v>
      </c>
      <c r="G913">
        <v>2441</v>
      </c>
      <c r="H913">
        <v>0</v>
      </c>
      <c r="I913">
        <v>2019</v>
      </c>
      <c r="J913">
        <v>5</v>
      </c>
      <c r="K913">
        <v>5</v>
      </c>
      <c r="M913" t="s">
        <v>624</v>
      </c>
      <c r="O913" t="s">
        <v>47</v>
      </c>
      <c r="P913" t="s">
        <v>643</v>
      </c>
      <c r="R913" t="s">
        <v>919</v>
      </c>
      <c r="U913" t="s">
        <v>36</v>
      </c>
      <c r="V913">
        <v>0</v>
      </c>
      <c r="W913" t="s">
        <v>1088</v>
      </c>
      <c r="Z913" t="s">
        <v>36</v>
      </c>
    </row>
    <row r="914" spans="1:26" hidden="1" x14ac:dyDescent="0.2">
      <c r="A914" s="3">
        <v>43779</v>
      </c>
      <c r="D914" s="5">
        <v>0.83906250000000004</v>
      </c>
      <c r="E914">
        <v>-76.646587419012505</v>
      </c>
      <c r="F914">
        <v>3.3497931231255098</v>
      </c>
      <c r="G914">
        <v>2450</v>
      </c>
      <c r="I914">
        <v>2019</v>
      </c>
      <c r="J914">
        <v>8</v>
      </c>
      <c r="K914">
        <v>12</v>
      </c>
      <c r="M914" t="s">
        <v>624</v>
      </c>
      <c r="O914" t="s">
        <v>40</v>
      </c>
      <c r="P914" t="s">
        <v>643</v>
      </c>
      <c r="R914" t="s">
        <v>919</v>
      </c>
      <c r="S914" t="s">
        <v>963</v>
      </c>
      <c r="U914" t="s">
        <v>252</v>
      </c>
      <c r="V914">
        <v>1</v>
      </c>
      <c r="Z914" t="s">
        <v>36</v>
      </c>
    </row>
    <row r="915" spans="1:26" hidden="1" x14ac:dyDescent="0.2">
      <c r="A915" s="3">
        <v>43779</v>
      </c>
      <c r="D915" s="5">
        <v>0.91612268518518514</v>
      </c>
      <c r="E915">
        <v>-76.644214675993894</v>
      </c>
      <c r="F915">
        <v>3.34957670533313</v>
      </c>
      <c r="G915">
        <v>2500</v>
      </c>
      <c r="H915">
        <v>0</v>
      </c>
      <c r="I915">
        <v>2019</v>
      </c>
      <c r="J915">
        <v>20</v>
      </c>
      <c r="K915">
        <v>5</v>
      </c>
      <c r="M915" t="s">
        <v>624</v>
      </c>
      <c r="O915" t="s">
        <v>32</v>
      </c>
      <c r="P915" t="s">
        <v>625</v>
      </c>
      <c r="R915" t="s">
        <v>919</v>
      </c>
      <c r="S915" t="s">
        <v>968</v>
      </c>
      <c r="U915" t="s">
        <v>929</v>
      </c>
      <c r="V915">
        <v>1</v>
      </c>
      <c r="Z915" t="s">
        <v>36</v>
      </c>
    </row>
    <row r="916" spans="1:26" hidden="1" x14ac:dyDescent="0.2">
      <c r="A916" s="3">
        <v>43779</v>
      </c>
      <c r="D916" s="5">
        <v>0.82797453703703705</v>
      </c>
      <c r="E916">
        <v>-76.646859231749403</v>
      </c>
      <c r="F916">
        <v>3.3498731844679499</v>
      </c>
      <c r="G916">
        <v>2439</v>
      </c>
      <c r="I916">
        <v>2019</v>
      </c>
      <c r="J916">
        <v>6</v>
      </c>
      <c r="K916">
        <v>8</v>
      </c>
      <c r="M916" t="s">
        <v>624</v>
      </c>
      <c r="O916" t="s">
        <v>40</v>
      </c>
      <c r="P916" t="s">
        <v>643</v>
      </c>
      <c r="R916" t="s">
        <v>919</v>
      </c>
      <c r="S916" t="s">
        <v>969</v>
      </c>
      <c r="U916" t="s">
        <v>252</v>
      </c>
      <c r="V916">
        <v>1</v>
      </c>
      <c r="W916" t="s">
        <v>1089</v>
      </c>
      <c r="Z916" t="s">
        <v>36</v>
      </c>
    </row>
    <row r="917" spans="1:26" hidden="1" x14ac:dyDescent="0.2">
      <c r="A917" s="3">
        <v>43779</v>
      </c>
      <c r="D917" s="5">
        <v>0.93511574074074078</v>
      </c>
      <c r="E917">
        <v>-76.643782609294007</v>
      </c>
      <c r="F917">
        <v>3.3495761703825102</v>
      </c>
      <c r="G917">
        <v>2430</v>
      </c>
      <c r="H917">
        <v>0</v>
      </c>
      <c r="I917">
        <v>2019</v>
      </c>
      <c r="J917">
        <v>18</v>
      </c>
      <c r="K917">
        <v>10</v>
      </c>
      <c r="M917" t="s">
        <v>624</v>
      </c>
      <c r="O917" t="s">
        <v>32</v>
      </c>
      <c r="P917" t="s">
        <v>625</v>
      </c>
      <c r="R917" t="s">
        <v>919</v>
      </c>
      <c r="S917" t="s">
        <v>968</v>
      </c>
      <c r="U917" t="s">
        <v>915</v>
      </c>
      <c r="V917">
        <v>2</v>
      </c>
      <c r="Z917" t="s">
        <v>36</v>
      </c>
    </row>
    <row r="918" spans="1:26" hidden="1" x14ac:dyDescent="0.2">
      <c r="A918" s="3">
        <v>43779</v>
      </c>
      <c r="D918" s="5">
        <v>0.93511574074074078</v>
      </c>
      <c r="E918">
        <v>-76.643782609294007</v>
      </c>
      <c r="F918">
        <v>3.3495761703825102</v>
      </c>
      <c r="G918">
        <v>2443</v>
      </c>
      <c r="H918">
        <v>0</v>
      </c>
      <c r="I918">
        <v>2019</v>
      </c>
      <c r="J918">
        <v>18</v>
      </c>
      <c r="K918">
        <v>10</v>
      </c>
      <c r="M918" t="s">
        <v>624</v>
      </c>
      <c r="O918" t="s">
        <v>32</v>
      </c>
      <c r="P918" t="s">
        <v>625</v>
      </c>
      <c r="R918" t="s">
        <v>919</v>
      </c>
      <c r="U918" t="s">
        <v>36</v>
      </c>
      <c r="V918">
        <v>0</v>
      </c>
      <c r="W918" t="s">
        <v>1073</v>
      </c>
      <c r="Z918" t="s">
        <v>36</v>
      </c>
    </row>
    <row r="919" spans="1:26" hidden="1" x14ac:dyDescent="0.2">
      <c r="A919" s="3">
        <v>43779</v>
      </c>
      <c r="D919" s="5">
        <v>0.84677083333333336</v>
      </c>
      <c r="E919">
        <v>-76.646461576758995</v>
      </c>
      <c r="F919">
        <v>3.3498395216685699</v>
      </c>
      <c r="G919">
        <v>2500</v>
      </c>
      <c r="I919">
        <v>2019</v>
      </c>
      <c r="J919">
        <v>3</v>
      </c>
      <c r="K919">
        <v>15</v>
      </c>
      <c r="M919" t="s">
        <v>624</v>
      </c>
      <c r="O919" t="s">
        <v>40</v>
      </c>
      <c r="P919" t="s">
        <v>643</v>
      </c>
      <c r="R919" t="s">
        <v>919</v>
      </c>
      <c r="S919" t="s">
        <v>970</v>
      </c>
      <c r="U919" t="s">
        <v>252</v>
      </c>
      <c r="V919">
        <v>1</v>
      </c>
      <c r="W919" t="s">
        <v>1072</v>
      </c>
      <c r="Z919" t="s">
        <v>36</v>
      </c>
    </row>
    <row r="920" spans="1:26" hidden="1" x14ac:dyDescent="0.2">
      <c r="A920" s="3">
        <v>43779</v>
      </c>
      <c r="D920" s="5">
        <v>0.90416666666666667</v>
      </c>
      <c r="E920">
        <v>-76.644415806695406</v>
      </c>
      <c r="F920">
        <v>3.3495784893787399</v>
      </c>
      <c r="G920">
        <v>2449</v>
      </c>
      <c r="H920">
        <v>0</v>
      </c>
      <c r="I920">
        <v>2019</v>
      </c>
      <c r="J920">
        <v>12</v>
      </c>
      <c r="K920">
        <v>5</v>
      </c>
      <c r="M920" t="s">
        <v>624</v>
      </c>
      <c r="O920" t="s">
        <v>32</v>
      </c>
      <c r="P920" t="s">
        <v>625</v>
      </c>
      <c r="R920" t="s">
        <v>919</v>
      </c>
      <c r="U920" t="s">
        <v>36</v>
      </c>
      <c r="V920">
        <v>0</v>
      </c>
      <c r="W920" t="s">
        <v>1090</v>
      </c>
      <c r="Z920" t="s">
        <v>36</v>
      </c>
    </row>
    <row r="921" spans="1:26" hidden="1" x14ac:dyDescent="0.2">
      <c r="A921" s="3">
        <v>43779</v>
      </c>
      <c r="D921" s="5">
        <v>0.9677662037037037</v>
      </c>
      <c r="E921">
        <v>-76.643242808036604</v>
      </c>
      <c r="F921">
        <v>3.3494583423089801</v>
      </c>
      <c r="G921">
        <v>2440</v>
      </c>
      <c r="H921">
        <v>0</v>
      </c>
      <c r="I921">
        <v>2019</v>
      </c>
      <c r="J921">
        <v>15</v>
      </c>
      <c r="K921">
        <v>7</v>
      </c>
      <c r="M921" t="s">
        <v>624</v>
      </c>
      <c r="O921" t="s">
        <v>38</v>
      </c>
      <c r="P921" t="s">
        <v>625</v>
      </c>
      <c r="R921" t="s">
        <v>919</v>
      </c>
      <c r="U921" t="s">
        <v>36</v>
      </c>
      <c r="V921">
        <v>0</v>
      </c>
      <c r="W921" t="s">
        <v>1073</v>
      </c>
      <c r="Z921" t="s">
        <v>36</v>
      </c>
    </row>
    <row r="922" spans="1:26" hidden="1" x14ac:dyDescent="0.2">
      <c r="A922" s="3">
        <v>43779</v>
      </c>
      <c r="D922" s="5">
        <v>0.90782407407407406</v>
      </c>
      <c r="E922">
        <v>-76.644358196567097</v>
      </c>
      <c r="F922">
        <v>3.34954598037252</v>
      </c>
      <c r="G922">
        <v>2449</v>
      </c>
      <c r="H922">
        <v>0</v>
      </c>
      <c r="I922">
        <v>2019</v>
      </c>
      <c r="J922">
        <v>20</v>
      </c>
      <c r="K922">
        <v>5</v>
      </c>
      <c r="M922" t="s">
        <v>624</v>
      </c>
      <c r="O922" t="s">
        <v>32</v>
      </c>
      <c r="P922" t="s">
        <v>625</v>
      </c>
      <c r="R922" t="s">
        <v>919</v>
      </c>
      <c r="S922" t="s">
        <v>971</v>
      </c>
      <c r="U922" t="s">
        <v>915</v>
      </c>
      <c r="V922">
        <v>1</v>
      </c>
      <c r="Y922" t="s">
        <v>1027</v>
      </c>
      <c r="Z922" t="s">
        <v>36</v>
      </c>
    </row>
    <row r="923" spans="1:26" hidden="1" x14ac:dyDescent="0.2">
      <c r="A923" s="3">
        <v>43779</v>
      </c>
      <c r="D923" s="5">
        <v>0.89371527777777782</v>
      </c>
      <c r="E923">
        <v>-76.644634952030103</v>
      </c>
      <c r="F923">
        <v>3.3496236358240399</v>
      </c>
      <c r="G923">
        <v>2450</v>
      </c>
      <c r="H923">
        <v>0</v>
      </c>
      <c r="I923">
        <v>2019</v>
      </c>
      <c r="J923">
        <v>6</v>
      </c>
      <c r="K923">
        <v>5</v>
      </c>
      <c r="M923" t="s">
        <v>624</v>
      </c>
      <c r="O923" t="s">
        <v>47</v>
      </c>
      <c r="P923" t="s">
        <v>643</v>
      </c>
      <c r="R923" t="s">
        <v>919</v>
      </c>
      <c r="S923" t="s">
        <v>971</v>
      </c>
      <c r="U923" t="s">
        <v>929</v>
      </c>
      <c r="V923">
        <v>1</v>
      </c>
      <c r="W923" t="s">
        <v>1073</v>
      </c>
      <c r="Z923" t="s">
        <v>36</v>
      </c>
    </row>
    <row r="924" spans="1:26" hidden="1" x14ac:dyDescent="0.2">
      <c r="A924" s="3">
        <v>43779</v>
      </c>
      <c r="D924" s="5">
        <v>0.90318287037037037</v>
      </c>
      <c r="E924">
        <v>-76.644377603282607</v>
      </c>
      <c r="F924">
        <v>3.3495202009760701</v>
      </c>
      <c r="G924">
        <v>2449</v>
      </c>
      <c r="H924">
        <v>0</v>
      </c>
      <c r="I924">
        <v>2019</v>
      </c>
      <c r="J924">
        <v>12</v>
      </c>
      <c r="K924">
        <v>5</v>
      </c>
      <c r="M924" t="s">
        <v>624</v>
      </c>
      <c r="O924" t="s">
        <v>32</v>
      </c>
      <c r="P924" t="s">
        <v>625</v>
      </c>
      <c r="R924" t="s">
        <v>919</v>
      </c>
      <c r="U924" t="s">
        <v>36</v>
      </c>
      <c r="V924">
        <v>0</v>
      </c>
      <c r="W924" t="s">
        <v>1077</v>
      </c>
      <c r="Z924" t="s">
        <v>36</v>
      </c>
    </row>
    <row r="925" spans="1:26" hidden="1" x14ac:dyDescent="0.2">
      <c r="A925" s="3">
        <v>43779</v>
      </c>
      <c r="D925" s="5">
        <v>0.94593749999999999</v>
      </c>
      <c r="E925">
        <v>-76.643754051666207</v>
      </c>
      <c r="F925">
        <v>3.34941648004517</v>
      </c>
      <c r="G925">
        <v>2449</v>
      </c>
      <c r="H925">
        <v>0</v>
      </c>
      <c r="I925">
        <v>2019</v>
      </c>
      <c r="J925">
        <v>15</v>
      </c>
      <c r="K925">
        <v>15</v>
      </c>
      <c r="M925" t="s">
        <v>624</v>
      </c>
      <c r="O925" t="s">
        <v>32</v>
      </c>
      <c r="P925" t="s">
        <v>625</v>
      </c>
      <c r="R925" t="s">
        <v>919</v>
      </c>
      <c r="U925" t="s">
        <v>36</v>
      </c>
      <c r="V925">
        <v>0</v>
      </c>
      <c r="W925" t="s">
        <v>1091</v>
      </c>
      <c r="Z925" t="s">
        <v>36</v>
      </c>
    </row>
    <row r="926" spans="1:26" hidden="1" x14ac:dyDescent="0.2">
      <c r="A926" s="3">
        <v>43779</v>
      </c>
      <c r="D926" s="5">
        <v>0.85836805555555551</v>
      </c>
      <c r="E926">
        <v>-76.6463014310566</v>
      </c>
      <c r="F926">
        <v>3.3497471836928101</v>
      </c>
      <c r="G926">
        <v>2480</v>
      </c>
      <c r="I926">
        <v>2019</v>
      </c>
      <c r="J926">
        <v>4</v>
      </c>
      <c r="K926">
        <v>15</v>
      </c>
      <c r="M926" t="s">
        <v>624</v>
      </c>
      <c r="O926" t="s">
        <v>40</v>
      </c>
      <c r="P926" t="s">
        <v>643</v>
      </c>
      <c r="R926" t="s">
        <v>919</v>
      </c>
      <c r="U926" t="s">
        <v>36</v>
      </c>
      <c r="V926">
        <v>0</v>
      </c>
      <c r="W926" t="s">
        <v>1092</v>
      </c>
      <c r="Z926" t="s">
        <v>36</v>
      </c>
    </row>
    <row r="927" spans="1:26" hidden="1" x14ac:dyDescent="0.2">
      <c r="A927" s="3">
        <v>43780</v>
      </c>
      <c r="D927" s="5">
        <v>0.80899305555555556</v>
      </c>
      <c r="E927">
        <v>-76.656500202685606</v>
      </c>
      <c r="F927">
        <v>3.3550414326182101</v>
      </c>
      <c r="G927">
        <v>2586</v>
      </c>
      <c r="H927">
        <v>0</v>
      </c>
      <c r="I927">
        <v>2019</v>
      </c>
      <c r="J927">
        <v>18</v>
      </c>
      <c r="K927">
        <v>5</v>
      </c>
      <c r="M927" t="s">
        <v>624</v>
      </c>
      <c r="O927" t="s">
        <v>38</v>
      </c>
      <c r="P927" t="s">
        <v>720</v>
      </c>
      <c r="R927" t="s">
        <v>919</v>
      </c>
      <c r="U927" t="s">
        <v>36</v>
      </c>
      <c r="V927">
        <v>0</v>
      </c>
      <c r="W927" t="s">
        <v>1093</v>
      </c>
      <c r="Z927" t="s">
        <v>36</v>
      </c>
    </row>
    <row r="928" spans="1:26" hidden="1" x14ac:dyDescent="0.2">
      <c r="A928" s="3">
        <v>43780</v>
      </c>
      <c r="D928" s="5">
        <v>0.84668981481481487</v>
      </c>
      <c r="E928">
        <v>-76.655825037952198</v>
      </c>
      <c r="F928">
        <v>3.3546662133532301</v>
      </c>
      <c r="G928">
        <v>2600</v>
      </c>
      <c r="H928">
        <v>0</v>
      </c>
      <c r="I928">
        <v>2019</v>
      </c>
      <c r="J928">
        <v>13</v>
      </c>
      <c r="K928">
        <v>10</v>
      </c>
      <c r="M928" t="s">
        <v>624</v>
      </c>
      <c r="O928" t="s">
        <v>38</v>
      </c>
      <c r="P928" t="s">
        <v>720</v>
      </c>
      <c r="R928" t="s">
        <v>919</v>
      </c>
      <c r="U928" t="s">
        <v>36</v>
      </c>
      <c r="V928">
        <v>0</v>
      </c>
      <c r="W928" t="s">
        <v>1094</v>
      </c>
      <c r="Z928" t="s">
        <v>36</v>
      </c>
    </row>
    <row r="929" spans="1:26" hidden="1" x14ac:dyDescent="0.2">
      <c r="A929" s="3">
        <v>43780</v>
      </c>
      <c r="D929" s="5">
        <v>0.84668981481481487</v>
      </c>
      <c r="E929">
        <v>-76.655825037952198</v>
      </c>
      <c r="F929">
        <v>3.3546662133532301</v>
      </c>
      <c r="G929">
        <v>2600</v>
      </c>
      <c r="H929">
        <v>0</v>
      </c>
      <c r="I929">
        <v>2019</v>
      </c>
      <c r="J929">
        <v>13</v>
      </c>
      <c r="K929">
        <v>10</v>
      </c>
      <c r="M929" t="s">
        <v>624</v>
      </c>
      <c r="O929" t="s">
        <v>38</v>
      </c>
      <c r="P929" t="s">
        <v>720</v>
      </c>
      <c r="R929" t="s">
        <v>919</v>
      </c>
      <c r="S929" t="s">
        <v>970</v>
      </c>
      <c r="U929" t="s">
        <v>723</v>
      </c>
      <c r="V929">
        <v>1</v>
      </c>
      <c r="W929" t="s">
        <v>1094</v>
      </c>
      <c r="Z929" t="s">
        <v>36</v>
      </c>
    </row>
    <row r="930" spans="1:26" hidden="1" x14ac:dyDescent="0.2">
      <c r="A930" s="3">
        <v>43780</v>
      </c>
      <c r="D930" s="5">
        <v>0.84668981481481487</v>
      </c>
      <c r="E930">
        <v>-76.655825037952198</v>
      </c>
      <c r="F930">
        <v>3.3546662133532301</v>
      </c>
      <c r="G930">
        <v>2600</v>
      </c>
      <c r="H930">
        <v>0</v>
      </c>
      <c r="I930">
        <v>2019</v>
      </c>
      <c r="J930">
        <v>13</v>
      </c>
      <c r="K930">
        <v>10</v>
      </c>
      <c r="M930" t="s">
        <v>624</v>
      </c>
      <c r="O930" t="s">
        <v>38</v>
      </c>
      <c r="P930" t="s">
        <v>720</v>
      </c>
      <c r="R930" t="s">
        <v>919</v>
      </c>
      <c r="S930" t="s">
        <v>971</v>
      </c>
      <c r="U930" t="s">
        <v>723</v>
      </c>
      <c r="V930">
        <v>1</v>
      </c>
      <c r="Z930" t="s">
        <v>36</v>
      </c>
    </row>
    <row r="931" spans="1:26" hidden="1" x14ac:dyDescent="0.2">
      <c r="A931" s="3">
        <v>43780</v>
      </c>
      <c r="D931" s="5">
        <v>0.84668981481481487</v>
      </c>
      <c r="E931">
        <v>-76.655825037952198</v>
      </c>
      <c r="F931">
        <v>3.3546662133532301</v>
      </c>
      <c r="G931">
        <v>2480</v>
      </c>
      <c r="H931">
        <v>0</v>
      </c>
      <c r="I931">
        <v>2019</v>
      </c>
      <c r="J931">
        <v>15</v>
      </c>
      <c r="K931">
        <v>10</v>
      </c>
      <c r="M931" t="s">
        <v>624</v>
      </c>
      <c r="O931" t="s">
        <v>38</v>
      </c>
      <c r="P931" t="s">
        <v>720</v>
      </c>
      <c r="R931" t="s">
        <v>919</v>
      </c>
      <c r="S931" t="s">
        <v>972</v>
      </c>
      <c r="U931" t="s">
        <v>371</v>
      </c>
      <c r="V931">
        <v>1</v>
      </c>
      <c r="Z931" t="s">
        <v>36</v>
      </c>
    </row>
    <row r="932" spans="1:26" hidden="1" x14ac:dyDescent="0.2">
      <c r="A932" s="3">
        <v>43780</v>
      </c>
      <c r="D932" s="5">
        <v>0.92521990740740745</v>
      </c>
      <c r="E932">
        <v>-76.653324354943095</v>
      </c>
      <c r="F932">
        <v>3.35336458608987</v>
      </c>
      <c r="G932">
        <v>2503</v>
      </c>
      <c r="H932">
        <v>0</v>
      </c>
      <c r="I932">
        <v>2019</v>
      </c>
      <c r="J932">
        <v>12</v>
      </c>
      <c r="K932">
        <v>15</v>
      </c>
      <c r="M932" t="s">
        <v>624</v>
      </c>
      <c r="O932" t="s">
        <v>58</v>
      </c>
      <c r="P932" t="s">
        <v>690</v>
      </c>
      <c r="R932" t="s">
        <v>919</v>
      </c>
      <c r="U932" t="s">
        <v>36</v>
      </c>
      <c r="V932">
        <v>0</v>
      </c>
      <c r="W932" t="s">
        <v>1095</v>
      </c>
      <c r="Z932" t="s">
        <v>36</v>
      </c>
    </row>
    <row r="933" spans="1:26" hidden="1" x14ac:dyDescent="0.2">
      <c r="A933" s="3">
        <v>43780</v>
      </c>
      <c r="D933" s="5">
        <v>0.89053240740740736</v>
      </c>
      <c r="E933">
        <v>-76.6551908547236</v>
      </c>
      <c r="F933">
        <v>3.3539790168830899</v>
      </c>
      <c r="G933">
        <v>2590</v>
      </c>
      <c r="H933">
        <v>0</v>
      </c>
      <c r="I933">
        <v>2019</v>
      </c>
      <c r="J933">
        <v>10</v>
      </c>
      <c r="K933">
        <v>15</v>
      </c>
      <c r="M933" t="s">
        <v>624</v>
      </c>
      <c r="O933" t="s">
        <v>32</v>
      </c>
      <c r="P933" t="s">
        <v>720</v>
      </c>
      <c r="R933" t="s">
        <v>919</v>
      </c>
      <c r="S933" t="s">
        <v>971</v>
      </c>
      <c r="U933" t="s">
        <v>723</v>
      </c>
      <c r="V933">
        <v>1</v>
      </c>
      <c r="W933" t="s">
        <v>1072</v>
      </c>
      <c r="Z933" t="s">
        <v>36</v>
      </c>
    </row>
    <row r="934" spans="1:26" hidden="1" x14ac:dyDescent="0.2">
      <c r="A934" s="3">
        <v>43780</v>
      </c>
      <c r="D934" s="5">
        <v>0.88464120370370369</v>
      </c>
      <c r="E934">
        <v>-76.655448981404405</v>
      </c>
      <c r="F934">
        <v>3.3541432947293801</v>
      </c>
      <c r="G934">
        <v>2600</v>
      </c>
      <c r="H934">
        <v>0</v>
      </c>
      <c r="I934">
        <v>2019</v>
      </c>
      <c r="J934">
        <v>9</v>
      </c>
      <c r="K934">
        <v>5</v>
      </c>
      <c r="M934" t="s">
        <v>624</v>
      </c>
      <c r="O934" t="s">
        <v>32</v>
      </c>
      <c r="P934" t="s">
        <v>720</v>
      </c>
      <c r="R934" t="s">
        <v>919</v>
      </c>
      <c r="S934" t="s">
        <v>971</v>
      </c>
      <c r="U934" t="s">
        <v>723</v>
      </c>
      <c r="V934">
        <v>1</v>
      </c>
      <c r="Z934" t="s">
        <v>36</v>
      </c>
    </row>
    <row r="935" spans="1:26" hidden="1" x14ac:dyDescent="0.2">
      <c r="A935" s="3">
        <v>43780</v>
      </c>
      <c r="D935" s="5">
        <v>0.85650462962962959</v>
      </c>
      <c r="E935">
        <v>-76.655694487928898</v>
      </c>
      <c r="F935">
        <v>3.3544691135718399</v>
      </c>
      <c r="G935">
        <v>2500</v>
      </c>
      <c r="H935">
        <v>0</v>
      </c>
      <c r="I935">
        <v>2019</v>
      </c>
      <c r="J935">
        <v>5</v>
      </c>
      <c r="K935">
        <v>8</v>
      </c>
      <c r="M935" t="s">
        <v>624</v>
      </c>
      <c r="O935" t="s">
        <v>32</v>
      </c>
      <c r="P935" t="s">
        <v>720</v>
      </c>
      <c r="R935" t="s">
        <v>919</v>
      </c>
      <c r="U935" t="s">
        <v>36</v>
      </c>
      <c r="V935">
        <v>0</v>
      </c>
      <c r="W935" t="s">
        <v>1096</v>
      </c>
      <c r="Z935" t="s">
        <v>36</v>
      </c>
    </row>
    <row r="936" spans="1:26" hidden="1" x14ac:dyDescent="0.2">
      <c r="A936" s="3">
        <v>43780</v>
      </c>
      <c r="D936" s="5">
        <v>0.95431712962962967</v>
      </c>
      <c r="E936">
        <v>-76.651871505806895</v>
      </c>
      <c r="F936">
        <v>3.3532417483226902</v>
      </c>
      <c r="G936">
        <v>2526</v>
      </c>
      <c r="H936">
        <v>0</v>
      </c>
      <c r="I936">
        <v>2019</v>
      </c>
      <c r="J936">
        <v>18</v>
      </c>
      <c r="K936">
        <v>18</v>
      </c>
      <c r="M936" t="s">
        <v>624</v>
      </c>
      <c r="O936" t="s">
        <v>47</v>
      </c>
      <c r="P936" t="s">
        <v>690</v>
      </c>
      <c r="R936" t="s">
        <v>919</v>
      </c>
      <c r="U936" t="s">
        <v>36</v>
      </c>
      <c r="V936">
        <v>0</v>
      </c>
      <c r="W936" t="s">
        <v>1097</v>
      </c>
      <c r="Z936" t="s">
        <v>36</v>
      </c>
    </row>
    <row r="937" spans="1:26" hidden="1" x14ac:dyDescent="0.2">
      <c r="A937" s="3">
        <v>43780</v>
      </c>
      <c r="D937" s="5">
        <v>0.87910879629629635</v>
      </c>
      <c r="E937">
        <v>-76.655468560588005</v>
      </c>
      <c r="F937">
        <v>3.3542101363388199</v>
      </c>
      <c r="G937">
        <v>2560</v>
      </c>
      <c r="H937">
        <v>0</v>
      </c>
      <c r="I937">
        <v>2019</v>
      </c>
      <c r="J937">
        <v>7</v>
      </c>
      <c r="K937">
        <v>15</v>
      </c>
      <c r="M937" t="s">
        <v>624</v>
      </c>
      <c r="O937" t="s">
        <v>32</v>
      </c>
      <c r="P937" t="s">
        <v>720</v>
      </c>
      <c r="R937" t="s">
        <v>919</v>
      </c>
      <c r="S937" t="s">
        <v>971</v>
      </c>
      <c r="U937" t="s">
        <v>723</v>
      </c>
      <c r="V937">
        <v>1</v>
      </c>
      <c r="Z937" t="s">
        <v>36</v>
      </c>
    </row>
    <row r="938" spans="1:26" hidden="1" x14ac:dyDescent="0.2">
      <c r="A938" s="3">
        <v>43780</v>
      </c>
      <c r="D938" s="5">
        <v>0.87274305555555554</v>
      </c>
      <c r="E938">
        <v>-76.655670752264001</v>
      </c>
      <c r="F938">
        <v>3.3542365177371001</v>
      </c>
      <c r="G938">
        <v>2580</v>
      </c>
      <c r="H938">
        <v>0</v>
      </c>
      <c r="I938">
        <v>2019</v>
      </c>
      <c r="J938">
        <v>15</v>
      </c>
      <c r="K938">
        <v>5</v>
      </c>
      <c r="M938" t="s">
        <v>624</v>
      </c>
      <c r="O938" t="s">
        <v>32</v>
      </c>
      <c r="P938" t="s">
        <v>720</v>
      </c>
      <c r="R938" t="s">
        <v>919</v>
      </c>
      <c r="S938" t="s">
        <v>968</v>
      </c>
      <c r="U938" t="s">
        <v>723</v>
      </c>
      <c r="V938">
        <v>1</v>
      </c>
      <c r="Z938" t="s">
        <v>36</v>
      </c>
    </row>
    <row r="939" spans="1:26" hidden="1" x14ac:dyDescent="0.2">
      <c r="A939" s="3">
        <v>43780</v>
      </c>
      <c r="D939" s="5">
        <v>0.90258101851851846</v>
      </c>
      <c r="E939">
        <v>-76.654579684636005</v>
      </c>
      <c r="F939">
        <v>3.3537161475125901</v>
      </c>
      <c r="G939">
        <v>2565</v>
      </c>
      <c r="H939">
        <v>0</v>
      </c>
      <c r="I939">
        <v>2019</v>
      </c>
      <c r="J939">
        <v>5</v>
      </c>
      <c r="K939">
        <v>5</v>
      </c>
      <c r="M939" t="s">
        <v>624</v>
      </c>
      <c r="O939" t="s">
        <v>32</v>
      </c>
      <c r="P939" t="s">
        <v>720</v>
      </c>
      <c r="R939" t="s">
        <v>919</v>
      </c>
      <c r="U939" t="s">
        <v>36</v>
      </c>
      <c r="V939">
        <v>0</v>
      </c>
      <c r="W939" t="s">
        <v>1098</v>
      </c>
      <c r="Z939" t="s">
        <v>36</v>
      </c>
    </row>
    <row r="940" spans="1:26" hidden="1" x14ac:dyDescent="0.2">
      <c r="A940" s="3">
        <v>43780</v>
      </c>
      <c r="D940" s="5">
        <v>0.93760416666666668</v>
      </c>
      <c r="E940">
        <v>-76.6527996344455</v>
      </c>
      <c r="F940">
        <v>3.35359693598999</v>
      </c>
      <c r="G940">
        <v>2530</v>
      </c>
      <c r="H940">
        <v>0</v>
      </c>
      <c r="I940">
        <v>2019</v>
      </c>
      <c r="J940">
        <v>12</v>
      </c>
      <c r="K940">
        <v>5</v>
      </c>
      <c r="M940" t="s">
        <v>624</v>
      </c>
      <c r="O940" t="s">
        <v>47</v>
      </c>
      <c r="P940" t="s">
        <v>690</v>
      </c>
      <c r="R940" t="s">
        <v>919</v>
      </c>
      <c r="S940" t="s">
        <v>973</v>
      </c>
      <c r="U940" t="s">
        <v>723</v>
      </c>
      <c r="V940">
        <v>1</v>
      </c>
      <c r="W940" t="s">
        <v>1099</v>
      </c>
      <c r="Z940" t="s">
        <v>36</v>
      </c>
    </row>
    <row r="941" spans="1:26" hidden="1" x14ac:dyDescent="0.2">
      <c r="A941" s="3">
        <v>43780</v>
      </c>
      <c r="D941" s="5">
        <v>0.89679398148148148</v>
      </c>
      <c r="E941">
        <v>-76.655121635713002</v>
      </c>
      <c r="F941">
        <v>3.3538548736179101</v>
      </c>
      <c r="G941">
        <v>2580</v>
      </c>
      <c r="H941">
        <v>0</v>
      </c>
      <c r="I941">
        <v>2019</v>
      </c>
      <c r="J941">
        <v>15</v>
      </c>
      <c r="K941">
        <v>18</v>
      </c>
      <c r="M941" t="s">
        <v>624</v>
      </c>
      <c r="O941" t="s">
        <v>32</v>
      </c>
      <c r="P941" t="s">
        <v>720</v>
      </c>
      <c r="R941" t="s">
        <v>919</v>
      </c>
      <c r="U941" t="s">
        <v>36</v>
      </c>
      <c r="V941">
        <v>0</v>
      </c>
      <c r="W941" t="s">
        <v>1100</v>
      </c>
      <c r="Z941" t="s">
        <v>36</v>
      </c>
    </row>
    <row r="942" spans="1:26" hidden="1" x14ac:dyDescent="0.2">
      <c r="A942" s="3">
        <v>43780</v>
      </c>
      <c r="D942" s="5">
        <v>0.97949074074074072</v>
      </c>
      <c r="E942">
        <v>-76.649814883239699</v>
      </c>
      <c r="F942">
        <v>3.3527553062339899</v>
      </c>
      <c r="G942">
        <v>2498</v>
      </c>
      <c r="H942">
        <v>0</v>
      </c>
      <c r="I942">
        <v>2019</v>
      </c>
      <c r="J942">
        <v>15</v>
      </c>
      <c r="K942">
        <v>5</v>
      </c>
      <c r="M942" t="s">
        <v>624</v>
      </c>
      <c r="O942" t="s">
        <v>40</v>
      </c>
      <c r="P942" t="s">
        <v>690</v>
      </c>
      <c r="R942" t="s">
        <v>919</v>
      </c>
      <c r="S942" t="s">
        <v>974</v>
      </c>
      <c r="U942" t="s">
        <v>723</v>
      </c>
      <c r="V942">
        <v>1</v>
      </c>
      <c r="W942" t="s">
        <v>1101</v>
      </c>
      <c r="Z942" t="s">
        <v>36</v>
      </c>
    </row>
    <row r="943" spans="1:26" hidden="1" x14ac:dyDescent="0.2">
      <c r="A943" s="3">
        <v>43780</v>
      </c>
      <c r="D943" s="5">
        <v>0.83663194444444444</v>
      </c>
      <c r="E943">
        <v>-76.655855731629501</v>
      </c>
      <c r="F943">
        <v>3.3547163411789298</v>
      </c>
      <c r="G943">
        <v>2500</v>
      </c>
      <c r="H943">
        <v>0</v>
      </c>
      <c r="I943">
        <v>2019</v>
      </c>
      <c r="J943">
        <v>13</v>
      </c>
      <c r="K943">
        <v>6</v>
      </c>
      <c r="M943" t="s">
        <v>624</v>
      </c>
      <c r="O943" t="s">
        <v>38</v>
      </c>
      <c r="P943" t="s">
        <v>720</v>
      </c>
      <c r="R943" t="s">
        <v>919</v>
      </c>
      <c r="S943" t="s">
        <v>975</v>
      </c>
      <c r="U943" t="s">
        <v>371</v>
      </c>
      <c r="V943">
        <v>1</v>
      </c>
      <c r="W943" t="s">
        <v>1102</v>
      </c>
      <c r="Z943" t="s">
        <v>36</v>
      </c>
    </row>
    <row r="944" spans="1:26" hidden="1" x14ac:dyDescent="0.2">
      <c r="A944" s="3">
        <v>43780</v>
      </c>
      <c r="D944" s="5">
        <v>0.9309722222222222</v>
      </c>
      <c r="E944">
        <v>-76.652945197237599</v>
      </c>
      <c r="F944">
        <v>3.3533195088020098</v>
      </c>
      <c r="G944">
        <v>2540</v>
      </c>
      <c r="H944">
        <v>0</v>
      </c>
      <c r="I944">
        <v>2019</v>
      </c>
      <c r="J944">
        <v>10</v>
      </c>
      <c r="K944">
        <v>15</v>
      </c>
      <c r="M944" t="s">
        <v>624</v>
      </c>
      <c r="O944" t="s">
        <v>58</v>
      </c>
      <c r="P944" t="s">
        <v>690</v>
      </c>
      <c r="R944" t="s">
        <v>919</v>
      </c>
      <c r="U944" t="s">
        <v>36</v>
      </c>
      <c r="V944">
        <v>0</v>
      </c>
      <c r="W944" t="s">
        <v>1103</v>
      </c>
      <c r="Z944" t="s">
        <v>36</v>
      </c>
    </row>
    <row r="945" spans="1:26" hidden="1" x14ac:dyDescent="0.2">
      <c r="A945" s="3">
        <v>43780</v>
      </c>
      <c r="D945" s="5">
        <v>0.96001157407407411</v>
      </c>
      <c r="E945">
        <v>-76.651447817168304</v>
      </c>
      <c r="F945">
        <v>3.3532232857936801</v>
      </c>
      <c r="G945">
        <v>2517</v>
      </c>
      <c r="H945">
        <v>0</v>
      </c>
      <c r="I945">
        <v>2019</v>
      </c>
      <c r="J945">
        <v>18</v>
      </c>
      <c r="K945">
        <v>5</v>
      </c>
      <c r="M945" t="s">
        <v>624</v>
      </c>
      <c r="O945" t="s">
        <v>47</v>
      </c>
      <c r="P945" t="s">
        <v>690</v>
      </c>
      <c r="R945" t="s">
        <v>919</v>
      </c>
      <c r="U945" t="s">
        <v>36</v>
      </c>
      <c r="V945">
        <v>0</v>
      </c>
      <c r="W945" t="s">
        <v>1104</v>
      </c>
      <c r="Z945" t="s">
        <v>36</v>
      </c>
    </row>
    <row r="946" spans="1:26" hidden="1" x14ac:dyDescent="0.2">
      <c r="A946" s="3">
        <v>43780</v>
      </c>
      <c r="D946" s="5">
        <v>0.8646759259259259</v>
      </c>
      <c r="E946">
        <v>-76.655749567570794</v>
      </c>
      <c r="F946">
        <v>3.35434526837021</v>
      </c>
      <c r="G946">
        <v>2600</v>
      </c>
      <c r="H946">
        <v>0</v>
      </c>
      <c r="I946">
        <v>2019</v>
      </c>
      <c r="K946">
        <v>10</v>
      </c>
      <c r="M946" t="s">
        <v>624</v>
      </c>
      <c r="O946" t="s">
        <v>32</v>
      </c>
      <c r="P946" t="s">
        <v>720</v>
      </c>
      <c r="R946" t="s">
        <v>919</v>
      </c>
      <c r="S946" t="s">
        <v>973</v>
      </c>
      <c r="U946" t="s">
        <v>723</v>
      </c>
      <c r="V946">
        <v>2</v>
      </c>
      <c r="Z946" t="s">
        <v>36</v>
      </c>
    </row>
    <row r="947" spans="1:26" hidden="1" x14ac:dyDescent="0.2">
      <c r="A947" s="3">
        <v>43785</v>
      </c>
      <c r="D947" s="5">
        <v>0.88121527777777775</v>
      </c>
      <c r="E947">
        <v>-76.892519626766003</v>
      </c>
      <c r="F947">
        <v>3.5954920990309698</v>
      </c>
      <c r="G947">
        <v>599</v>
      </c>
      <c r="I947">
        <v>2019</v>
      </c>
      <c r="J947">
        <v>18</v>
      </c>
      <c r="K947">
        <v>16</v>
      </c>
      <c r="M947" t="s">
        <v>30</v>
      </c>
      <c r="O947" t="s">
        <v>38</v>
      </c>
      <c r="P947" t="s">
        <v>33</v>
      </c>
      <c r="R947" t="s">
        <v>921</v>
      </c>
      <c r="S947" t="s">
        <v>976</v>
      </c>
      <c r="U947" t="s">
        <v>71</v>
      </c>
      <c r="V947">
        <v>2</v>
      </c>
      <c r="W947" t="s">
        <v>1105</v>
      </c>
      <c r="Z947" t="s">
        <v>36</v>
      </c>
    </row>
    <row r="948" spans="1:26" hidden="1" x14ac:dyDescent="0.2">
      <c r="A948" s="3">
        <v>43785</v>
      </c>
      <c r="D948" s="5">
        <v>0.85599537037037032</v>
      </c>
      <c r="E948">
        <v>-76.892283252003807</v>
      </c>
      <c r="F948">
        <v>3.59565897419562</v>
      </c>
      <c r="G948">
        <v>598</v>
      </c>
      <c r="I948">
        <v>2019</v>
      </c>
      <c r="J948">
        <v>15</v>
      </c>
      <c r="K948">
        <v>20</v>
      </c>
      <c r="M948" t="s">
        <v>30</v>
      </c>
      <c r="O948" t="s">
        <v>38</v>
      </c>
      <c r="P948" t="s">
        <v>33</v>
      </c>
      <c r="R948" t="s">
        <v>919</v>
      </c>
      <c r="U948" t="s">
        <v>36</v>
      </c>
      <c r="V948">
        <v>0</v>
      </c>
      <c r="W948" t="s">
        <v>1106</v>
      </c>
      <c r="Z948" t="s">
        <v>36</v>
      </c>
    </row>
    <row r="949" spans="1:26" hidden="1" x14ac:dyDescent="0.2">
      <c r="A949" s="3">
        <v>43785</v>
      </c>
      <c r="D949" s="5">
        <v>0.88643518518518516</v>
      </c>
      <c r="E949">
        <v>-76.892568732481394</v>
      </c>
      <c r="F949">
        <v>3.5955185240818799</v>
      </c>
      <c r="G949">
        <v>600</v>
      </c>
      <c r="I949">
        <v>2019</v>
      </c>
      <c r="J949">
        <v>25</v>
      </c>
      <c r="K949">
        <v>10</v>
      </c>
      <c r="M949" t="s">
        <v>30</v>
      </c>
      <c r="O949" t="s">
        <v>38</v>
      </c>
      <c r="P949" t="s">
        <v>33</v>
      </c>
      <c r="R949" t="s">
        <v>921</v>
      </c>
      <c r="S949" t="s">
        <v>946</v>
      </c>
      <c r="U949" t="s">
        <v>84</v>
      </c>
      <c r="V949">
        <v>1</v>
      </c>
      <c r="Z949" t="s">
        <v>36</v>
      </c>
    </row>
    <row r="950" spans="1:26" hidden="1" x14ac:dyDescent="0.2">
      <c r="A950" s="3">
        <v>43785</v>
      </c>
      <c r="D950" s="5">
        <v>0.88643518518518516</v>
      </c>
      <c r="E950">
        <v>-76.892568732481394</v>
      </c>
      <c r="F950">
        <v>3.5955185240818799</v>
      </c>
      <c r="G950">
        <v>600</v>
      </c>
      <c r="I950">
        <v>2019</v>
      </c>
      <c r="J950">
        <v>25</v>
      </c>
      <c r="K950">
        <v>10</v>
      </c>
      <c r="M950" t="s">
        <v>30</v>
      </c>
      <c r="O950" t="s">
        <v>38</v>
      </c>
      <c r="P950" t="s">
        <v>33</v>
      </c>
      <c r="R950" t="s">
        <v>921</v>
      </c>
      <c r="S950" t="s">
        <v>976</v>
      </c>
      <c r="U950" t="s">
        <v>84</v>
      </c>
      <c r="V950">
        <v>1</v>
      </c>
      <c r="Z950" t="s">
        <v>36</v>
      </c>
    </row>
    <row r="951" spans="1:26" hidden="1" x14ac:dyDescent="0.2">
      <c r="A951" s="3">
        <v>43785</v>
      </c>
      <c r="D951" s="5">
        <v>0.86988425925925927</v>
      </c>
      <c r="E951">
        <v>-76.892493382465702</v>
      </c>
      <c r="F951">
        <v>3.59552470491096</v>
      </c>
      <c r="G951">
        <v>572</v>
      </c>
      <c r="I951">
        <v>2019</v>
      </c>
      <c r="J951">
        <v>20</v>
      </c>
      <c r="M951" t="s">
        <v>30</v>
      </c>
      <c r="O951" t="s">
        <v>38</v>
      </c>
      <c r="P951" t="s">
        <v>33</v>
      </c>
      <c r="R951" t="s">
        <v>919</v>
      </c>
      <c r="S951" t="s">
        <v>945</v>
      </c>
      <c r="U951" t="s">
        <v>84</v>
      </c>
      <c r="V951">
        <v>1</v>
      </c>
      <c r="Z951" t="s">
        <v>36</v>
      </c>
    </row>
    <row r="952" spans="1:26" hidden="1" x14ac:dyDescent="0.2">
      <c r="A952" s="3">
        <v>43785</v>
      </c>
      <c r="D952" s="5">
        <v>0.83437499999999998</v>
      </c>
      <c r="E952">
        <v>-76.892138089579603</v>
      </c>
      <c r="F952">
        <v>3.5950463339044001</v>
      </c>
      <c r="G952">
        <v>597</v>
      </c>
      <c r="I952">
        <v>2019</v>
      </c>
      <c r="J952">
        <v>25</v>
      </c>
      <c r="K952">
        <v>15</v>
      </c>
      <c r="M952" t="s">
        <v>30</v>
      </c>
      <c r="O952" t="s">
        <v>32</v>
      </c>
      <c r="P952" t="s">
        <v>33</v>
      </c>
      <c r="R952" t="s">
        <v>919</v>
      </c>
      <c r="S952" t="s">
        <v>959</v>
      </c>
      <c r="U952" t="s">
        <v>84</v>
      </c>
      <c r="V952">
        <v>1</v>
      </c>
      <c r="Z952" t="s">
        <v>36</v>
      </c>
    </row>
    <row r="953" spans="1:26" hidden="1" x14ac:dyDescent="0.2">
      <c r="A953" s="3">
        <v>43785</v>
      </c>
      <c r="D953" s="5">
        <v>0.83437499999999998</v>
      </c>
      <c r="E953">
        <v>-76.892138089579603</v>
      </c>
      <c r="F953">
        <v>3.5950463339044001</v>
      </c>
      <c r="G953">
        <v>596</v>
      </c>
      <c r="I953">
        <v>2019</v>
      </c>
      <c r="J953">
        <v>20</v>
      </c>
      <c r="K953">
        <v>15</v>
      </c>
      <c r="M953" t="s">
        <v>30</v>
      </c>
      <c r="O953" t="s">
        <v>32</v>
      </c>
      <c r="P953" t="s">
        <v>33</v>
      </c>
      <c r="R953" t="s">
        <v>919</v>
      </c>
      <c r="S953" t="s">
        <v>945</v>
      </c>
      <c r="U953" t="s">
        <v>84</v>
      </c>
      <c r="V953">
        <v>1</v>
      </c>
      <c r="Z953" t="s">
        <v>36</v>
      </c>
    </row>
    <row r="954" spans="1:26" hidden="1" x14ac:dyDescent="0.2">
      <c r="A954" s="3">
        <v>43785</v>
      </c>
      <c r="D954" s="5">
        <v>0.83437499999999998</v>
      </c>
      <c r="E954">
        <v>-76.892138089579603</v>
      </c>
      <c r="F954">
        <v>3.5950463339044001</v>
      </c>
      <c r="G954">
        <v>594</v>
      </c>
      <c r="I954">
        <v>2019</v>
      </c>
      <c r="J954">
        <v>25</v>
      </c>
      <c r="K954">
        <v>15</v>
      </c>
      <c r="M954" t="s">
        <v>30</v>
      </c>
      <c r="O954" t="s">
        <v>32</v>
      </c>
      <c r="P954" t="s">
        <v>33</v>
      </c>
      <c r="R954" t="s">
        <v>919</v>
      </c>
      <c r="S954" t="s">
        <v>966</v>
      </c>
      <c r="U954" t="s">
        <v>84</v>
      </c>
      <c r="V954">
        <v>1</v>
      </c>
      <c r="Z954" t="s">
        <v>36</v>
      </c>
    </row>
    <row r="955" spans="1:26" hidden="1" x14ac:dyDescent="0.2">
      <c r="A955" s="3">
        <v>43785</v>
      </c>
      <c r="D955" s="5">
        <v>0.94163194444444442</v>
      </c>
      <c r="E955">
        <v>-76.888735343661807</v>
      </c>
      <c r="F955">
        <v>3.5971203910936098</v>
      </c>
      <c r="G955">
        <v>590</v>
      </c>
      <c r="I955">
        <v>2019</v>
      </c>
      <c r="J955">
        <v>30</v>
      </c>
      <c r="K955">
        <v>11</v>
      </c>
      <c r="M955" t="s">
        <v>30</v>
      </c>
      <c r="O955" t="s">
        <v>47</v>
      </c>
      <c r="P955" t="s">
        <v>33</v>
      </c>
      <c r="R955" t="s">
        <v>919</v>
      </c>
      <c r="S955" t="s">
        <v>945</v>
      </c>
      <c r="U955" t="s">
        <v>84</v>
      </c>
      <c r="V955">
        <v>1</v>
      </c>
      <c r="W955" t="s">
        <v>1107</v>
      </c>
      <c r="Z955" t="s">
        <v>1012</v>
      </c>
    </row>
    <row r="956" spans="1:26" hidden="1" x14ac:dyDescent="0.2">
      <c r="A956" s="3">
        <v>43785</v>
      </c>
      <c r="D956" s="5">
        <v>0.96875</v>
      </c>
      <c r="E956">
        <v>-76.888382369596002</v>
      </c>
      <c r="F956">
        <v>3.59808251073534</v>
      </c>
      <c r="G956">
        <v>533</v>
      </c>
      <c r="I956">
        <v>2019</v>
      </c>
      <c r="J956">
        <v>25</v>
      </c>
      <c r="K956">
        <v>15</v>
      </c>
      <c r="M956" t="s">
        <v>30</v>
      </c>
      <c r="O956" t="s">
        <v>47</v>
      </c>
      <c r="P956" t="s">
        <v>33</v>
      </c>
      <c r="R956" t="s">
        <v>919</v>
      </c>
      <c r="U956" t="s">
        <v>36</v>
      </c>
      <c r="V956">
        <v>0</v>
      </c>
      <c r="W956" t="s">
        <v>1108</v>
      </c>
      <c r="Z956" t="s">
        <v>1012</v>
      </c>
    </row>
    <row r="957" spans="1:26" hidden="1" x14ac:dyDescent="0.2">
      <c r="A957" s="3">
        <v>43785</v>
      </c>
      <c r="D957" s="5">
        <v>0.95663194444444444</v>
      </c>
      <c r="E957">
        <v>-76.8885821203924</v>
      </c>
      <c r="F957">
        <v>3.5977703592358101</v>
      </c>
      <c r="G957">
        <v>590</v>
      </c>
      <c r="I957">
        <v>2019</v>
      </c>
      <c r="J957">
        <v>15</v>
      </c>
      <c r="K957">
        <v>20</v>
      </c>
      <c r="M957" t="s">
        <v>30</v>
      </c>
      <c r="O957" t="s">
        <v>47</v>
      </c>
      <c r="P957" t="s">
        <v>33</v>
      </c>
      <c r="R957" t="s">
        <v>919</v>
      </c>
      <c r="S957" t="s">
        <v>945</v>
      </c>
      <c r="U957" t="s">
        <v>84</v>
      </c>
      <c r="V957">
        <v>1</v>
      </c>
      <c r="Z957" t="s">
        <v>1012</v>
      </c>
    </row>
    <row r="958" spans="1:26" hidden="1" x14ac:dyDescent="0.2">
      <c r="A958" s="3">
        <v>43785</v>
      </c>
      <c r="D958" s="5">
        <v>0.95663194444444444</v>
      </c>
      <c r="E958">
        <v>-76.8885821203924</v>
      </c>
      <c r="F958">
        <v>3.5977703592358101</v>
      </c>
      <c r="G958">
        <v>590</v>
      </c>
      <c r="I958">
        <v>2019</v>
      </c>
      <c r="J958">
        <v>30</v>
      </c>
      <c r="K958">
        <v>10</v>
      </c>
      <c r="M958" t="s">
        <v>30</v>
      </c>
      <c r="O958" t="s">
        <v>47</v>
      </c>
      <c r="P958" t="s">
        <v>33</v>
      </c>
      <c r="R958" t="s">
        <v>919</v>
      </c>
      <c r="S958" t="s">
        <v>959</v>
      </c>
      <c r="U958" t="s">
        <v>84</v>
      </c>
      <c r="V958">
        <v>1</v>
      </c>
      <c r="Z958" t="s">
        <v>1012</v>
      </c>
    </row>
    <row r="959" spans="1:26" hidden="1" x14ac:dyDescent="0.2">
      <c r="A959" s="3">
        <v>43785</v>
      </c>
      <c r="D959" s="5">
        <v>0.90833333333333333</v>
      </c>
      <c r="E959">
        <v>-76.893038965661205</v>
      </c>
      <c r="F959">
        <v>3.5962833075515199</v>
      </c>
      <c r="G959">
        <v>588</v>
      </c>
      <c r="H959">
        <v>0</v>
      </c>
      <c r="I959">
        <v>2019</v>
      </c>
      <c r="J959">
        <v>18</v>
      </c>
      <c r="K959">
        <v>20</v>
      </c>
      <c r="M959" t="s">
        <v>30</v>
      </c>
      <c r="O959" t="s">
        <v>40</v>
      </c>
      <c r="P959" t="s">
        <v>33</v>
      </c>
      <c r="R959" t="s">
        <v>919</v>
      </c>
      <c r="U959" t="s">
        <v>36</v>
      </c>
      <c r="V959">
        <v>0</v>
      </c>
      <c r="W959" t="s">
        <v>1109</v>
      </c>
      <c r="Z959" t="s">
        <v>36</v>
      </c>
    </row>
    <row r="960" spans="1:26" hidden="1" x14ac:dyDescent="0.2">
      <c r="A960" s="3">
        <v>43785</v>
      </c>
      <c r="D960" s="5">
        <v>0.84752314814814811</v>
      </c>
      <c r="E960">
        <v>-76.892203717650304</v>
      </c>
      <c r="F960">
        <v>3.59550555396482</v>
      </c>
      <c r="G960">
        <v>595</v>
      </c>
      <c r="I960">
        <v>2019</v>
      </c>
      <c r="J960">
        <v>20</v>
      </c>
      <c r="K960">
        <v>12</v>
      </c>
      <c r="M960" t="s">
        <v>30</v>
      </c>
      <c r="O960" t="s">
        <v>38</v>
      </c>
      <c r="P960" t="s">
        <v>33</v>
      </c>
      <c r="R960" t="s">
        <v>919</v>
      </c>
      <c r="S960" t="s">
        <v>959</v>
      </c>
      <c r="U960" t="s">
        <v>84</v>
      </c>
      <c r="V960">
        <v>1</v>
      </c>
      <c r="Y960" t="s">
        <v>1028</v>
      </c>
      <c r="Z960" t="s">
        <v>137</v>
      </c>
    </row>
    <row r="961" spans="1:26" hidden="1" x14ac:dyDescent="0.2">
      <c r="A961" s="3">
        <v>43785</v>
      </c>
      <c r="D961" s="5">
        <v>0.84752314814814811</v>
      </c>
      <c r="E961">
        <v>-76.892203717650304</v>
      </c>
      <c r="F961">
        <v>3.59550555396482</v>
      </c>
      <c r="G961">
        <v>595</v>
      </c>
      <c r="I961">
        <v>2019</v>
      </c>
      <c r="J961">
        <v>25</v>
      </c>
      <c r="K961">
        <v>12</v>
      </c>
      <c r="M961" t="s">
        <v>30</v>
      </c>
      <c r="O961" t="s">
        <v>38</v>
      </c>
      <c r="P961" t="s">
        <v>33</v>
      </c>
      <c r="R961" t="s">
        <v>919</v>
      </c>
      <c r="S961" t="s">
        <v>946</v>
      </c>
      <c r="U961" t="s">
        <v>84</v>
      </c>
      <c r="V961">
        <v>1</v>
      </c>
      <c r="Y961" t="s">
        <v>1029</v>
      </c>
      <c r="Z961" t="s">
        <v>137</v>
      </c>
    </row>
    <row r="962" spans="1:26" hidden="1" x14ac:dyDescent="0.2">
      <c r="A962" s="3">
        <v>43785</v>
      </c>
      <c r="D962" s="5">
        <v>0.81600694444444444</v>
      </c>
      <c r="E962">
        <v>-76.892006535818496</v>
      </c>
      <c r="F962">
        <v>3.5946518722407599</v>
      </c>
      <c r="G962">
        <v>566</v>
      </c>
      <c r="H962">
        <v>0</v>
      </c>
      <c r="I962">
        <v>2019</v>
      </c>
      <c r="J962">
        <v>20</v>
      </c>
      <c r="K962">
        <v>15</v>
      </c>
      <c r="M962" t="s">
        <v>30</v>
      </c>
      <c r="O962" t="s">
        <v>32</v>
      </c>
      <c r="P962" t="s">
        <v>33</v>
      </c>
      <c r="R962" t="s">
        <v>919</v>
      </c>
      <c r="S962" t="s">
        <v>964</v>
      </c>
      <c r="U962" t="s">
        <v>84</v>
      </c>
      <c r="V962">
        <v>1</v>
      </c>
      <c r="Z962" t="s">
        <v>36</v>
      </c>
    </row>
    <row r="963" spans="1:26" hidden="1" x14ac:dyDescent="0.2">
      <c r="A963" s="3">
        <v>43785</v>
      </c>
      <c r="D963" s="5">
        <v>0.81600694444444444</v>
      </c>
      <c r="E963">
        <v>-76.892006535818496</v>
      </c>
      <c r="F963">
        <v>3.5946518722407599</v>
      </c>
      <c r="G963">
        <v>688</v>
      </c>
      <c r="I963">
        <v>2019</v>
      </c>
      <c r="J963">
        <v>20</v>
      </c>
      <c r="K963">
        <v>15</v>
      </c>
      <c r="M963" t="s">
        <v>30</v>
      </c>
      <c r="O963" t="s">
        <v>32</v>
      </c>
      <c r="P963" t="s">
        <v>33</v>
      </c>
      <c r="R963" t="s">
        <v>919</v>
      </c>
      <c r="S963" t="s">
        <v>964</v>
      </c>
      <c r="U963" t="s">
        <v>84</v>
      </c>
      <c r="V963">
        <v>1</v>
      </c>
      <c r="Y963" t="s">
        <v>1030</v>
      </c>
      <c r="Z963" t="s">
        <v>137</v>
      </c>
    </row>
    <row r="964" spans="1:26" hidden="1" x14ac:dyDescent="0.2">
      <c r="A964" s="3">
        <v>43785</v>
      </c>
      <c r="D964" s="5">
        <v>0.81040509259259264</v>
      </c>
      <c r="E964">
        <v>-76.891661176818502</v>
      </c>
      <c r="F964">
        <v>3.5946991755356601</v>
      </c>
      <c r="G964">
        <v>679</v>
      </c>
      <c r="I964">
        <v>2019</v>
      </c>
      <c r="J964">
        <v>30</v>
      </c>
      <c r="K964">
        <v>20</v>
      </c>
      <c r="M964" t="s">
        <v>30</v>
      </c>
      <c r="O964" t="s">
        <v>32</v>
      </c>
      <c r="P964" t="s">
        <v>33</v>
      </c>
      <c r="R964" t="s">
        <v>919</v>
      </c>
      <c r="S964" t="s">
        <v>945</v>
      </c>
      <c r="U964" t="s">
        <v>36</v>
      </c>
      <c r="V964">
        <v>0</v>
      </c>
      <c r="W964" t="s">
        <v>1110</v>
      </c>
      <c r="Y964" t="s">
        <v>1031</v>
      </c>
      <c r="Z964" t="s">
        <v>137</v>
      </c>
    </row>
    <row r="965" spans="1:26" hidden="1" x14ac:dyDescent="0.2">
      <c r="A965" s="3">
        <v>43785</v>
      </c>
      <c r="D965" s="5">
        <v>0.96459490740740739</v>
      </c>
      <c r="E965">
        <v>-76.888472022805402</v>
      </c>
      <c r="F965">
        <v>3.5978976312301798</v>
      </c>
      <c r="G965">
        <v>533</v>
      </c>
      <c r="I965">
        <v>2019</v>
      </c>
      <c r="J965">
        <v>18</v>
      </c>
      <c r="K965">
        <v>20</v>
      </c>
      <c r="M965" t="s">
        <v>30</v>
      </c>
      <c r="O965" t="s">
        <v>47</v>
      </c>
      <c r="P965" t="s">
        <v>33</v>
      </c>
      <c r="R965" t="s">
        <v>919</v>
      </c>
      <c r="S965" t="s">
        <v>966</v>
      </c>
      <c r="U965" t="s">
        <v>84</v>
      </c>
      <c r="V965">
        <v>1</v>
      </c>
      <c r="Z965" t="s">
        <v>1012</v>
      </c>
    </row>
    <row r="966" spans="1:26" hidden="1" x14ac:dyDescent="0.2">
      <c r="A966" s="3">
        <v>43785</v>
      </c>
      <c r="D966" s="5">
        <v>0.86012731481481486</v>
      </c>
      <c r="E966">
        <v>-76.892348951025397</v>
      </c>
      <c r="F966">
        <v>3.59558408249623</v>
      </c>
      <c r="G966">
        <v>572</v>
      </c>
      <c r="I966">
        <v>2019</v>
      </c>
      <c r="J966">
        <v>20</v>
      </c>
      <c r="K966">
        <v>25</v>
      </c>
      <c r="M966" t="s">
        <v>30</v>
      </c>
      <c r="O966" t="s">
        <v>38</v>
      </c>
      <c r="P966" t="s">
        <v>33</v>
      </c>
      <c r="R966" t="s">
        <v>919</v>
      </c>
      <c r="U966" t="s">
        <v>36</v>
      </c>
      <c r="V966">
        <v>0</v>
      </c>
      <c r="W966" t="s">
        <v>1111</v>
      </c>
      <c r="Z966" t="s">
        <v>36</v>
      </c>
    </row>
    <row r="967" spans="1:26" hidden="1" x14ac:dyDescent="0.2">
      <c r="A967" s="3">
        <v>43785</v>
      </c>
      <c r="D967" s="5">
        <v>0.89516203703703701</v>
      </c>
      <c r="E967">
        <v>-76.892689087803603</v>
      </c>
      <c r="F967">
        <v>3.59568679529667</v>
      </c>
      <c r="G967">
        <v>600</v>
      </c>
      <c r="I967">
        <v>2019</v>
      </c>
      <c r="J967">
        <v>15</v>
      </c>
      <c r="K967">
        <v>10</v>
      </c>
      <c r="M967" t="s">
        <v>30</v>
      </c>
      <c r="O967" t="s">
        <v>38</v>
      </c>
      <c r="P967" t="s">
        <v>33</v>
      </c>
      <c r="R967" t="s">
        <v>921</v>
      </c>
      <c r="S967" t="s">
        <v>945</v>
      </c>
      <c r="U967" t="s">
        <v>84</v>
      </c>
      <c r="V967">
        <v>1</v>
      </c>
      <c r="Z967" t="s">
        <v>36</v>
      </c>
    </row>
    <row r="968" spans="1:26" hidden="1" x14ac:dyDescent="0.2">
      <c r="A968" s="3">
        <v>43785</v>
      </c>
      <c r="D968" s="5">
        <v>0.89516203703703701</v>
      </c>
      <c r="E968">
        <v>-76.892689087803603</v>
      </c>
      <c r="F968">
        <v>3.59568679529667</v>
      </c>
      <c r="G968">
        <v>600</v>
      </c>
      <c r="I968">
        <v>2019</v>
      </c>
      <c r="J968">
        <v>15</v>
      </c>
      <c r="K968">
        <v>15</v>
      </c>
      <c r="M968" t="s">
        <v>30</v>
      </c>
      <c r="O968" t="s">
        <v>38</v>
      </c>
      <c r="P968" t="s">
        <v>33</v>
      </c>
      <c r="R968" t="s">
        <v>921</v>
      </c>
      <c r="U968" t="s">
        <v>36</v>
      </c>
      <c r="V968">
        <v>0</v>
      </c>
      <c r="W968" t="s">
        <v>1112</v>
      </c>
      <c r="Z968" t="s">
        <v>36</v>
      </c>
    </row>
    <row r="969" spans="1:26" hidden="1" x14ac:dyDescent="0.2">
      <c r="A969" s="3">
        <v>43785</v>
      </c>
      <c r="D969" s="5">
        <v>0.82486111111111116</v>
      </c>
      <c r="E969">
        <v>-76.892167443128798</v>
      </c>
      <c r="F969">
        <v>3.5946840833989402</v>
      </c>
      <c r="G969">
        <v>592</v>
      </c>
      <c r="I969">
        <v>2019</v>
      </c>
      <c r="J969">
        <v>20</v>
      </c>
      <c r="K969">
        <v>10</v>
      </c>
      <c r="M969" t="s">
        <v>30</v>
      </c>
      <c r="O969" t="s">
        <v>32</v>
      </c>
      <c r="P969" t="s">
        <v>33</v>
      </c>
      <c r="R969" t="s">
        <v>919</v>
      </c>
      <c r="S969" t="s">
        <v>945</v>
      </c>
      <c r="U969" t="s">
        <v>84</v>
      </c>
      <c r="V969">
        <v>1</v>
      </c>
      <c r="Z969" t="s">
        <v>36</v>
      </c>
    </row>
    <row r="970" spans="1:26" hidden="1" x14ac:dyDescent="0.2">
      <c r="A970" s="3">
        <v>43785</v>
      </c>
      <c r="D970" s="5">
        <v>0.92662037037037037</v>
      </c>
      <c r="E970">
        <v>-76.892710465440402</v>
      </c>
      <c r="F970">
        <v>3.5967803381899301</v>
      </c>
      <c r="G970">
        <v>608</v>
      </c>
      <c r="I970">
        <v>2019</v>
      </c>
      <c r="J970">
        <v>20</v>
      </c>
      <c r="K970">
        <v>18</v>
      </c>
      <c r="M970" t="s">
        <v>30</v>
      </c>
      <c r="O970" t="s">
        <v>40</v>
      </c>
      <c r="P970" t="s">
        <v>33</v>
      </c>
      <c r="R970" t="s">
        <v>919</v>
      </c>
      <c r="U970" t="s">
        <v>36</v>
      </c>
      <c r="V970">
        <v>0</v>
      </c>
      <c r="W970" t="s">
        <v>1113</v>
      </c>
      <c r="Z970" t="s">
        <v>36</v>
      </c>
    </row>
    <row r="971" spans="1:26" hidden="1" x14ac:dyDescent="0.2">
      <c r="A971" s="3">
        <v>43786</v>
      </c>
      <c r="D971" s="5">
        <v>0.85899305555555561</v>
      </c>
      <c r="E971">
        <v>-76.881645768929403</v>
      </c>
      <c r="F971">
        <v>3.5526508881710002</v>
      </c>
      <c r="G971">
        <v>585</v>
      </c>
      <c r="I971">
        <v>2019</v>
      </c>
      <c r="J971">
        <v>8</v>
      </c>
      <c r="K971">
        <v>5</v>
      </c>
      <c r="M971" t="s">
        <v>30</v>
      </c>
      <c r="O971" t="s">
        <v>32</v>
      </c>
      <c r="P971" t="s">
        <v>130</v>
      </c>
      <c r="R971" t="s">
        <v>919</v>
      </c>
      <c r="S971" t="s">
        <v>946</v>
      </c>
      <c r="U971" t="s">
        <v>461</v>
      </c>
      <c r="V971">
        <v>1</v>
      </c>
      <c r="Z971" t="s">
        <v>1012</v>
      </c>
    </row>
    <row r="972" spans="1:26" hidden="1" x14ac:dyDescent="0.2">
      <c r="A972" s="3">
        <v>43786</v>
      </c>
      <c r="D972" s="5">
        <v>0.85899305555555561</v>
      </c>
      <c r="E972">
        <v>-76.881645768929403</v>
      </c>
      <c r="F972">
        <v>3.5526508881710002</v>
      </c>
      <c r="G972">
        <v>580</v>
      </c>
      <c r="I972">
        <v>2019</v>
      </c>
      <c r="J972">
        <v>8</v>
      </c>
      <c r="K972">
        <v>2</v>
      </c>
      <c r="M972" t="s">
        <v>30</v>
      </c>
      <c r="O972" t="s">
        <v>32</v>
      </c>
      <c r="P972" t="s">
        <v>130</v>
      </c>
      <c r="R972" t="s">
        <v>258</v>
      </c>
      <c r="S972" t="s">
        <v>946</v>
      </c>
      <c r="U972" t="s">
        <v>84</v>
      </c>
      <c r="V972">
        <v>1</v>
      </c>
      <c r="Z972" t="s">
        <v>1012</v>
      </c>
    </row>
    <row r="973" spans="1:26" hidden="1" x14ac:dyDescent="0.2">
      <c r="A973" s="3">
        <v>43786</v>
      </c>
      <c r="D973" s="5">
        <v>0.87048611111111107</v>
      </c>
      <c r="E973">
        <v>-76.882256838465807</v>
      </c>
      <c r="F973">
        <v>3.5525244507917799</v>
      </c>
      <c r="G973">
        <v>581</v>
      </c>
      <c r="I973">
        <v>2019</v>
      </c>
      <c r="J973">
        <v>15</v>
      </c>
      <c r="K973">
        <v>6</v>
      </c>
      <c r="M973" t="s">
        <v>30</v>
      </c>
      <c r="O973" t="s">
        <v>38</v>
      </c>
      <c r="P973" t="s">
        <v>130</v>
      </c>
      <c r="R973" t="s">
        <v>919</v>
      </c>
      <c r="U973" t="s">
        <v>36</v>
      </c>
      <c r="V973">
        <v>0</v>
      </c>
      <c r="W973" t="s">
        <v>1088</v>
      </c>
      <c r="Z973" t="s">
        <v>1012</v>
      </c>
    </row>
    <row r="974" spans="1:26" hidden="1" x14ac:dyDescent="0.2">
      <c r="A974" s="3">
        <v>43786</v>
      </c>
      <c r="D974" s="5">
        <v>0.87048611111111107</v>
      </c>
      <c r="E974">
        <v>-76.882256838465807</v>
      </c>
      <c r="F974">
        <v>3.5525244507917799</v>
      </c>
      <c r="G974">
        <v>581</v>
      </c>
      <c r="I974">
        <v>2019</v>
      </c>
      <c r="J974">
        <v>7</v>
      </c>
      <c r="K974">
        <v>6</v>
      </c>
      <c r="M974" t="s">
        <v>30</v>
      </c>
      <c r="O974" t="s">
        <v>38</v>
      </c>
      <c r="P974" t="s">
        <v>130</v>
      </c>
      <c r="R974" t="s">
        <v>919</v>
      </c>
      <c r="S974" t="s">
        <v>945</v>
      </c>
      <c r="U974" t="s">
        <v>935</v>
      </c>
      <c r="V974">
        <v>1</v>
      </c>
      <c r="Z974" t="s">
        <v>36</v>
      </c>
    </row>
    <row r="975" spans="1:26" hidden="1" x14ac:dyDescent="0.2">
      <c r="A975" s="3">
        <v>43786</v>
      </c>
      <c r="D975" s="5">
        <v>0.91417824074074072</v>
      </c>
      <c r="E975">
        <v>-76.883289490816907</v>
      </c>
      <c r="F975">
        <v>3.5524213771414699</v>
      </c>
      <c r="G975">
        <v>560</v>
      </c>
      <c r="I975">
        <v>2019</v>
      </c>
      <c r="J975">
        <v>18</v>
      </c>
      <c r="K975">
        <v>8</v>
      </c>
      <c r="M975" t="s">
        <v>30</v>
      </c>
      <c r="O975" t="s">
        <v>40</v>
      </c>
      <c r="P975" t="s">
        <v>130</v>
      </c>
      <c r="R975" t="s">
        <v>919</v>
      </c>
      <c r="S975" t="s">
        <v>945</v>
      </c>
      <c r="U975" t="s">
        <v>84</v>
      </c>
      <c r="V975">
        <v>1</v>
      </c>
      <c r="Z975" t="s">
        <v>1012</v>
      </c>
    </row>
    <row r="976" spans="1:26" hidden="1" x14ac:dyDescent="0.2">
      <c r="A976" s="3">
        <v>43786</v>
      </c>
      <c r="D976" s="5">
        <v>0.8193287037037037</v>
      </c>
      <c r="E976">
        <v>-76.880791189042299</v>
      </c>
      <c r="F976">
        <v>3.5526555742686399</v>
      </c>
      <c r="G976">
        <v>552</v>
      </c>
      <c r="I976">
        <v>2019</v>
      </c>
      <c r="K976">
        <v>15</v>
      </c>
      <c r="M976" t="s">
        <v>30</v>
      </c>
      <c r="O976" t="s">
        <v>32</v>
      </c>
      <c r="P976" t="s">
        <v>130</v>
      </c>
      <c r="R976" t="s">
        <v>258</v>
      </c>
      <c r="U976" t="s">
        <v>75</v>
      </c>
      <c r="V976">
        <v>2</v>
      </c>
      <c r="Z976" t="s">
        <v>1012</v>
      </c>
    </row>
    <row r="977" spans="1:26" hidden="1" x14ac:dyDescent="0.2">
      <c r="A977" s="3">
        <v>43786</v>
      </c>
      <c r="D977" s="5">
        <v>0.84482638888888884</v>
      </c>
      <c r="E977">
        <v>-76.881317640927705</v>
      </c>
      <c r="F977">
        <v>3.5526062942963201</v>
      </c>
      <c r="G977">
        <v>580</v>
      </c>
      <c r="I977">
        <v>2019</v>
      </c>
      <c r="J977">
        <v>1</v>
      </c>
      <c r="K977">
        <v>18</v>
      </c>
      <c r="M977" t="s">
        <v>30</v>
      </c>
      <c r="O977" t="s">
        <v>32</v>
      </c>
      <c r="P977" t="s">
        <v>130</v>
      </c>
      <c r="R977" t="s">
        <v>258</v>
      </c>
      <c r="S977" t="s">
        <v>945</v>
      </c>
      <c r="U977" t="s">
        <v>935</v>
      </c>
      <c r="V977">
        <v>1</v>
      </c>
      <c r="Z977" t="s">
        <v>1012</v>
      </c>
    </row>
    <row r="978" spans="1:26" hidden="1" x14ac:dyDescent="0.2">
      <c r="A978" s="3">
        <v>43786</v>
      </c>
      <c r="D978" s="5">
        <v>0.92814814814814817</v>
      </c>
      <c r="E978">
        <v>-76.882610023833294</v>
      </c>
      <c r="F978">
        <v>3.55251629278091</v>
      </c>
      <c r="G978">
        <v>565</v>
      </c>
      <c r="H978">
        <v>2.5</v>
      </c>
      <c r="I978">
        <v>2019</v>
      </c>
      <c r="J978">
        <v>15</v>
      </c>
      <c r="K978">
        <v>5</v>
      </c>
      <c r="M978" t="s">
        <v>30</v>
      </c>
      <c r="O978" t="s">
        <v>47</v>
      </c>
      <c r="P978" t="s">
        <v>130</v>
      </c>
      <c r="R978" t="s">
        <v>919</v>
      </c>
      <c r="S978" t="s">
        <v>945</v>
      </c>
      <c r="U978" t="s">
        <v>84</v>
      </c>
      <c r="V978">
        <v>1</v>
      </c>
      <c r="Y978" t="s">
        <v>1032</v>
      </c>
      <c r="Z978" t="s">
        <v>137</v>
      </c>
    </row>
    <row r="979" spans="1:26" hidden="1" x14ac:dyDescent="0.2">
      <c r="A979" s="3">
        <v>43786</v>
      </c>
      <c r="D979" s="5">
        <v>0.91714120370370367</v>
      </c>
      <c r="E979">
        <v>-76.883269666417405</v>
      </c>
      <c r="F979">
        <v>3.55243462243264</v>
      </c>
      <c r="G979">
        <v>560</v>
      </c>
      <c r="I979">
        <v>2019</v>
      </c>
      <c r="J979">
        <v>12</v>
      </c>
      <c r="K979">
        <v>12</v>
      </c>
      <c r="M979" t="s">
        <v>30</v>
      </c>
      <c r="O979" t="s">
        <v>40</v>
      </c>
      <c r="P979" t="s">
        <v>130</v>
      </c>
      <c r="R979" t="s">
        <v>919</v>
      </c>
      <c r="S979" t="s">
        <v>946</v>
      </c>
      <c r="U979" t="s">
        <v>112</v>
      </c>
      <c r="V979">
        <v>1</v>
      </c>
      <c r="Z979" t="s">
        <v>1012</v>
      </c>
    </row>
    <row r="980" spans="1:26" hidden="1" x14ac:dyDescent="0.2">
      <c r="A980" s="3">
        <v>43786</v>
      </c>
      <c r="D980" s="5">
        <v>0.91714120370370367</v>
      </c>
      <c r="E980">
        <v>-76.883269666417405</v>
      </c>
      <c r="F980">
        <v>3.55243462243264</v>
      </c>
      <c r="G980">
        <v>500</v>
      </c>
      <c r="I980">
        <v>2019</v>
      </c>
      <c r="J980">
        <v>15</v>
      </c>
      <c r="K980">
        <v>8</v>
      </c>
      <c r="M980" t="s">
        <v>30</v>
      </c>
      <c r="O980" t="s">
        <v>40</v>
      </c>
      <c r="P980" t="s">
        <v>130</v>
      </c>
      <c r="R980" t="s">
        <v>919</v>
      </c>
      <c r="U980" t="s">
        <v>36</v>
      </c>
      <c r="V980">
        <v>0</v>
      </c>
      <c r="W980" t="s">
        <v>1114</v>
      </c>
      <c r="Z980" t="s">
        <v>1012</v>
      </c>
    </row>
    <row r="981" spans="1:26" hidden="1" x14ac:dyDescent="0.2">
      <c r="A981" s="3">
        <v>43786</v>
      </c>
      <c r="D981" s="5">
        <v>0.80774305555555559</v>
      </c>
      <c r="E981">
        <v>-76.880703702932394</v>
      </c>
      <c r="F981">
        <v>3.55267579988032</v>
      </c>
      <c r="G981">
        <v>565</v>
      </c>
      <c r="I981">
        <v>2019</v>
      </c>
      <c r="K981">
        <v>15</v>
      </c>
      <c r="M981" t="s">
        <v>30</v>
      </c>
      <c r="O981" t="s">
        <v>32</v>
      </c>
      <c r="P981" t="s">
        <v>130</v>
      </c>
      <c r="R981" t="s">
        <v>258</v>
      </c>
      <c r="U981" t="s">
        <v>36</v>
      </c>
      <c r="V981">
        <v>0</v>
      </c>
      <c r="W981" t="s">
        <v>1115</v>
      </c>
      <c r="Z981" t="s">
        <v>1012</v>
      </c>
    </row>
    <row r="982" spans="1:26" hidden="1" x14ac:dyDescent="0.2">
      <c r="A982" s="3">
        <v>43786</v>
      </c>
      <c r="D982" s="5">
        <v>0.89982638888888888</v>
      </c>
      <c r="E982">
        <v>-76.882779868700595</v>
      </c>
      <c r="F982">
        <v>3.5525313824220701</v>
      </c>
      <c r="G982">
        <v>581</v>
      </c>
      <c r="I982">
        <v>2019</v>
      </c>
      <c r="J982">
        <v>8</v>
      </c>
      <c r="K982">
        <v>10</v>
      </c>
      <c r="M982" t="s">
        <v>30</v>
      </c>
      <c r="O982" t="s">
        <v>40</v>
      </c>
      <c r="P982" t="s">
        <v>130</v>
      </c>
      <c r="R982" t="s">
        <v>919</v>
      </c>
      <c r="S982" t="s">
        <v>959</v>
      </c>
      <c r="U982" t="s">
        <v>178</v>
      </c>
      <c r="V982">
        <v>2</v>
      </c>
      <c r="Z982" t="s">
        <v>36</v>
      </c>
    </row>
    <row r="983" spans="1:26" hidden="1" x14ac:dyDescent="0.2">
      <c r="A983" s="3">
        <v>43786</v>
      </c>
      <c r="D983" s="5">
        <v>0.92341435185185183</v>
      </c>
      <c r="E983">
        <v>-76.882621345426898</v>
      </c>
      <c r="F983">
        <v>3.5524611044016399</v>
      </c>
      <c r="G983">
        <v>565</v>
      </c>
      <c r="H983">
        <v>2.5</v>
      </c>
      <c r="I983">
        <v>2019</v>
      </c>
      <c r="J983">
        <v>10</v>
      </c>
      <c r="K983">
        <v>15</v>
      </c>
      <c r="M983" t="s">
        <v>30</v>
      </c>
      <c r="O983" t="s">
        <v>47</v>
      </c>
      <c r="P983" t="s">
        <v>130</v>
      </c>
      <c r="R983" t="s">
        <v>919</v>
      </c>
      <c r="U983" t="s">
        <v>36</v>
      </c>
      <c r="V983">
        <v>0</v>
      </c>
      <c r="W983" t="s">
        <v>1116</v>
      </c>
      <c r="Y983" t="s">
        <v>1033</v>
      </c>
      <c r="Z983" t="s">
        <v>137</v>
      </c>
    </row>
    <row r="984" spans="1:26" hidden="1" x14ac:dyDescent="0.2">
      <c r="A984" s="3">
        <v>43786</v>
      </c>
      <c r="D984" s="5">
        <v>0.89144675925925931</v>
      </c>
      <c r="E984">
        <v>-76.882760590425903</v>
      </c>
      <c r="F984">
        <v>3.5524327547828598</v>
      </c>
      <c r="G984">
        <v>575</v>
      </c>
      <c r="I984">
        <v>2019</v>
      </c>
      <c r="J984">
        <v>12</v>
      </c>
      <c r="K984">
        <v>10</v>
      </c>
      <c r="M984" t="s">
        <v>30</v>
      </c>
      <c r="O984" t="s">
        <v>40</v>
      </c>
      <c r="P984" t="s">
        <v>130</v>
      </c>
      <c r="R984" t="s">
        <v>919</v>
      </c>
      <c r="S984" t="s">
        <v>945</v>
      </c>
      <c r="U984" t="s">
        <v>112</v>
      </c>
      <c r="V984">
        <v>1</v>
      </c>
      <c r="Z984" t="s">
        <v>36</v>
      </c>
    </row>
    <row r="985" spans="1:26" hidden="1" x14ac:dyDescent="0.2">
      <c r="A985" s="3">
        <v>43786</v>
      </c>
      <c r="D985" s="5">
        <v>0.89144675925925931</v>
      </c>
      <c r="E985">
        <v>-76.882760590425903</v>
      </c>
      <c r="F985">
        <v>3.5524327547828598</v>
      </c>
      <c r="G985">
        <v>570</v>
      </c>
      <c r="I985">
        <v>2019</v>
      </c>
      <c r="J985">
        <v>12</v>
      </c>
      <c r="K985">
        <v>10</v>
      </c>
      <c r="M985" t="s">
        <v>30</v>
      </c>
      <c r="O985" t="s">
        <v>40</v>
      </c>
      <c r="P985" t="s">
        <v>130</v>
      </c>
      <c r="R985" t="s">
        <v>919</v>
      </c>
      <c r="S985" t="s">
        <v>946</v>
      </c>
      <c r="U985" t="s">
        <v>939</v>
      </c>
      <c r="V985">
        <v>1</v>
      </c>
      <c r="Z985" t="s">
        <v>36</v>
      </c>
    </row>
    <row r="986" spans="1:26" hidden="1" x14ac:dyDescent="0.2">
      <c r="A986" s="3">
        <v>43786</v>
      </c>
      <c r="D986" s="5">
        <v>0.83114583333333336</v>
      </c>
      <c r="E986">
        <v>-76.881091673093493</v>
      </c>
      <c r="F986">
        <v>3.5526778474979701</v>
      </c>
      <c r="G986">
        <v>565</v>
      </c>
      <c r="I986">
        <v>2019</v>
      </c>
      <c r="J986">
        <v>1</v>
      </c>
      <c r="K986">
        <v>18</v>
      </c>
      <c r="M986" t="s">
        <v>30</v>
      </c>
      <c r="O986" t="s">
        <v>32</v>
      </c>
      <c r="P986" t="s">
        <v>130</v>
      </c>
      <c r="R986" t="s">
        <v>258</v>
      </c>
      <c r="S986" t="s">
        <v>946</v>
      </c>
      <c r="U986" t="s">
        <v>84</v>
      </c>
      <c r="V986">
        <v>1</v>
      </c>
      <c r="Z986" t="s">
        <v>1012</v>
      </c>
    </row>
    <row r="987" spans="1:26" hidden="1" x14ac:dyDescent="0.2">
      <c r="A987" s="3">
        <v>43786</v>
      </c>
      <c r="D987" s="5">
        <v>0.83114583333333336</v>
      </c>
      <c r="E987">
        <v>-76.881091673093493</v>
      </c>
      <c r="F987">
        <v>3.5526778474979701</v>
      </c>
      <c r="G987">
        <v>565</v>
      </c>
      <c r="I987">
        <v>2019</v>
      </c>
      <c r="J987">
        <v>1</v>
      </c>
      <c r="K987">
        <v>18</v>
      </c>
      <c r="M987" t="s">
        <v>30</v>
      </c>
      <c r="O987" t="s">
        <v>32</v>
      </c>
      <c r="P987" t="s">
        <v>130</v>
      </c>
      <c r="R987" t="s">
        <v>258</v>
      </c>
      <c r="S987" t="s">
        <v>945</v>
      </c>
      <c r="U987" t="s">
        <v>461</v>
      </c>
      <c r="V987">
        <v>1</v>
      </c>
      <c r="Z987" t="s">
        <v>1012</v>
      </c>
    </row>
    <row r="988" spans="1:26" hidden="1" x14ac:dyDescent="0.2">
      <c r="A988" s="3">
        <v>43786</v>
      </c>
      <c r="D988" s="5">
        <v>0.90128472222222222</v>
      </c>
      <c r="E988">
        <v>-76.882915233960105</v>
      </c>
      <c r="F988">
        <v>3.5524283124302301</v>
      </c>
      <c r="G988">
        <v>581</v>
      </c>
      <c r="I988">
        <v>2019</v>
      </c>
      <c r="J988">
        <v>12</v>
      </c>
      <c r="K988">
        <v>10</v>
      </c>
      <c r="M988" t="s">
        <v>30</v>
      </c>
      <c r="O988" t="s">
        <v>40</v>
      </c>
      <c r="P988" t="s">
        <v>130</v>
      </c>
      <c r="R988" t="s">
        <v>919</v>
      </c>
      <c r="S988" t="s">
        <v>959</v>
      </c>
      <c r="U988" t="s">
        <v>205</v>
      </c>
      <c r="V988">
        <v>1</v>
      </c>
      <c r="Z988" t="s">
        <v>36</v>
      </c>
    </row>
    <row r="989" spans="1:26" hidden="1" x14ac:dyDescent="0.2">
      <c r="A989" s="3">
        <v>43786</v>
      </c>
      <c r="D989" s="5">
        <v>0.90128472222222222</v>
      </c>
      <c r="E989">
        <v>-76.882915233960105</v>
      </c>
      <c r="F989">
        <v>3.5524283124302301</v>
      </c>
      <c r="G989">
        <v>565</v>
      </c>
      <c r="I989">
        <v>2019</v>
      </c>
      <c r="J989">
        <v>12</v>
      </c>
      <c r="K989">
        <v>8</v>
      </c>
      <c r="M989" t="s">
        <v>30</v>
      </c>
      <c r="O989" t="s">
        <v>40</v>
      </c>
      <c r="P989" t="s">
        <v>130</v>
      </c>
      <c r="R989" t="s">
        <v>919</v>
      </c>
      <c r="S989" t="s">
        <v>945</v>
      </c>
      <c r="U989" t="s">
        <v>935</v>
      </c>
      <c r="V989">
        <v>1</v>
      </c>
      <c r="Z989" t="s">
        <v>1012</v>
      </c>
    </row>
    <row r="990" spans="1:26" hidden="1" x14ac:dyDescent="0.2">
      <c r="A990" s="3">
        <v>43786</v>
      </c>
      <c r="D990" s="5">
        <v>0.85218749999999999</v>
      </c>
      <c r="E990">
        <v>-76.881507416679696</v>
      </c>
      <c r="F990">
        <v>3.5526311348055999</v>
      </c>
      <c r="G990">
        <v>585</v>
      </c>
      <c r="I990">
        <v>2019</v>
      </c>
      <c r="J990">
        <v>1</v>
      </c>
      <c r="K990">
        <v>18</v>
      </c>
      <c r="M990" t="s">
        <v>30</v>
      </c>
      <c r="O990" t="s">
        <v>32</v>
      </c>
      <c r="P990" t="s">
        <v>130</v>
      </c>
      <c r="R990" t="s">
        <v>258</v>
      </c>
      <c r="S990" t="s">
        <v>966</v>
      </c>
      <c r="U990" t="s">
        <v>84</v>
      </c>
      <c r="V990">
        <v>1</v>
      </c>
      <c r="Z990" t="s">
        <v>1012</v>
      </c>
    </row>
    <row r="991" spans="1:26" hidden="1" x14ac:dyDescent="0.2">
      <c r="A991" s="3">
        <v>43786</v>
      </c>
      <c r="D991" s="5">
        <v>0.85218749999999999</v>
      </c>
      <c r="E991">
        <v>-76.881507416679696</v>
      </c>
      <c r="F991">
        <v>3.5526311348055999</v>
      </c>
      <c r="G991">
        <v>580</v>
      </c>
      <c r="I991">
        <v>2019</v>
      </c>
      <c r="J991">
        <v>1</v>
      </c>
      <c r="K991">
        <v>12</v>
      </c>
      <c r="M991" t="s">
        <v>30</v>
      </c>
      <c r="O991" t="s">
        <v>32</v>
      </c>
      <c r="P991" t="s">
        <v>130</v>
      </c>
      <c r="R991" t="s">
        <v>258</v>
      </c>
      <c r="S991" t="s">
        <v>946</v>
      </c>
      <c r="U991" t="s">
        <v>84</v>
      </c>
      <c r="V991">
        <v>1</v>
      </c>
      <c r="Z991" t="s">
        <v>1012</v>
      </c>
    </row>
    <row r="992" spans="1:26" hidden="1" x14ac:dyDescent="0.2">
      <c r="A992" s="3">
        <v>43786</v>
      </c>
      <c r="D992" s="5">
        <v>0.94343750000000004</v>
      </c>
      <c r="E992">
        <v>-76.882261583067603</v>
      </c>
      <c r="F992">
        <v>3.5528232640162298</v>
      </c>
      <c r="G992">
        <v>570</v>
      </c>
      <c r="H992">
        <v>3</v>
      </c>
      <c r="I992">
        <v>2019</v>
      </c>
      <c r="J992">
        <v>15</v>
      </c>
      <c r="K992">
        <v>12</v>
      </c>
      <c r="M992" t="s">
        <v>30</v>
      </c>
      <c r="O992" t="s">
        <v>47</v>
      </c>
      <c r="P992" t="s">
        <v>130</v>
      </c>
      <c r="R992" t="s">
        <v>919</v>
      </c>
      <c r="S992" t="s">
        <v>946</v>
      </c>
      <c r="U992" t="s">
        <v>224</v>
      </c>
      <c r="V992">
        <v>1</v>
      </c>
      <c r="Y992" t="s">
        <v>1032</v>
      </c>
      <c r="Z992" t="s">
        <v>137</v>
      </c>
    </row>
    <row r="993" spans="1:26" hidden="1" x14ac:dyDescent="0.2">
      <c r="A993" s="3">
        <v>43786</v>
      </c>
      <c r="D993" s="5">
        <v>0.81223379629629633</v>
      </c>
      <c r="E993">
        <v>-76.880874880163304</v>
      </c>
      <c r="F993">
        <v>3.5526497028399802</v>
      </c>
      <c r="G993">
        <v>570</v>
      </c>
      <c r="I993">
        <v>2019</v>
      </c>
      <c r="K993">
        <v>15</v>
      </c>
      <c r="M993" t="s">
        <v>30</v>
      </c>
      <c r="O993" t="s">
        <v>32</v>
      </c>
      <c r="P993" t="s">
        <v>130</v>
      </c>
      <c r="R993" t="s">
        <v>258</v>
      </c>
      <c r="U993" t="s">
        <v>84</v>
      </c>
      <c r="V993">
        <v>1</v>
      </c>
      <c r="Z993" t="s">
        <v>1012</v>
      </c>
    </row>
    <row r="994" spans="1:26" hidden="1" x14ac:dyDescent="0.2">
      <c r="A994" s="3">
        <v>43786</v>
      </c>
      <c r="D994" s="5">
        <v>0.86300925925925931</v>
      </c>
      <c r="E994">
        <v>-76.881680507141596</v>
      </c>
      <c r="F994">
        <v>3.5525017664355101</v>
      </c>
      <c r="G994">
        <v>585</v>
      </c>
      <c r="I994">
        <v>2019</v>
      </c>
      <c r="J994">
        <v>8</v>
      </c>
      <c r="K994">
        <v>5</v>
      </c>
      <c r="M994" t="s">
        <v>30</v>
      </c>
      <c r="O994" t="s">
        <v>32</v>
      </c>
      <c r="P994" t="s">
        <v>130</v>
      </c>
      <c r="R994" t="s">
        <v>919</v>
      </c>
      <c r="U994" t="s">
        <v>36</v>
      </c>
      <c r="V994">
        <v>0</v>
      </c>
      <c r="Z994" t="s">
        <v>1012</v>
      </c>
    </row>
    <row r="995" spans="1:26" hidden="1" x14ac:dyDescent="0.2">
      <c r="A995" s="3">
        <v>43786</v>
      </c>
      <c r="D995" s="5">
        <v>0.86300925925925931</v>
      </c>
      <c r="E995">
        <v>-76.881680507141596</v>
      </c>
      <c r="F995">
        <v>3.5525017664355101</v>
      </c>
      <c r="G995">
        <v>580</v>
      </c>
      <c r="I995">
        <v>2019</v>
      </c>
      <c r="J995">
        <v>8</v>
      </c>
      <c r="K995">
        <v>6</v>
      </c>
      <c r="M995" t="s">
        <v>30</v>
      </c>
      <c r="O995" t="s">
        <v>32</v>
      </c>
      <c r="P995" t="s">
        <v>130</v>
      </c>
      <c r="R995" t="s">
        <v>919</v>
      </c>
      <c r="S995" t="s">
        <v>971</v>
      </c>
      <c r="U995" t="s">
        <v>461</v>
      </c>
      <c r="V995">
        <v>1</v>
      </c>
      <c r="Z995" t="s">
        <v>1012</v>
      </c>
    </row>
    <row r="996" spans="1:26" hidden="1" x14ac:dyDescent="0.2">
      <c r="A996" s="3">
        <v>43786</v>
      </c>
      <c r="D996" s="5">
        <v>0.9477430555555556</v>
      </c>
      <c r="E996">
        <v>-76.882620271102994</v>
      </c>
      <c r="F996">
        <v>3.5526790492210001</v>
      </c>
      <c r="G996">
        <v>556</v>
      </c>
      <c r="H996">
        <v>3</v>
      </c>
      <c r="I996">
        <v>2019</v>
      </c>
      <c r="J996">
        <v>12</v>
      </c>
      <c r="K996">
        <v>12</v>
      </c>
      <c r="M996" t="s">
        <v>30</v>
      </c>
      <c r="O996" t="s">
        <v>47</v>
      </c>
      <c r="P996" t="s">
        <v>130</v>
      </c>
      <c r="R996" t="s">
        <v>919</v>
      </c>
      <c r="S996" t="s">
        <v>977</v>
      </c>
      <c r="U996" t="s">
        <v>112</v>
      </c>
      <c r="V996">
        <v>1</v>
      </c>
      <c r="W996" t="s">
        <v>1117</v>
      </c>
      <c r="Y996" t="s">
        <v>1032</v>
      </c>
      <c r="Z996" t="s">
        <v>137</v>
      </c>
    </row>
    <row r="997" spans="1:26" hidden="1" x14ac:dyDescent="0.2">
      <c r="A997" s="3">
        <v>43786</v>
      </c>
      <c r="D997" s="5">
        <v>0.83546296296296296</v>
      </c>
      <c r="E997">
        <v>-76.881134582841099</v>
      </c>
      <c r="F997">
        <v>3.5526278778089502</v>
      </c>
      <c r="G997">
        <v>565</v>
      </c>
      <c r="I997">
        <v>2019</v>
      </c>
      <c r="J997">
        <v>1</v>
      </c>
      <c r="K997">
        <v>18</v>
      </c>
      <c r="M997" t="s">
        <v>30</v>
      </c>
      <c r="O997" t="s">
        <v>32</v>
      </c>
      <c r="P997" t="s">
        <v>130</v>
      </c>
      <c r="R997" t="s">
        <v>258</v>
      </c>
      <c r="S997" t="s">
        <v>959</v>
      </c>
      <c r="U997" t="s">
        <v>71</v>
      </c>
      <c r="V997">
        <v>1</v>
      </c>
      <c r="Z997" t="s">
        <v>1012</v>
      </c>
    </row>
    <row r="998" spans="1:26" hidden="1" x14ac:dyDescent="0.2">
      <c r="A998" s="3">
        <v>43786</v>
      </c>
      <c r="D998" s="5">
        <v>0.8781944444444445</v>
      </c>
      <c r="E998">
        <v>-76.882378469108801</v>
      </c>
      <c r="F998">
        <v>3.5523996647560701</v>
      </c>
      <c r="G998">
        <v>585</v>
      </c>
      <c r="I998">
        <v>2019</v>
      </c>
      <c r="J998">
        <v>7</v>
      </c>
      <c r="K998">
        <v>8</v>
      </c>
      <c r="M998" t="s">
        <v>30</v>
      </c>
      <c r="O998" t="s">
        <v>38</v>
      </c>
      <c r="P998" t="s">
        <v>130</v>
      </c>
      <c r="R998" t="s">
        <v>919</v>
      </c>
      <c r="S998" t="s">
        <v>945</v>
      </c>
      <c r="U998" t="s">
        <v>178</v>
      </c>
      <c r="V998">
        <v>1</v>
      </c>
      <c r="Z998" t="s">
        <v>1012</v>
      </c>
    </row>
    <row r="999" spans="1:26" hidden="1" x14ac:dyDescent="0.2">
      <c r="A999" s="3">
        <v>43787</v>
      </c>
      <c r="D999" s="5">
        <v>0.41093750000000001</v>
      </c>
      <c r="E999">
        <v>-76.889601655294399</v>
      </c>
      <c r="F999">
        <v>3.5507361681913499</v>
      </c>
      <c r="G999">
        <v>660</v>
      </c>
      <c r="I999">
        <v>2019</v>
      </c>
      <c r="J999">
        <v>8</v>
      </c>
      <c r="K999">
        <v>10</v>
      </c>
      <c r="M999" t="s">
        <v>30</v>
      </c>
      <c r="O999" t="s">
        <v>38</v>
      </c>
      <c r="P999" t="s">
        <v>119</v>
      </c>
      <c r="R999" t="s">
        <v>919</v>
      </c>
      <c r="S999" t="s">
        <v>978</v>
      </c>
      <c r="U999" t="s">
        <v>274</v>
      </c>
      <c r="V999">
        <v>1</v>
      </c>
      <c r="Z999" t="s">
        <v>1012</v>
      </c>
    </row>
    <row r="1000" spans="1:26" hidden="1" x14ac:dyDescent="0.2">
      <c r="A1000" s="3">
        <v>43787</v>
      </c>
      <c r="D1000" s="5">
        <v>0.44442129629629629</v>
      </c>
      <c r="E1000">
        <v>-76.887786900640407</v>
      </c>
      <c r="F1000">
        <v>3.5511047028805001</v>
      </c>
      <c r="G1000">
        <v>650</v>
      </c>
      <c r="I1000">
        <v>2019</v>
      </c>
      <c r="J1000">
        <v>9</v>
      </c>
      <c r="K1000">
        <v>12</v>
      </c>
      <c r="M1000" t="s">
        <v>30</v>
      </c>
      <c r="O1000" t="s">
        <v>40</v>
      </c>
      <c r="P1000" t="s">
        <v>119</v>
      </c>
      <c r="R1000" t="s">
        <v>919</v>
      </c>
      <c r="U1000" t="s">
        <v>36</v>
      </c>
      <c r="V1000">
        <v>0</v>
      </c>
      <c r="W1000" t="s">
        <v>1118</v>
      </c>
      <c r="Z1000" t="s">
        <v>1012</v>
      </c>
    </row>
    <row r="1001" spans="1:26" hidden="1" x14ac:dyDescent="0.2">
      <c r="A1001" s="3">
        <v>43787</v>
      </c>
      <c r="D1001" s="5">
        <v>0.41487268518518516</v>
      </c>
      <c r="E1001">
        <v>-76.889490891773903</v>
      </c>
      <c r="F1001">
        <v>3.5507419992003602</v>
      </c>
      <c r="G1001">
        <v>660</v>
      </c>
      <c r="I1001">
        <v>2019</v>
      </c>
      <c r="K1001">
        <v>5</v>
      </c>
      <c r="M1001" t="s">
        <v>30</v>
      </c>
      <c r="O1001" t="s">
        <v>38</v>
      </c>
      <c r="P1001" t="s">
        <v>119</v>
      </c>
      <c r="R1001" t="s">
        <v>919</v>
      </c>
      <c r="S1001" t="s">
        <v>945</v>
      </c>
      <c r="U1001" t="s">
        <v>84</v>
      </c>
      <c r="V1001">
        <v>1</v>
      </c>
      <c r="Z1001" t="s">
        <v>1012</v>
      </c>
    </row>
    <row r="1002" spans="1:26" hidden="1" x14ac:dyDescent="0.2">
      <c r="A1002" s="3">
        <v>43787</v>
      </c>
      <c r="D1002" s="5">
        <v>0.41487268518518516</v>
      </c>
      <c r="E1002">
        <v>-76.889490891773903</v>
      </c>
      <c r="F1002">
        <v>3.5507419992003602</v>
      </c>
      <c r="G1002">
        <v>600</v>
      </c>
      <c r="I1002">
        <v>2019</v>
      </c>
      <c r="K1002">
        <v>10</v>
      </c>
      <c r="M1002" t="s">
        <v>30</v>
      </c>
      <c r="O1002" t="s">
        <v>38</v>
      </c>
      <c r="P1002" t="s">
        <v>119</v>
      </c>
      <c r="R1002" t="s">
        <v>919</v>
      </c>
      <c r="S1002" t="s">
        <v>979</v>
      </c>
      <c r="U1002" t="s">
        <v>112</v>
      </c>
      <c r="V1002">
        <v>1</v>
      </c>
      <c r="Z1002" t="s">
        <v>1012</v>
      </c>
    </row>
    <row r="1003" spans="1:26" hidden="1" x14ac:dyDescent="0.2">
      <c r="A1003" s="3">
        <v>43787</v>
      </c>
      <c r="D1003" s="5">
        <v>0.40168981481481481</v>
      </c>
      <c r="E1003">
        <v>-76.8900243905926</v>
      </c>
      <c r="F1003">
        <v>3.5508641879980698</v>
      </c>
      <c r="G1003">
        <v>665</v>
      </c>
      <c r="I1003">
        <v>2019</v>
      </c>
      <c r="J1003">
        <v>8</v>
      </c>
      <c r="K1003">
        <v>10</v>
      </c>
      <c r="M1003" t="s">
        <v>30</v>
      </c>
      <c r="O1003" t="s">
        <v>38</v>
      </c>
      <c r="P1003" t="s">
        <v>119</v>
      </c>
      <c r="R1003" t="s">
        <v>919</v>
      </c>
      <c r="S1003" t="s">
        <v>980</v>
      </c>
      <c r="U1003" t="s">
        <v>112</v>
      </c>
      <c r="V1003">
        <v>8</v>
      </c>
      <c r="W1003" t="s">
        <v>1091</v>
      </c>
      <c r="Z1003" t="s">
        <v>1012</v>
      </c>
    </row>
    <row r="1004" spans="1:26" hidden="1" x14ac:dyDescent="0.2">
      <c r="A1004" s="3">
        <v>43787</v>
      </c>
      <c r="D1004" s="5">
        <v>0.40168981481481481</v>
      </c>
      <c r="E1004">
        <v>-76.8900243905926</v>
      </c>
      <c r="F1004">
        <v>3.5508641879980698</v>
      </c>
      <c r="G1004">
        <v>665</v>
      </c>
      <c r="I1004">
        <v>2019</v>
      </c>
      <c r="J1004">
        <v>8</v>
      </c>
      <c r="K1004">
        <v>10</v>
      </c>
      <c r="M1004" t="s">
        <v>30</v>
      </c>
      <c r="O1004" t="s">
        <v>38</v>
      </c>
      <c r="P1004" t="s">
        <v>119</v>
      </c>
      <c r="R1004" t="s">
        <v>919</v>
      </c>
      <c r="S1004" t="s">
        <v>978</v>
      </c>
      <c r="U1004" t="s">
        <v>84</v>
      </c>
      <c r="V1004">
        <v>1</v>
      </c>
      <c r="Z1004" t="s">
        <v>1012</v>
      </c>
    </row>
    <row r="1005" spans="1:26" hidden="1" x14ac:dyDescent="0.2">
      <c r="A1005" s="3">
        <v>43787</v>
      </c>
      <c r="D1005" s="5">
        <v>0.42560185185185184</v>
      </c>
      <c r="E1005">
        <v>-76.888748626961004</v>
      </c>
      <c r="F1005">
        <v>3.5505577125952001</v>
      </c>
      <c r="G1005">
        <v>600</v>
      </c>
      <c r="I1005">
        <v>2019</v>
      </c>
      <c r="J1005">
        <v>10</v>
      </c>
      <c r="K1005">
        <v>15</v>
      </c>
      <c r="M1005" t="s">
        <v>30</v>
      </c>
      <c r="O1005" t="s">
        <v>40</v>
      </c>
      <c r="P1005" t="s">
        <v>119</v>
      </c>
      <c r="R1005" t="s">
        <v>919</v>
      </c>
      <c r="U1005" t="s">
        <v>36</v>
      </c>
      <c r="V1005">
        <v>0</v>
      </c>
      <c r="W1005" t="s">
        <v>1119</v>
      </c>
      <c r="Z1005" t="s">
        <v>1012</v>
      </c>
    </row>
    <row r="1006" spans="1:26" hidden="1" x14ac:dyDescent="0.2">
      <c r="A1006" s="3">
        <v>43787</v>
      </c>
      <c r="D1006" s="5">
        <v>0.42296296296296299</v>
      </c>
      <c r="E1006">
        <v>-76.888998909562304</v>
      </c>
      <c r="F1006">
        <v>3.5506251548199401</v>
      </c>
      <c r="G1006">
        <v>600</v>
      </c>
      <c r="I1006">
        <v>2019</v>
      </c>
      <c r="J1006">
        <v>6</v>
      </c>
      <c r="K1006">
        <v>10</v>
      </c>
      <c r="M1006" t="s">
        <v>30</v>
      </c>
      <c r="O1006" t="s">
        <v>40</v>
      </c>
      <c r="P1006" t="s">
        <v>119</v>
      </c>
      <c r="R1006" t="s">
        <v>919</v>
      </c>
      <c r="U1006" t="s">
        <v>36</v>
      </c>
      <c r="V1006">
        <v>0</v>
      </c>
      <c r="W1006" t="s">
        <v>1120</v>
      </c>
      <c r="Z1006" t="s">
        <v>1012</v>
      </c>
    </row>
    <row r="1007" spans="1:26" hidden="1" x14ac:dyDescent="0.2">
      <c r="A1007" s="3">
        <v>43808</v>
      </c>
      <c r="D1007" s="5">
        <v>0.88997685185185182</v>
      </c>
      <c r="E1007">
        <v>-76.680409953783993</v>
      </c>
      <c r="F1007">
        <v>3.4011741098395798</v>
      </c>
      <c r="G1007">
        <v>3020</v>
      </c>
      <c r="I1007">
        <v>2019</v>
      </c>
      <c r="J1007">
        <v>17</v>
      </c>
      <c r="K1007">
        <v>80</v>
      </c>
      <c r="M1007" t="s">
        <v>916</v>
      </c>
      <c r="O1007" t="s">
        <v>32</v>
      </c>
      <c r="P1007" t="s">
        <v>913</v>
      </c>
      <c r="R1007" t="s">
        <v>920</v>
      </c>
      <c r="S1007" t="s">
        <v>947</v>
      </c>
      <c r="U1007" t="s">
        <v>940</v>
      </c>
      <c r="V1007">
        <v>1</v>
      </c>
      <c r="W1007" t="s">
        <v>1121</v>
      </c>
      <c r="Z1007" t="s">
        <v>36</v>
      </c>
    </row>
    <row r="1008" spans="1:26" hidden="1" x14ac:dyDescent="0.2">
      <c r="A1008" s="3">
        <v>43808</v>
      </c>
      <c r="D1008" s="5">
        <v>0.95348379629629632</v>
      </c>
      <c r="E1008">
        <v>-76.678878619322603</v>
      </c>
      <c r="F1008">
        <v>3.4007083575184902</v>
      </c>
      <c r="G1008">
        <v>3020</v>
      </c>
      <c r="I1008">
        <v>2019</v>
      </c>
      <c r="J1008">
        <v>12</v>
      </c>
      <c r="K1008">
        <v>50</v>
      </c>
      <c r="M1008" t="s">
        <v>916</v>
      </c>
      <c r="O1008" t="s">
        <v>40</v>
      </c>
      <c r="P1008" t="s">
        <v>913</v>
      </c>
      <c r="R1008" t="s">
        <v>921</v>
      </c>
      <c r="U1008" t="s">
        <v>925</v>
      </c>
      <c r="V1008">
        <v>1</v>
      </c>
      <c r="W1008" t="s">
        <v>1122</v>
      </c>
      <c r="Z1008" t="s">
        <v>36</v>
      </c>
    </row>
    <row r="1009" spans="1:26" hidden="1" x14ac:dyDescent="0.2">
      <c r="A1009" s="3">
        <v>43808</v>
      </c>
      <c r="D1009" s="5">
        <v>0.93214120370370368</v>
      </c>
      <c r="E1009">
        <v>-76.679739583170303</v>
      </c>
      <c r="F1009">
        <v>3.40075414495902</v>
      </c>
      <c r="G1009">
        <v>2995</v>
      </c>
      <c r="I1009">
        <v>2019</v>
      </c>
      <c r="J1009">
        <v>15</v>
      </c>
      <c r="K1009">
        <v>40</v>
      </c>
      <c r="M1009" t="s">
        <v>916</v>
      </c>
      <c r="O1009" t="s">
        <v>38</v>
      </c>
      <c r="P1009" t="s">
        <v>913</v>
      </c>
      <c r="R1009" t="s">
        <v>921</v>
      </c>
      <c r="U1009" t="s">
        <v>36</v>
      </c>
      <c r="V1009">
        <v>0</v>
      </c>
      <c r="W1009" t="s">
        <v>1123</v>
      </c>
      <c r="Z1009" t="s">
        <v>36</v>
      </c>
    </row>
    <row r="1010" spans="1:26" hidden="1" x14ac:dyDescent="0.2">
      <c r="A1010" s="3">
        <v>43808</v>
      </c>
      <c r="D1010" s="5">
        <v>0.82013888888888886</v>
      </c>
      <c r="E1010">
        <v>-76.681523358386002</v>
      </c>
      <c r="F1010">
        <v>3.40132420719504</v>
      </c>
      <c r="G1010">
        <v>3107</v>
      </c>
      <c r="I1010">
        <v>2019</v>
      </c>
      <c r="J1010">
        <v>20</v>
      </c>
      <c r="K1010">
        <v>60</v>
      </c>
      <c r="M1010" t="s">
        <v>916</v>
      </c>
      <c r="O1010" t="s">
        <v>32</v>
      </c>
      <c r="P1010" t="s">
        <v>913</v>
      </c>
      <c r="R1010" t="s">
        <v>919</v>
      </c>
      <c r="U1010" t="s">
        <v>36</v>
      </c>
      <c r="V1010">
        <v>0</v>
      </c>
      <c r="W1010" t="s">
        <v>1077</v>
      </c>
      <c r="Z1010" t="s">
        <v>1011</v>
      </c>
    </row>
    <row r="1011" spans="1:26" hidden="1" x14ac:dyDescent="0.2">
      <c r="A1011" s="3">
        <v>43808</v>
      </c>
      <c r="D1011" s="5">
        <v>0.86321759259259256</v>
      </c>
      <c r="E1011">
        <v>-76.680964870404495</v>
      </c>
      <c r="F1011">
        <v>3.4017370707498</v>
      </c>
      <c r="G1011">
        <v>3034</v>
      </c>
      <c r="I1011">
        <v>2019</v>
      </c>
      <c r="J1011">
        <v>15</v>
      </c>
      <c r="K1011">
        <v>50</v>
      </c>
      <c r="M1011" t="s">
        <v>916</v>
      </c>
      <c r="O1011" t="s">
        <v>32</v>
      </c>
      <c r="P1011" t="s">
        <v>913</v>
      </c>
      <c r="R1011" t="s">
        <v>921</v>
      </c>
      <c r="U1011" t="s">
        <v>36</v>
      </c>
      <c r="V1011">
        <v>0</v>
      </c>
      <c r="W1011" t="s">
        <v>1124</v>
      </c>
      <c r="Z1011" t="s">
        <v>36</v>
      </c>
    </row>
    <row r="1012" spans="1:26" hidden="1" x14ac:dyDescent="0.2">
      <c r="A1012" s="3">
        <v>43808</v>
      </c>
      <c r="D1012" s="5">
        <v>0.85726851851851849</v>
      </c>
      <c r="E1012">
        <v>-76.681296108828903</v>
      </c>
      <c r="F1012">
        <v>3.4019015036326299</v>
      </c>
      <c r="G1012">
        <v>3074</v>
      </c>
      <c r="I1012">
        <v>2019</v>
      </c>
      <c r="J1012">
        <v>15</v>
      </c>
      <c r="K1012">
        <v>65</v>
      </c>
      <c r="M1012" t="s">
        <v>916</v>
      </c>
      <c r="O1012" t="s">
        <v>32</v>
      </c>
      <c r="P1012" t="s">
        <v>913</v>
      </c>
      <c r="R1012" t="s">
        <v>921</v>
      </c>
      <c r="U1012" t="s">
        <v>36</v>
      </c>
      <c r="V1012">
        <v>0</v>
      </c>
      <c r="W1012" t="s">
        <v>1125</v>
      </c>
      <c r="Z1012" t="s">
        <v>36</v>
      </c>
    </row>
    <row r="1013" spans="1:26" hidden="1" x14ac:dyDescent="0.2">
      <c r="A1013" s="3">
        <v>43808</v>
      </c>
      <c r="D1013" s="5">
        <v>0.92854166666666671</v>
      </c>
      <c r="E1013">
        <v>-76.679977115474202</v>
      </c>
      <c r="F1013">
        <v>3.4004685460320001</v>
      </c>
      <c r="G1013">
        <v>2995</v>
      </c>
      <c r="I1013">
        <v>2019</v>
      </c>
      <c r="J1013">
        <v>15</v>
      </c>
      <c r="K1013">
        <v>40</v>
      </c>
      <c r="M1013" t="s">
        <v>916</v>
      </c>
      <c r="O1013" t="s">
        <v>38</v>
      </c>
      <c r="P1013" t="s">
        <v>913</v>
      </c>
      <c r="R1013" t="s">
        <v>921</v>
      </c>
      <c r="U1013" t="s">
        <v>36</v>
      </c>
      <c r="V1013">
        <v>0</v>
      </c>
      <c r="W1013" t="s">
        <v>1126</v>
      </c>
      <c r="Z1013" t="s">
        <v>36</v>
      </c>
    </row>
    <row r="1014" spans="1:26" hidden="1" x14ac:dyDescent="0.2">
      <c r="A1014" s="3">
        <v>43808</v>
      </c>
      <c r="D1014" s="5">
        <v>0.84245370370370365</v>
      </c>
      <c r="E1014">
        <v>-76.681476850349299</v>
      </c>
      <c r="F1014">
        <v>3.40154297056606</v>
      </c>
      <c r="G1014">
        <v>3084</v>
      </c>
      <c r="I1014">
        <v>2019</v>
      </c>
      <c r="J1014">
        <v>6</v>
      </c>
      <c r="K1014">
        <v>85</v>
      </c>
      <c r="M1014" t="s">
        <v>916</v>
      </c>
      <c r="O1014" t="s">
        <v>32</v>
      </c>
      <c r="P1014" t="s">
        <v>913</v>
      </c>
      <c r="R1014" t="s">
        <v>921</v>
      </c>
      <c r="S1014" t="s">
        <v>947</v>
      </c>
      <c r="U1014" t="s">
        <v>36</v>
      </c>
      <c r="V1014">
        <v>0</v>
      </c>
      <c r="Z1014" t="s">
        <v>1011</v>
      </c>
    </row>
    <row r="1015" spans="1:26" hidden="1" x14ac:dyDescent="0.2">
      <c r="A1015" s="3">
        <v>43808</v>
      </c>
      <c r="D1015" s="5">
        <v>0.8316203703703704</v>
      </c>
      <c r="E1015">
        <v>-76.681406520893205</v>
      </c>
      <c r="F1015">
        <v>3.4014138294078502</v>
      </c>
      <c r="G1015">
        <v>3084</v>
      </c>
      <c r="I1015">
        <v>2019</v>
      </c>
      <c r="J1015">
        <v>18</v>
      </c>
      <c r="K1015">
        <v>75</v>
      </c>
      <c r="M1015" t="s">
        <v>916</v>
      </c>
      <c r="O1015" t="s">
        <v>32</v>
      </c>
      <c r="P1015" t="s">
        <v>913</v>
      </c>
      <c r="R1015" t="s">
        <v>919</v>
      </c>
      <c r="S1015" t="s">
        <v>947</v>
      </c>
      <c r="U1015" t="s">
        <v>915</v>
      </c>
      <c r="V1015">
        <v>1</v>
      </c>
      <c r="Z1015" t="s">
        <v>36</v>
      </c>
    </row>
    <row r="1016" spans="1:26" hidden="1" x14ac:dyDescent="0.2">
      <c r="A1016" s="3">
        <v>43808</v>
      </c>
      <c r="D1016" s="5">
        <v>0.93714120370370368</v>
      </c>
      <c r="E1016">
        <v>-76.679489470877499</v>
      </c>
      <c r="F1016">
        <v>3.4007295103225799</v>
      </c>
      <c r="G1016">
        <v>3020</v>
      </c>
      <c r="I1016">
        <v>2019</v>
      </c>
      <c r="J1016">
        <v>15</v>
      </c>
      <c r="K1016">
        <v>60</v>
      </c>
      <c r="M1016" t="s">
        <v>916</v>
      </c>
      <c r="O1016" t="s">
        <v>38</v>
      </c>
      <c r="P1016" t="s">
        <v>913</v>
      </c>
      <c r="R1016" t="s">
        <v>921</v>
      </c>
      <c r="S1016" t="s">
        <v>947</v>
      </c>
      <c r="U1016" t="s">
        <v>925</v>
      </c>
      <c r="V1016">
        <v>1</v>
      </c>
      <c r="Z1016" t="s">
        <v>36</v>
      </c>
    </row>
    <row r="1017" spans="1:26" hidden="1" x14ac:dyDescent="0.2">
      <c r="A1017" s="3">
        <v>43808</v>
      </c>
      <c r="D1017" s="5">
        <v>0.90902777777777777</v>
      </c>
      <c r="E1017">
        <v>-76.680170205083996</v>
      </c>
      <c r="F1017">
        <v>3.40114768662739</v>
      </c>
      <c r="G1017">
        <v>3034</v>
      </c>
      <c r="I1017">
        <v>2019</v>
      </c>
      <c r="J1017">
        <v>15</v>
      </c>
      <c r="K1017">
        <v>80</v>
      </c>
      <c r="M1017" t="s">
        <v>916</v>
      </c>
      <c r="O1017" t="s">
        <v>32</v>
      </c>
      <c r="P1017" t="s">
        <v>913</v>
      </c>
      <c r="R1017" t="s">
        <v>921</v>
      </c>
      <c r="S1017" t="s">
        <v>981</v>
      </c>
      <c r="U1017" t="s">
        <v>925</v>
      </c>
      <c r="V1017">
        <v>1</v>
      </c>
      <c r="Z1017" t="s">
        <v>36</v>
      </c>
    </row>
    <row r="1018" spans="1:26" hidden="1" x14ac:dyDescent="0.2">
      <c r="A1018" s="3">
        <v>43808</v>
      </c>
      <c r="D1018" s="5">
        <v>0.90084490740740741</v>
      </c>
      <c r="E1018">
        <v>-76.680194990839695</v>
      </c>
      <c r="F1018">
        <v>3.4010744622278</v>
      </c>
      <c r="G1018">
        <v>3032</v>
      </c>
      <c r="I1018">
        <v>2019</v>
      </c>
      <c r="J1018">
        <v>22</v>
      </c>
      <c r="K1018">
        <v>40</v>
      </c>
      <c r="M1018" t="s">
        <v>916</v>
      </c>
      <c r="O1018" t="s">
        <v>32</v>
      </c>
      <c r="P1018" t="s">
        <v>913</v>
      </c>
      <c r="R1018" t="s">
        <v>921</v>
      </c>
      <c r="U1018" t="s">
        <v>36</v>
      </c>
      <c r="V1018">
        <v>0</v>
      </c>
      <c r="W1018" t="s">
        <v>1127</v>
      </c>
      <c r="Z1018" t="s">
        <v>36</v>
      </c>
    </row>
    <row r="1019" spans="1:26" hidden="1" x14ac:dyDescent="0.2">
      <c r="A1019" s="3">
        <v>43809</v>
      </c>
      <c r="D1019" s="5">
        <v>0.95665509259259263</v>
      </c>
      <c r="E1019">
        <v>-76.690640572651205</v>
      </c>
      <c r="F1019">
        <v>3.4064862084016299</v>
      </c>
      <c r="G1019">
        <v>3398</v>
      </c>
      <c r="I1019">
        <v>2019</v>
      </c>
      <c r="J1019">
        <v>4</v>
      </c>
      <c r="K1019">
        <v>50</v>
      </c>
      <c r="M1019" t="s">
        <v>916</v>
      </c>
      <c r="O1019" t="s">
        <v>47</v>
      </c>
      <c r="P1019" t="s">
        <v>1152</v>
      </c>
      <c r="R1019" t="s">
        <v>258</v>
      </c>
      <c r="U1019" t="s">
        <v>36</v>
      </c>
      <c r="V1019">
        <v>0</v>
      </c>
      <c r="W1019" t="s">
        <v>1128</v>
      </c>
      <c r="Z1019" t="s">
        <v>36</v>
      </c>
    </row>
    <row r="1020" spans="1:26" hidden="1" x14ac:dyDescent="0.2">
      <c r="A1020" s="3">
        <v>43809</v>
      </c>
      <c r="D1020" s="5">
        <v>0.92351851851851852</v>
      </c>
      <c r="E1020">
        <v>-76.690179380444903</v>
      </c>
      <c r="F1020">
        <v>3.4069317671664501</v>
      </c>
      <c r="G1020">
        <v>3395</v>
      </c>
      <c r="I1020">
        <v>2019</v>
      </c>
      <c r="J1020">
        <v>5</v>
      </c>
      <c r="K1020">
        <v>50</v>
      </c>
      <c r="M1020" t="s">
        <v>916</v>
      </c>
      <c r="O1020" t="s">
        <v>40</v>
      </c>
      <c r="P1020" t="s">
        <v>1152</v>
      </c>
      <c r="R1020" t="s">
        <v>258</v>
      </c>
      <c r="S1020" t="s">
        <v>947</v>
      </c>
      <c r="U1020" t="s">
        <v>941</v>
      </c>
      <c r="V1020">
        <v>1</v>
      </c>
      <c r="Z1020" t="s">
        <v>36</v>
      </c>
    </row>
    <row r="1021" spans="1:26" hidden="1" x14ac:dyDescent="0.2">
      <c r="A1021" s="3">
        <v>43809</v>
      </c>
      <c r="D1021" s="5">
        <v>0.83598379629629627</v>
      </c>
      <c r="E1021">
        <v>-76.688450004012694</v>
      </c>
      <c r="F1021">
        <v>3.4082398646293002</v>
      </c>
      <c r="G1021">
        <v>3390</v>
      </c>
      <c r="I1021">
        <v>2019</v>
      </c>
      <c r="J1021">
        <v>5</v>
      </c>
      <c r="K1021">
        <v>60</v>
      </c>
      <c r="M1021" t="s">
        <v>916</v>
      </c>
      <c r="O1021" t="s">
        <v>32</v>
      </c>
      <c r="P1021" t="s">
        <v>1152</v>
      </c>
      <c r="R1021" t="s">
        <v>258</v>
      </c>
      <c r="S1021" t="s">
        <v>945</v>
      </c>
      <c r="U1021" t="s">
        <v>924</v>
      </c>
      <c r="V1021">
        <v>1</v>
      </c>
      <c r="Z1021" t="s">
        <v>36</v>
      </c>
    </row>
    <row r="1022" spans="1:26" hidden="1" x14ac:dyDescent="0.2">
      <c r="A1022" s="3">
        <v>43809</v>
      </c>
      <c r="D1022" s="5">
        <v>0.90880787037037036</v>
      </c>
      <c r="E1022">
        <v>-76.689782447129204</v>
      </c>
      <c r="F1022">
        <v>3.4073082239731098</v>
      </c>
      <c r="G1022">
        <v>3393</v>
      </c>
      <c r="I1022">
        <v>2019</v>
      </c>
      <c r="J1022">
        <v>4</v>
      </c>
      <c r="K1022">
        <v>45</v>
      </c>
      <c r="M1022" t="s">
        <v>916</v>
      </c>
      <c r="O1022" t="s">
        <v>38</v>
      </c>
      <c r="P1022" t="s">
        <v>1152</v>
      </c>
      <c r="R1022" t="s">
        <v>258</v>
      </c>
      <c r="S1022" t="s">
        <v>945</v>
      </c>
      <c r="U1022" t="s">
        <v>924</v>
      </c>
      <c r="V1022">
        <v>1</v>
      </c>
      <c r="W1022" t="s">
        <v>1129</v>
      </c>
      <c r="Z1022" t="s">
        <v>36</v>
      </c>
    </row>
    <row r="1023" spans="1:26" hidden="1" x14ac:dyDescent="0.2">
      <c r="A1023" s="3">
        <v>43809</v>
      </c>
      <c r="D1023" s="5">
        <v>0.85508101851851848</v>
      </c>
      <c r="E1023">
        <v>-76.688724741131907</v>
      </c>
      <c r="F1023">
        <v>3.4078664157324501</v>
      </c>
      <c r="G1023">
        <v>3385</v>
      </c>
      <c r="I1023">
        <v>2019</v>
      </c>
      <c r="J1023">
        <v>4</v>
      </c>
      <c r="K1023">
        <v>20</v>
      </c>
      <c r="M1023" t="s">
        <v>916</v>
      </c>
      <c r="O1023" t="s">
        <v>32</v>
      </c>
      <c r="P1023" t="s">
        <v>1152</v>
      </c>
      <c r="R1023" t="s">
        <v>258</v>
      </c>
      <c r="S1023" t="s">
        <v>982</v>
      </c>
      <c r="U1023" t="s">
        <v>924</v>
      </c>
      <c r="V1023">
        <v>1</v>
      </c>
      <c r="W1023" t="s">
        <v>1072</v>
      </c>
      <c r="Z1023" t="s">
        <v>36</v>
      </c>
    </row>
    <row r="1024" spans="1:26" hidden="1" x14ac:dyDescent="0.2">
      <c r="A1024" s="3">
        <v>43809</v>
      </c>
      <c r="D1024" s="5">
        <v>0.85508101851851848</v>
      </c>
      <c r="E1024">
        <v>-76.688724741131907</v>
      </c>
      <c r="F1024">
        <v>3.4078664157324501</v>
      </c>
      <c r="G1024">
        <v>3385</v>
      </c>
      <c r="I1024">
        <v>2019</v>
      </c>
      <c r="J1024">
        <v>4</v>
      </c>
      <c r="K1024">
        <v>80</v>
      </c>
      <c r="M1024" t="s">
        <v>916</v>
      </c>
      <c r="O1024" t="s">
        <v>32</v>
      </c>
      <c r="P1024" t="s">
        <v>1152</v>
      </c>
      <c r="R1024" t="s">
        <v>258</v>
      </c>
      <c r="S1024" t="s">
        <v>983</v>
      </c>
      <c r="U1024" t="s">
        <v>924</v>
      </c>
      <c r="V1024">
        <v>1</v>
      </c>
      <c r="Z1024" t="s">
        <v>36</v>
      </c>
    </row>
    <row r="1025" spans="1:28" hidden="1" x14ac:dyDescent="0.2">
      <c r="A1025" s="3">
        <v>43809</v>
      </c>
      <c r="D1025" s="5">
        <v>0.81899305555555557</v>
      </c>
      <c r="E1025">
        <v>-76.688344051540895</v>
      </c>
      <c r="F1025">
        <v>3.40815756893315</v>
      </c>
      <c r="G1025">
        <v>3398</v>
      </c>
      <c r="I1025">
        <v>2019</v>
      </c>
      <c r="J1025">
        <v>4</v>
      </c>
      <c r="K1025">
        <v>40</v>
      </c>
      <c r="M1025" t="s">
        <v>916</v>
      </c>
      <c r="O1025" t="s">
        <v>32</v>
      </c>
      <c r="P1025" t="s">
        <v>1152</v>
      </c>
      <c r="R1025" t="s">
        <v>258</v>
      </c>
      <c r="S1025" t="s">
        <v>981</v>
      </c>
      <c r="U1025" t="s">
        <v>924</v>
      </c>
      <c r="V1025">
        <v>1</v>
      </c>
      <c r="W1025" t="s">
        <v>1130</v>
      </c>
      <c r="Z1025" t="s">
        <v>36</v>
      </c>
    </row>
    <row r="1026" spans="1:28" hidden="1" x14ac:dyDescent="0.2">
      <c r="A1026" s="3">
        <v>43809</v>
      </c>
      <c r="D1026" s="5">
        <v>0.8830324074074074</v>
      </c>
      <c r="E1026">
        <v>-76.689068341938807</v>
      </c>
      <c r="F1026">
        <v>3.4076396710888202</v>
      </c>
      <c r="G1026">
        <v>3395</v>
      </c>
      <c r="I1026">
        <v>2019</v>
      </c>
      <c r="J1026">
        <v>4</v>
      </c>
      <c r="K1026">
        <v>40</v>
      </c>
      <c r="M1026" t="s">
        <v>916</v>
      </c>
      <c r="O1026" t="s">
        <v>38</v>
      </c>
      <c r="P1026" t="s">
        <v>1152</v>
      </c>
      <c r="R1026" t="s">
        <v>258</v>
      </c>
      <c r="U1026" t="s">
        <v>36</v>
      </c>
      <c r="V1026">
        <v>0</v>
      </c>
      <c r="W1026" t="s">
        <v>1131</v>
      </c>
      <c r="Z1026" t="s">
        <v>36</v>
      </c>
    </row>
    <row r="1027" spans="1:28" hidden="1" x14ac:dyDescent="0.2">
      <c r="A1027" s="3">
        <v>43809</v>
      </c>
      <c r="D1027" s="5">
        <v>0.91358796296296296</v>
      </c>
      <c r="E1027">
        <v>-76.689937633591001</v>
      </c>
      <c r="F1027">
        <v>3.4071911170936802</v>
      </c>
      <c r="G1027">
        <v>3388</v>
      </c>
      <c r="I1027">
        <v>2019</v>
      </c>
      <c r="J1027">
        <v>3</v>
      </c>
      <c r="K1027">
        <v>70</v>
      </c>
      <c r="M1027" t="s">
        <v>916</v>
      </c>
      <c r="O1027" t="s">
        <v>40</v>
      </c>
      <c r="P1027" t="s">
        <v>1152</v>
      </c>
      <c r="R1027" t="s">
        <v>258</v>
      </c>
      <c r="U1027" t="s">
        <v>36</v>
      </c>
      <c r="V1027">
        <v>0</v>
      </c>
      <c r="W1027" t="s">
        <v>1132</v>
      </c>
      <c r="Z1027" t="s">
        <v>36</v>
      </c>
    </row>
    <row r="1028" spans="1:28" hidden="1" x14ac:dyDescent="0.2">
      <c r="A1028" s="3">
        <v>43809</v>
      </c>
      <c r="D1028" s="5">
        <v>0.96923611111111108</v>
      </c>
      <c r="E1028">
        <v>-76.690672534041894</v>
      </c>
      <c r="F1028">
        <v>3.4062271663760799</v>
      </c>
      <c r="G1028">
        <v>3400</v>
      </c>
      <c r="I1028">
        <v>2019</v>
      </c>
      <c r="J1028">
        <v>2</v>
      </c>
      <c r="K1028">
        <v>40</v>
      </c>
      <c r="M1028" t="s">
        <v>916</v>
      </c>
      <c r="O1028" t="s">
        <v>47</v>
      </c>
      <c r="P1028" t="s">
        <v>1152</v>
      </c>
      <c r="R1028" t="s">
        <v>258</v>
      </c>
      <c r="S1028" t="s">
        <v>966</v>
      </c>
      <c r="U1028" t="s">
        <v>36</v>
      </c>
      <c r="V1028">
        <v>0</v>
      </c>
      <c r="Z1028" t="s">
        <v>1011</v>
      </c>
    </row>
    <row r="1029" spans="1:28" hidden="1" x14ac:dyDescent="0.2">
      <c r="A1029" s="3">
        <v>43809</v>
      </c>
      <c r="D1029" s="5">
        <v>0.87427083333333333</v>
      </c>
      <c r="E1029">
        <v>-76.689044482086302</v>
      </c>
      <c r="F1029">
        <v>3.4076691365822902</v>
      </c>
      <c r="G1029">
        <v>3390</v>
      </c>
      <c r="I1029">
        <v>2019</v>
      </c>
      <c r="J1029">
        <v>3</v>
      </c>
      <c r="K1029">
        <v>80</v>
      </c>
      <c r="M1029" t="s">
        <v>916</v>
      </c>
      <c r="O1029" t="s">
        <v>32</v>
      </c>
      <c r="P1029" t="s">
        <v>1152</v>
      </c>
      <c r="R1029" t="s">
        <v>258</v>
      </c>
      <c r="S1029" t="s">
        <v>984</v>
      </c>
      <c r="U1029" t="s">
        <v>924</v>
      </c>
      <c r="V1029">
        <v>1</v>
      </c>
      <c r="W1029" t="s">
        <v>1133</v>
      </c>
      <c r="Z1029" t="s">
        <v>36</v>
      </c>
    </row>
    <row r="1030" spans="1:28" hidden="1" x14ac:dyDescent="0.2">
      <c r="A1030" s="3">
        <v>43809</v>
      </c>
      <c r="D1030" s="5">
        <v>0.8147685185185185</v>
      </c>
      <c r="E1030">
        <v>-76.688303989638996</v>
      </c>
      <c r="F1030">
        <v>3.40823777256794</v>
      </c>
      <c r="G1030">
        <v>3398</v>
      </c>
      <c r="I1030">
        <v>2019</v>
      </c>
      <c r="J1030">
        <v>4</v>
      </c>
      <c r="K1030">
        <v>40</v>
      </c>
      <c r="M1030" t="s">
        <v>916</v>
      </c>
      <c r="O1030" t="s">
        <v>32</v>
      </c>
      <c r="P1030" t="s">
        <v>1152</v>
      </c>
      <c r="R1030" t="s">
        <v>258</v>
      </c>
      <c r="U1030" t="s">
        <v>36</v>
      </c>
      <c r="V1030">
        <v>0</v>
      </c>
      <c r="W1030" t="s">
        <v>1134</v>
      </c>
      <c r="Z1030" t="s">
        <v>36</v>
      </c>
    </row>
    <row r="1031" spans="1:28" hidden="1" x14ac:dyDescent="0.2">
      <c r="A1031" s="3">
        <v>43809</v>
      </c>
      <c r="D1031" s="5">
        <v>0.93847222222222226</v>
      </c>
      <c r="E1031">
        <v>-76.690490605493196</v>
      </c>
      <c r="F1031">
        <v>3.40677618682296</v>
      </c>
      <c r="G1031">
        <v>3990</v>
      </c>
      <c r="I1031">
        <v>2019</v>
      </c>
      <c r="J1031">
        <v>3</v>
      </c>
      <c r="K1031">
        <v>30</v>
      </c>
      <c r="M1031" t="s">
        <v>916</v>
      </c>
      <c r="O1031" t="s">
        <v>40</v>
      </c>
      <c r="P1031" t="s">
        <v>1152</v>
      </c>
      <c r="R1031" t="s">
        <v>258</v>
      </c>
      <c r="S1031" t="s">
        <v>947</v>
      </c>
      <c r="U1031" t="s">
        <v>941</v>
      </c>
      <c r="V1031">
        <v>1</v>
      </c>
      <c r="Z1031" t="s">
        <v>36</v>
      </c>
    </row>
    <row r="1032" spans="1:28" hidden="1" x14ac:dyDescent="0.2">
      <c r="A1032" s="3">
        <v>43809</v>
      </c>
      <c r="D1032" s="5">
        <v>0.93847222222222226</v>
      </c>
      <c r="E1032">
        <v>-76.690490605493196</v>
      </c>
      <c r="F1032">
        <v>3.40677618682296</v>
      </c>
      <c r="G1032">
        <v>3392</v>
      </c>
      <c r="I1032">
        <v>2019</v>
      </c>
      <c r="J1032">
        <v>2</v>
      </c>
      <c r="K1032">
        <v>50</v>
      </c>
      <c r="M1032" t="s">
        <v>916</v>
      </c>
      <c r="O1032" t="s">
        <v>40</v>
      </c>
      <c r="P1032" t="s">
        <v>1152</v>
      </c>
      <c r="R1032" t="s">
        <v>258</v>
      </c>
      <c r="U1032" t="s">
        <v>36</v>
      </c>
      <c r="V1032">
        <v>0</v>
      </c>
      <c r="W1032" t="s">
        <v>1135</v>
      </c>
      <c r="Z1032" t="s">
        <v>36</v>
      </c>
    </row>
    <row r="1033" spans="1:28" hidden="1" x14ac:dyDescent="0.2">
      <c r="A1033" s="3">
        <v>44152</v>
      </c>
      <c r="D1033" s="6">
        <v>0.9710185185185185</v>
      </c>
      <c r="E1033">
        <v>-76.719014999999999</v>
      </c>
      <c r="F1033">
        <v>3.48482</v>
      </c>
      <c r="H1033" t="e">
        <f>AVERAGE(Z1033,AE1033)</f>
        <v>#DIV/0!</v>
      </c>
      <c r="I1033">
        <v>2020</v>
      </c>
      <c r="J1033" t="e">
        <f>AVERAGE(AD1033,AI1033)</f>
        <v>#DIV/0!</v>
      </c>
      <c r="K1033" t="e">
        <f>AVERAGE(AA1033,AF1033)</f>
        <v>#DIV/0!</v>
      </c>
      <c r="M1033" t="s">
        <v>247</v>
      </c>
      <c r="O1033" t="s">
        <v>32</v>
      </c>
      <c r="P1033" t="s">
        <v>272</v>
      </c>
      <c r="U1033" t="s">
        <v>36</v>
      </c>
      <c r="V1033">
        <v>0</v>
      </c>
    </row>
    <row r="1034" spans="1:28" hidden="1" x14ac:dyDescent="0.2">
      <c r="A1034" s="3">
        <v>44152</v>
      </c>
      <c r="D1034" s="6">
        <v>0.78211805555555558</v>
      </c>
      <c r="E1034">
        <v>-76.71875833</v>
      </c>
      <c r="F1034">
        <v>3.487151667</v>
      </c>
      <c r="H1034" t="e">
        <f t="shared" ref="H1034:H1097" si="0">AVERAGE(Z1034,AE1034)</f>
        <v>#DIV/0!</v>
      </c>
      <c r="I1034">
        <v>2020</v>
      </c>
      <c r="J1034" t="e">
        <f t="shared" ref="J1034:J1097" si="1">AVERAGE(AD1034,AI1034)</f>
        <v>#DIV/0!</v>
      </c>
      <c r="K1034" t="e">
        <f t="shared" ref="K1034:K1097" si="2">AVERAGE(AA1034,AF1034)</f>
        <v>#DIV/0!</v>
      </c>
      <c r="M1034" t="s">
        <v>247</v>
      </c>
      <c r="O1034" t="s">
        <v>58</v>
      </c>
      <c r="P1034" t="s">
        <v>272</v>
      </c>
      <c r="U1034" t="s">
        <v>36</v>
      </c>
      <c r="V1034">
        <v>0</v>
      </c>
    </row>
    <row r="1035" spans="1:28" hidden="1" x14ac:dyDescent="0.2">
      <c r="A1035" s="3">
        <v>44152</v>
      </c>
      <c r="D1035" s="6">
        <v>0.88087962962962962</v>
      </c>
      <c r="E1035">
        <v>-76.717706669999998</v>
      </c>
      <c r="F1035">
        <v>3.4851399999999999</v>
      </c>
      <c r="G1035">
        <v>1908</v>
      </c>
      <c r="H1035" t="e">
        <f t="shared" si="0"/>
        <v>#DIV/0!</v>
      </c>
      <c r="I1035">
        <v>2020</v>
      </c>
      <c r="J1035" t="e">
        <f t="shared" si="1"/>
        <v>#DIV/0!</v>
      </c>
      <c r="K1035" t="e">
        <f t="shared" si="2"/>
        <v>#DIV/0!</v>
      </c>
      <c r="M1035" t="s">
        <v>247</v>
      </c>
      <c r="O1035" t="s">
        <v>40</v>
      </c>
      <c r="P1035" t="s">
        <v>272</v>
      </c>
      <c r="R1035" t="s">
        <v>919</v>
      </c>
      <c r="S1035" t="s">
        <v>945</v>
      </c>
      <c r="T1035" t="s">
        <v>54</v>
      </c>
      <c r="U1035" t="s">
        <v>252</v>
      </c>
      <c r="V1035">
        <v>1</v>
      </c>
      <c r="AB1035" t="s">
        <v>1008</v>
      </c>
    </row>
    <row r="1036" spans="1:28" hidden="1" x14ac:dyDescent="0.2">
      <c r="A1036" s="3">
        <v>44152</v>
      </c>
      <c r="D1036" s="6">
        <v>0.86359953703703707</v>
      </c>
      <c r="E1036">
        <v>-76.717898329999997</v>
      </c>
      <c r="F1036">
        <v>3.4854699999999998</v>
      </c>
      <c r="G1036">
        <v>1907</v>
      </c>
      <c r="H1036" t="e">
        <f t="shared" si="0"/>
        <v>#DIV/0!</v>
      </c>
      <c r="I1036">
        <v>2020</v>
      </c>
      <c r="J1036" t="e">
        <f t="shared" si="1"/>
        <v>#DIV/0!</v>
      </c>
      <c r="K1036" t="e">
        <f t="shared" si="2"/>
        <v>#DIV/0!</v>
      </c>
      <c r="M1036" t="s">
        <v>247</v>
      </c>
      <c r="O1036" t="s">
        <v>40</v>
      </c>
      <c r="P1036" t="s">
        <v>272</v>
      </c>
      <c r="R1036" t="s">
        <v>919</v>
      </c>
      <c r="S1036" t="s">
        <v>946</v>
      </c>
      <c r="T1036" t="s">
        <v>54</v>
      </c>
      <c r="U1036" t="s">
        <v>252</v>
      </c>
      <c r="V1036">
        <v>1</v>
      </c>
      <c r="AB1036" t="s">
        <v>1008</v>
      </c>
    </row>
    <row r="1037" spans="1:28" hidden="1" x14ac:dyDescent="0.2">
      <c r="A1037" s="3">
        <v>44152</v>
      </c>
      <c r="D1037" s="6">
        <v>0.86359953703703707</v>
      </c>
      <c r="E1037">
        <v>-76.717898329999997</v>
      </c>
      <c r="F1037">
        <v>3.4854699999999998</v>
      </c>
      <c r="G1037">
        <v>1907</v>
      </c>
      <c r="H1037" t="e">
        <f t="shared" si="0"/>
        <v>#DIV/0!</v>
      </c>
      <c r="I1037">
        <v>2020</v>
      </c>
      <c r="J1037" t="e">
        <f t="shared" si="1"/>
        <v>#DIV/0!</v>
      </c>
      <c r="K1037" t="e">
        <f t="shared" si="2"/>
        <v>#DIV/0!</v>
      </c>
      <c r="M1037" t="s">
        <v>247</v>
      </c>
      <c r="O1037" t="s">
        <v>40</v>
      </c>
      <c r="P1037" t="s">
        <v>272</v>
      </c>
      <c r="R1037" t="s">
        <v>919</v>
      </c>
      <c r="S1037" t="s">
        <v>946</v>
      </c>
      <c r="T1037" t="s">
        <v>54</v>
      </c>
      <c r="U1037" t="s">
        <v>252</v>
      </c>
      <c r="V1037">
        <v>1</v>
      </c>
      <c r="AB1037" t="s">
        <v>1008</v>
      </c>
    </row>
    <row r="1038" spans="1:28" hidden="1" x14ac:dyDescent="0.2">
      <c r="A1038" s="3">
        <v>44152</v>
      </c>
      <c r="D1038" s="6">
        <v>0.84866898148148151</v>
      </c>
      <c r="E1038">
        <v>-76.717843329999994</v>
      </c>
      <c r="F1038">
        <v>3.4855700000000001</v>
      </c>
      <c r="G1038">
        <v>1917</v>
      </c>
      <c r="H1038" t="e">
        <f t="shared" si="0"/>
        <v>#DIV/0!</v>
      </c>
      <c r="I1038">
        <v>2020</v>
      </c>
      <c r="J1038" t="e">
        <f t="shared" si="1"/>
        <v>#DIV/0!</v>
      </c>
      <c r="K1038" t="e">
        <f t="shared" si="2"/>
        <v>#DIV/0!</v>
      </c>
      <c r="M1038" t="s">
        <v>247</v>
      </c>
      <c r="O1038" t="s">
        <v>40</v>
      </c>
      <c r="P1038" t="s">
        <v>272</v>
      </c>
      <c r="R1038" t="s">
        <v>919</v>
      </c>
      <c r="S1038" t="s">
        <v>946</v>
      </c>
      <c r="T1038" t="s">
        <v>54</v>
      </c>
      <c r="U1038" t="s">
        <v>232</v>
      </c>
      <c r="V1038">
        <v>1</v>
      </c>
      <c r="AB1038" t="s">
        <v>1008</v>
      </c>
    </row>
    <row r="1039" spans="1:28" hidden="1" x14ac:dyDescent="0.2">
      <c r="A1039" s="3">
        <v>44152</v>
      </c>
      <c r="D1039" s="6">
        <v>0.95584490740740746</v>
      </c>
      <c r="E1039">
        <v>-76.718909999999994</v>
      </c>
      <c r="F1039">
        <v>3.4851549999999998</v>
      </c>
      <c r="G1039">
        <v>1910</v>
      </c>
      <c r="H1039" t="e">
        <f t="shared" si="0"/>
        <v>#DIV/0!</v>
      </c>
      <c r="I1039">
        <v>2020</v>
      </c>
      <c r="J1039" t="e">
        <f t="shared" si="1"/>
        <v>#DIV/0!</v>
      </c>
      <c r="K1039" t="e">
        <f t="shared" si="2"/>
        <v>#DIV/0!</v>
      </c>
      <c r="M1039" t="s">
        <v>247</v>
      </c>
      <c r="O1039" t="s">
        <v>38</v>
      </c>
      <c r="P1039" t="s">
        <v>272</v>
      </c>
      <c r="R1039" t="s">
        <v>922</v>
      </c>
      <c r="S1039" t="s">
        <v>946</v>
      </c>
      <c r="T1039" t="s">
        <v>54</v>
      </c>
      <c r="U1039" t="s">
        <v>238</v>
      </c>
      <c r="V1039">
        <v>1</v>
      </c>
      <c r="AB1039" t="s">
        <v>1008</v>
      </c>
    </row>
    <row r="1040" spans="1:28" hidden="1" x14ac:dyDescent="0.2">
      <c r="A1040" s="3">
        <v>44152</v>
      </c>
      <c r="D1040" s="6">
        <v>0.91693287037037041</v>
      </c>
      <c r="E1040">
        <v>-76.718656670000001</v>
      </c>
      <c r="F1040">
        <v>3.4850883330000002</v>
      </c>
      <c r="G1040">
        <v>1910</v>
      </c>
      <c r="H1040" t="e">
        <f t="shared" si="0"/>
        <v>#DIV/0!</v>
      </c>
      <c r="I1040">
        <v>2020</v>
      </c>
      <c r="J1040" t="e">
        <f t="shared" si="1"/>
        <v>#DIV/0!</v>
      </c>
      <c r="K1040" t="e">
        <f t="shared" si="2"/>
        <v>#DIV/0!</v>
      </c>
      <c r="M1040" t="s">
        <v>247</v>
      </c>
      <c r="O1040" t="s">
        <v>38</v>
      </c>
      <c r="P1040" t="s">
        <v>272</v>
      </c>
      <c r="R1040" t="s">
        <v>922</v>
      </c>
      <c r="S1040" t="s">
        <v>945</v>
      </c>
      <c r="T1040" t="s">
        <v>504</v>
      </c>
      <c r="U1040" t="s">
        <v>68</v>
      </c>
      <c r="V1040">
        <v>3</v>
      </c>
      <c r="AB1040" t="s">
        <v>66</v>
      </c>
    </row>
    <row r="1041" spans="1:28" hidden="1" x14ac:dyDescent="0.2">
      <c r="A1041" s="3">
        <v>44152</v>
      </c>
      <c r="D1041" s="6">
        <v>0.95730324074074069</v>
      </c>
      <c r="E1041">
        <v>-76.718951669999996</v>
      </c>
      <c r="F1041">
        <v>3.4850316669999999</v>
      </c>
      <c r="G1041">
        <v>1907</v>
      </c>
      <c r="H1041" t="e">
        <f t="shared" si="0"/>
        <v>#DIV/0!</v>
      </c>
      <c r="I1041">
        <v>2020</v>
      </c>
      <c r="J1041" t="e">
        <f t="shared" si="1"/>
        <v>#DIV/0!</v>
      </c>
      <c r="K1041" t="e">
        <f t="shared" si="2"/>
        <v>#DIV/0!</v>
      </c>
      <c r="M1041" t="s">
        <v>247</v>
      </c>
      <c r="O1041" t="s">
        <v>38</v>
      </c>
      <c r="P1041" t="s">
        <v>272</v>
      </c>
      <c r="R1041" t="s">
        <v>922</v>
      </c>
      <c r="S1041" t="s">
        <v>946</v>
      </c>
      <c r="T1041" t="s">
        <v>42</v>
      </c>
      <c r="U1041" t="s">
        <v>238</v>
      </c>
      <c r="V1041">
        <v>1</v>
      </c>
      <c r="AB1041" t="s">
        <v>1008</v>
      </c>
    </row>
    <row r="1042" spans="1:28" hidden="1" x14ac:dyDescent="0.2">
      <c r="A1042" s="3">
        <v>44152</v>
      </c>
      <c r="D1042" s="6">
        <v>0.80355324074074075</v>
      </c>
      <c r="E1042">
        <v>-76.718306670000004</v>
      </c>
      <c r="F1042">
        <v>3.4861216669999999</v>
      </c>
      <c r="G1042">
        <v>1907</v>
      </c>
      <c r="H1042" t="e">
        <f t="shared" si="0"/>
        <v>#DIV/0!</v>
      </c>
      <c r="I1042">
        <v>2020</v>
      </c>
      <c r="J1042" t="e">
        <f t="shared" si="1"/>
        <v>#DIV/0!</v>
      </c>
      <c r="K1042" t="e">
        <f t="shared" si="2"/>
        <v>#DIV/0!</v>
      </c>
      <c r="M1042" t="s">
        <v>247</v>
      </c>
      <c r="O1042" t="s">
        <v>47</v>
      </c>
      <c r="P1042" t="s">
        <v>272</v>
      </c>
      <c r="R1042" t="s">
        <v>258</v>
      </c>
      <c r="S1042" t="s">
        <v>946</v>
      </c>
      <c r="T1042" t="s">
        <v>54</v>
      </c>
      <c r="U1042" t="s">
        <v>938</v>
      </c>
      <c r="V1042">
        <v>1</v>
      </c>
      <c r="AB1042" t="s">
        <v>1008</v>
      </c>
    </row>
    <row r="1043" spans="1:28" hidden="1" x14ac:dyDescent="0.2">
      <c r="A1043" s="3">
        <v>44133</v>
      </c>
      <c r="D1043" s="6">
        <v>0.8863078703703704</v>
      </c>
      <c r="E1043">
        <v>-76.647046669999995</v>
      </c>
      <c r="F1043">
        <v>3.349135</v>
      </c>
      <c r="G1043">
        <v>2391</v>
      </c>
      <c r="H1043" t="e">
        <f t="shared" si="0"/>
        <v>#DIV/0!</v>
      </c>
      <c r="I1043">
        <v>2020</v>
      </c>
      <c r="J1043" t="e">
        <f t="shared" si="1"/>
        <v>#DIV/0!</v>
      </c>
      <c r="K1043" t="e">
        <f t="shared" si="2"/>
        <v>#DIV/0!</v>
      </c>
      <c r="M1043" t="s">
        <v>624</v>
      </c>
      <c r="O1043" t="s">
        <v>38</v>
      </c>
      <c r="P1043" t="s">
        <v>643</v>
      </c>
      <c r="R1043" t="s">
        <v>922</v>
      </c>
      <c r="S1043" t="s">
        <v>945</v>
      </c>
      <c r="T1043" t="s">
        <v>54</v>
      </c>
      <c r="U1043" t="s">
        <v>252</v>
      </c>
      <c r="V1043">
        <v>1</v>
      </c>
      <c r="AB1043" t="s">
        <v>1008</v>
      </c>
    </row>
    <row r="1044" spans="1:28" hidden="1" x14ac:dyDescent="0.2">
      <c r="A1044" s="3">
        <v>44133</v>
      </c>
      <c r="D1044" s="6">
        <v>0.90164351851851854</v>
      </c>
      <c r="E1044">
        <v>-76.647094999999993</v>
      </c>
      <c r="F1044">
        <v>3.348468333</v>
      </c>
      <c r="G1044">
        <v>2382</v>
      </c>
      <c r="H1044" t="e">
        <f t="shared" si="0"/>
        <v>#DIV/0!</v>
      </c>
      <c r="I1044">
        <v>2020</v>
      </c>
      <c r="J1044" t="e">
        <f t="shared" si="1"/>
        <v>#DIV/0!</v>
      </c>
      <c r="K1044" t="e">
        <f t="shared" si="2"/>
        <v>#DIV/0!</v>
      </c>
      <c r="M1044" t="s">
        <v>624</v>
      </c>
      <c r="O1044" t="s">
        <v>32</v>
      </c>
      <c r="P1044" t="s">
        <v>643</v>
      </c>
      <c r="R1044" t="s">
        <v>922</v>
      </c>
      <c r="S1044" t="s">
        <v>985</v>
      </c>
      <c r="T1044" t="s">
        <v>54</v>
      </c>
      <c r="U1044" t="s">
        <v>252</v>
      </c>
      <c r="V1044">
        <v>1</v>
      </c>
      <c r="AB1044" t="s">
        <v>1008</v>
      </c>
    </row>
    <row r="1045" spans="1:28" hidden="1" x14ac:dyDescent="0.2">
      <c r="A1045" s="3">
        <v>44153</v>
      </c>
      <c r="D1045" s="6">
        <v>0.85502314814814817</v>
      </c>
      <c r="E1045">
        <v>-76.722409999999996</v>
      </c>
      <c r="F1045">
        <v>3.4773133330000001</v>
      </c>
      <c r="G1045">
        <v>2114</v>
      </c>
      <c r="H1045" t="e">
        <f t="shared" si="0"/>
        <v>#DIV/0!</v>
      </c>
      <c r="I1045">
        <v>2020</v>
      </c>
      <c r="J1045" t="e">
        <f t="shared" si="1"/>
        <v>#DIV/0!</v>
      </c>
      <c r="K1045" t="e">
        <f t="shared" si="2"/>
        <v>#DIV/0!</v>
      </c>
      <c r="M1045" t="s">
        <v>247</v>
      </c>
      <c r="O1045" t="s">
        <v>38</v>
      </c>
      <c r="P1045" t="s">
        <v>280</v>
      </c>
      <c r="R1045" t="s">
        <v>921</v>
      </c>
      <c r="S1045" t="s">
        <v>986</v>
      </c>
      <c r="T1045" t="s">
        <v>54</v>
      </c>
      <c r="U1045" t="s">
        <v>293</v>
      </c>
      <c r="V1045">
        <v>2</v>
      </c>
      <c r="AB1045" t="s">
        <v>66</v>
      </c>
    </row>
    <row r="1046" spans="1:28" hidden="1" x14ac:dyDescent="0.2">
      <c r="A1046" s="3">
        <v>44153</v>
      </c>
      <c r="D1046" s="6">
        <v>0.88402777777777775</v>
      </c>
      <c r="E1046">
        <v>-76.722520000000003</v>
      </c>
      <c r="F1046">
        <v>3.4776133329999999</v>
      </c>
      <c r="G1046">
        <v>2120</v>
      </c>
      <c r="H1046" t="e">
        <f t="shared" si="0"/>
        <v>#DIV/0!</v>
      </c>
      <c r="I1046">
        <v>2020</v>
      </c>
      <c r="J1046" t="e">
        <f t="shared" si="1"/>
        <v>#DIV/0!</v>
      </c>
      <c r="K1046" t="e">
        <f t="shared" si="2"/>
        <v>#DIV/0!</v>
      </c>
      <c r="M1046" t="s">
        <v>247</v>
      </c>
      <c r="O1046" t="s">
        <v>38</v>
      </c>
      <c r="P1046" t="s">
        <v>280</v>
      </c>
      <c r="R1046" t="s">
        <v>921</v>
      </c>
      <c r="S1046" t="s">
        <v>946</v>
      </c>
      <c r="T1046" t="s">
        <v>54</v>
      </c>
      <c r="U1046" t="s">
        <v>88</v>
      </c>
      <c r="V1046">
        <v>1</v>
      </c>
      <c r="AB1046" t="s">
        <v>1008</v>
      </c>
    </row>
    <row r="1047" spans="1:28" hidden="1" x14ac:dyDescent="0.2">
      <c r="A1047" s="3">
        <v>44153</v>
      </c>
      <c r="D1047" s="6">
        <v>0.89178240740740744</v>
      </c>
      <c r="E1047">
        <v>-76.722745000000003</v>
      </c>
      <c r="F1047">
        <v>3.4778183330000001</v>
      </c>
      <c r="G1047">
        <v>2104</v>
      </c>
      <c r="H1047" t="e">
        <f t="shared" si="0"/>
        <v>#DIV/0!</v>
      </c>
      <c r="I1047">
        <v>2020</v>
      </c>
      <c r="J1047" t="e">
        <f t="shared" si="1"/>
        <v>#DIV/0!</v>
      </c>
      <c r="K1047" t="e">
        <f t="shared" si="2"/>
        <v>#DIV/0!</v>
      </c>
      <c r="M1047" t="s">
        <v>247</v>
      </c>
      <c r="O1047" t="s">
        <v>38</v>
      </c>
      <c r="P1047" t="s">
        <v>280</v>
      </c>
      <c r="R1047" t="s">
        <v>921</v>
      </c>
      <c r="S1047" t="s">
        <v>946</v>
      </c>
      <c r="T1047" t="s">
        <v>42</v>
      </c>
      <c r="U1047" t="s">
        <v>270</v>
      </c>
      <c r="V1047">
        <v>2</v>
      </c>
      <c r="AB1047" t="s">
        <v>1008</v>
      </c>
    </row>
    <row r="1048" spans="1:28" hidden="1" x14ac:dyDescent="0.2">
      <c r="A1048" s="3">
        <v>44153</v>
      </c>
      <c r="D1048" s="6">
        <v>0.89178240740740744</v>
      </c>
      <c r="E1048">
        <v>-76.722745000000003</v>
      </c>
      <c r="F1048">
        <v>3.4778183330000001</v>
      </c>
      <c r="G1048">
        <v>2104</v>
      </c>
      <c r="H1048" t="e">
        <f t="shared" si="0"/>
        <v>#DIV/0!</v>
      </c>
      <c r="I1048">
        <v>2020</v>
      </c>
      <c r="J1048" t="e">
        <f t="shared" si="1"/>
        <v>#DIV/0!</v>
      </c>
      <c r="K1048" t="e">
        <f t="shared" si="2"/>
        <v>#DIV/0!</v>
      </c>
      <c r="M1048" t="s">
        <v>247</v>
      </c>
      <c r="O1048" t="s">
        <v>38</v>
      </c>
      <c r="P1048" t="s">
        <v>280</v>
      </c>
      <c r="R1048" t="s">
        <v>921</v>
      </c>
      <c r="S1048" t="s">
        <v>986</v>
      </c>
      <c r="T1048" t="s">
        <v>54</v>
      </c>
      <c r="U1048" t="s">
        <v>88</v>
      </c>
      <c r="V1048">
        <v>1</v>
      </c>
      <c r="AB1048" t="s">
        <v>1008</v>
      </c>
    </row>
    <row r="1049" spans="1:28" hidden="1" x14ac:dyDescent="0.2">
      <c r="A1049" s="3">
        <v>44153</v>
      </c>
      <c r="D1049" s="6">
        <v>0.88849537037037041</v>
      </c>
      <c r="E1049">
        <v>-76.722695000000002</v>
      </c>
      <c r="F1049">
        <v>3.4777499999999999</v>
      </c>
      <c r="G1049">
        <v>2114</v>
      </c>
      <c r="H1049" t="e">
        <f t="shared" si="0"/>
        <v>#DIV/0!</v>
      </c>
      <c r="I1049">
        <v>2020</v>
      </c>
      <c r="J1049" t="e">
        <f t="shared" si="1"/>
        <v>#DIV/0!</v>
      </c>
      <c r="K1049" t="e">
        <f t="shared" si="2"/>
        <v>#DIV/0!</v>
      </c>
      <c r="M1049" t="s">
        <v>247</v>
      </c>
      <c r="O1049" t="s">
        <v>38</v>
      </c>
      <c r="P1049" t="s">
        <v>280</v>
      </c>
      <c r="R1049" t="s">
        <v>921</v>
      </c>
      <c r="S1049" t="s">
        <v>945</v>
      </c>
      <c r="T1049" t="s">
        <v>54</v>
      </c>
      <c r="U1049" t="s">
        <v>88</v>
      </c>
      <c r="V1049">
        <v>1</v>
      </c>
      <c r="AB1049" t="s">
        <v>1008</v>
      </c>
    </row>
    <row r="1050" spans="1:28" hidden="1" x14ac:dyDescent="0.2">
      <c r="A1050" s="3">
        <v>44153</v>
      </c>
      <c r="D1050" s="6">
        <v>0.85846064814814815</v>
      </c>
      <c r="E1050">
        <v>-76.722458329999995</v>
      </c>
      <c r="F1050">
        <v>3.4772733329999999</v>
      </c>
      <c r="G1050">
        <v>2104</v>
      </c>
      <c r="H1050" t="e">
        <f t="shared" si="0"/>
        <v>#DIV/0!</v>
      </c>
      <c r="I1050">
        <v>2020</v>
      </c>
      <c r="J1050" t="e">
        <f t="shared" si="1"/>
        <v>#DIV/0!</v>
      </c>
      <c r="K1050" t="e">
        <f t="shared" si="2"/>
        <v>#DIV/0!</v>
      </c>
      <c r="M1050" t="s">
        <v>247</v>
      </c>
      <c r="O1050" t="s">
        <v>38</v>
      </c>
      <c r="P1050" t="s">
        <v>280</v>
      </c>
      <c r="R1050" t="s">
        <v>921</v>
      </c>
      <c r="S1050" t="s">
        <v>986</v>
      </c>
      <c r="T1050" t="s">
        <v>54</v>
      </c>
      <c r="U1050" t="s">
        <v>316</v>
      </c>
      <c r="V1050">
        <v>1</v>
      </c>
      <c r="AB1050" t="s">
        <v>1008</v>
      </c>
    </row>
    <row r="1051" spans="1:28" hidden="1" x14ac:dyDescent="0.2">
      <c r="A1051" s="3">
        <v>44153</v>
      </c>
      <c r="D1051" s="6">
        <v>0.85846064814814815</v>
      </c>
      <c r="E1051">
        <v>-76.722458329999995</v>
      </c>
      <c r="F1051">
        <v>3.4772733329999999</v>
      </c>
      <c r="G1051">
        <v>2104</v>
      </c>
      <c r="H1051" t="e">
        <f t="shared" si="0"/>
        <v>#DIV/0!</v>
      </c>
      <c r="I1051">
        <v>2020</v>
      </c>
      <c r="J1051" t="e">
        <f t="shared" si="1"/>
        <v>#DIV/0!</v>
      </c>
      <c r="K1051" t="e">
        <f t="shared" si="2"/>
        <v>#DIV/0!</v>
      </c>
      <c r="M1051" t="s">
        <v>247</v>
      </c>
      <c r="O1051" t="s">
        <v>38</v>
      </c>
      <c r="P1051" t="s">
        <v>280</v>
      </c>
      <c r="R1051" t="s">
        <v>921</v>
      </c>
      <c r="S1051" t="s">
        <v>986</v>
      </c>
      <c r="T1051" t="s">
        <v>54</v>
      </c>
      <c r="U1051" t="s">
        <v>88</v>
      </c>
      <c r="V1051">
        <v>1</v>
      </c>
      <c r="AB1051" t="s">
        <v>1008</v>
      </c>
    </row>
    <row r="1052" spans="1:28" hidden="1" x14ac:dyDescent="0.2">
      <c r="A1052" s="3">
        <v>44153</v>
      </c>
      <c r="D1052" s="6">
        <v>0.86238425925925921</v>
      </c>
      <c r="E1052">
        <v>-76.722386670000006</v>
      </c>
      <c r="F1052">
        <v>3.477328333</v>
      </c>
      <c r="G1052">
        <v>2104</v>
      </c>
      <c r="H1052" t="e">
        <f t="shared" si="0"/>
        <v>#DIV/0!</v>
      </c>
      <c r="I1052">
        <v>2020</v>
      </c>
      <c r="J1052" t="e">
        <f t="shared" si="1"/>
        <v>#DIV/0!</v>
      </c>
      <c r="K1052" t="e">
        <f t="shared" si="2"/>
        <v>#DIV/0!</v>
      </c>
      <c r="M1052" t="s">
        <v>247</v>
      </c>
      <c r="O1052" t="s">
        <v>38</v>
      </c>
      <c r="P1052" t="s">
        <v>280</v>
      </c>
      <c r="R1052" t="s">
        <v>921</v>
      </c>
      <c r="S1052" t="s">
        <v>945</v>
      </c>
      <c r="T1052" t="s">
        <v>54</v>
      </c>
      <c r="U1052" t="s">
        <v>88</v>
      </c>
      <c r="V1052">
        <v>1</v>
      </c>
      <c r="AB1052" t="s">
        <v>1008</v>
      </c>
    </row>
    <row r="1053" spans="1:28" hidden="1" x14ac:dyDescent="0.2">
      <c r="A1053" s="3">
        <v>44153</v>
      </c>
      <c r="D1053" s="6">
        <v>0.86238425925925921</v>
      </c>
      <c r="E1053">
        <v>-76.722386670000006</v>
      </c>
      <c r="F1053">
        <v>3.477328333</v>
      </c>
      <c r="G1053">
        <v>2104</v>
      </c>
      <c r="H1053" t="e">
        <f t="shared" si="0"/>
        <v>#DIV/0!</v>
      </c>
      <c r="I1053">
        <v>2020</v>
      </c>
      <c r="J1053" t="e">
        <f t="shared" si="1"/>
        <v>#DIV/0!</v>
      </c>
      <c r="K1053" t="e">
        <f t="shared" si="2"/>
        <v>#DIV/0!</v>
      </c>
      <c r="M1053" t="s">
        <v>247</v>
      </c>
      <c r="O1053" t="s">
        <v>38</v>
      </c>
      <c r="P1053" t="s">
        <v>280</v>
      </c>
      <c r="R1053" t="s">
        <v>921</v>
      </c>
      <c r="S1053" t="s">
        <v>946</v>
      </c>
      <c r="T1053" t="s">
        <v>54</v>
      </c>
      <c r="U1053" t="s">
        <v>937</v>
      </c>
      <c r="V1053">
        <v>1</v>
      </c>
      <c r="AB1053" t="s">
        <v>1008</v>
      </c>
    </row>
    <row r="1054" spans="1:28" hidden="1" x14ac:dyDescent="0.2">
      <c r="A1054" s="3">
        <v>44153</v>
      </c>
      <c r="D1054" s="6">
        <v>0.84493055555555552</v>
      </c>
      <c r="E1054">
        <v>-76.722373329999996</v>
      </c>
      <c r="F1054">
        <v>3.4772150000000002</v>
      </c>
      <c r="G1054">
        <v>2109</v>
      </c>
      <c r="H1054" t="e">
        <f t="shared" si="0"/>
        <v>#DIV/0!</v>
      </c>
      <c r="I1054">
        <v>2020</v>
      </c>
      <c r="J1054" t="e">
        <f t="shared" si="1"/>
        <v>#DIV/0!</v>
      </c>
      <c r="K1054" t="e">
        <f t="shared" si="2"/>
        <v>#DIV/0!</v>
      </c>
      <c r="M1054" t="s">
        <v>247</v>
      </c>
      <c r="O1054" t="s">
        <v>38</v>
      </c>
      <c r="P1054" t="s">
        <v>280</v>
      </c>
      <c r="R1054" t="s">
        <v>921</v>
      </c>
      <c r="S1054" t="s">
        <v>946</v>
      </c>
      <c r="T1054" t="s">
        <v>54</v>
      </c>
      <c r="U1054" t="s">
        <v>88</v>
      </c>
      <c r="V1054">
        <v>1</v>
      </c>
      <c r="AB1054" t="s">
        <v>1008</v>
      </c>
    </row>
    <row r="1055" spans="1:28" hidden="1" x14ac:dyDescent="0.2">
      <c r="A1055" s="3">
        <v>44153</v>
      </c>
      <c r="D1055" s="6">
        <v>0.84493055555555552</v>
      </c>
      <c r="E1055">
        <v>-76.722373329999996</v>
      </c>
      <c r="F1055">
        <v>3.4772150000000002</v>
      </c>
      <c r="G1055">
        <v>2109</v>
      </c>
      <c r="H1055" t="e">
        <f t="shared" si="0"/>
        <v>#DIV/0!</v>
      </c>
      <c r="I1055">
        <v>2020</v>
      </c>
      <c r="J1055" t="e">
        <f t="shared" si="1"/>
        <v>#DIV/0!</v>
      </c>
      <c r="K1055" t="e">
        <f t="shared" si="2"/>
        <v>#DIV/0!</v>
      </c>
      <c r="M1055" t="s">
        <v>247</v>
      </c>
      <c r="O1055" t="s">
        <v>38</v>
      </c>
      <c r="P1055" t="s">
        <v>280</v>
      </c>
      <c r="R1055" t="s">
        <v>921</v>
      </c>
      <c r="S1055" t="s">
        <v>986</v>
      </c>
      <c r="T1055" t="s">
        <v>42</v>
      </c>
      <c r="U1055" t="s">
        <v>270</v>
      </c>
      <c r="V1055">
        <v>1</v>
      </c>
      <c r="AB1055" t="s">
        <v>1008</v>
      </c>
    </row>
    <row r="1056" spans="1:28" hidden="1" x14ac:dyDescent="0.2">
      <c r="A1056" s="3">
        <v>44153</v>
      </c>
      <c r="D1056" s="6">
        <v>0.87565972222222221</v>
      </c>
      <c r="E1056">
        <v>-76.722426670000004</v>
      </c>
      <c r="F1056">
        <v>3.4774283330000002</v>
      </c>
      <c r="G1056">
        <v>2104</v>
      </c>
      <c r="H1056" t="e">
        <f t="shared" si="0"/>
        <v>#DIV/0!</v>
      </c>
      <c r="I1056">
        <v>2020</v>
      </c>
      <c r="J1056" t="e">
        <f t="shared" si="1"/>
        <v>#DIV/0!</v>
      </c>
      <c r="K1056" t="e">
        <f t="shared" si="2"/>
        <v>#DIV/0!</v>
      </c>
      <c r="M1056" t="s">
        <v>247</v>
      </c>
      <c r="O1056" t="s">
        <v>38</v>
      </c>
      <c r="P1056" t="s">
        <v>280</v>
      </c>
      <c r="R1056" t="s">
        <v>921</v>
      </c>
      <c r="S1056" t="s">
        <v>945</v>
      </c>
      <c r="T1056" t="s">
        <v>54</v>
      </c>
      <c r="U1056" t="s">
        <v>88</v>
      </c>
      <c r="V1056">
        <v>3</v>
      </c>
      <c r="AB1056" t="s">
        <v>1008</v>
      </c>
    </row>
    <row r="1057" spans="1:28" hidden="1" x14ac:dyDescent="0.2">
      <c r="A1057" s="3">
        <v>44153</v>
      </c>
      <c r="D1057" s="6">
        <v>0.88146990740740738</v>
      </c>
      <c r="E1057">
        <v>-76.722489999999993</v>
      </c>
      <c r="F1057">
        <v>3.4775933330000002</v>
      </c>
      <c r="G1057">
        <v>2110</v>
      </c>
      <c r="H1057" t="e">
        <f t="shared" si="0"/>
        <v>#DIV/0!</v>
      </c>
      <c r="I1057">
        <v>2020</v>
      </c>
      <c r="J1057" t="e">
        <f t="shared" si="1"/>
        <v>#DIV/0!</v>
      </c>
      <c r="K1057" t="e">
        <f t="shared" si="2"/>
        <v>#DIV/0!</v>
      </c>
      <c r="M1057" t="s">
        <v>247</v>
      </c>
      <c r="O1057" t="s">
        <v>38</v>
      </c>
      <c r="P1057" t="s">
        <v>280</v>
      </c>
      <c r="R1057" t="s">
        <v>921</v>
      </c>
      <c r="S1057" t="s">
        <v>986</v>
      </c>
      <c r="T1057" t="s">
        <v>42</v>
      </c>
      <c r="U1057" t="s">
        <v>270</v>
      </c>
      <c r="V1057">
        <v>2</v>
      </c>
      <c r="AB1057" t="s">
        <v>1008</v>
      </c>
    </row>
    <row r="1058" spans="1:28" hidden="1" x14ac:dyDescent="0.2">
      <c r="A1058" s="3">
        <v>44153</v>
      </c>
      <c r="D1058" s="6">
        <v>0.92374999999999996</v>
      </c>
      <c r="E1058">
        <v>-76.722819999999999</v>
      </c>
      <c r="F1058">
        <v>3.4783916669999999</v>
      </c>
      <c r="G1058">
        <v>2106</v>
      </c>
      <c r="H1058" t="e">
        <f t="shared" si="0"/>
        <v>#DIV/0!</v>
      </c>
      <c r="I1058">
        <v>2020</v>
      </c>
      <c r="J1058" t="e">
        <f t="shared" si="1"/>
        <v>#DIV/0!</v>
      </c>
      <c r="K1058" t="e">
        <f t="shared" si="2"/>
        <v>#DIV/0!</v>
      </c>
      <c r="M1058" t="s">
        <v>247</v>
      </c>
      <c r="O1058" t="s">
        <v>40</v>
      </c>
      <c r="P1058" t="s">
        <v>280</v>
      </c>
      <c r="R1058" t="s">
        <v>921</v>
      </c>
      <c r="S1058" t="s">
        <v>945</v>
      </c>
      <c r="T1058" t="s">
        <v>54</v>
      </c>
      <c r="U1058" t="s">
        <v>88</v>
      </c>
      <c r="V1058">
        <v>1</v>
      </c>
      <c r="AB1058" t="s">
        <v>1008</v>
      </c>
    </row>
    <row r="1059" spans="1:28" hidden="1" x14ac:dyDescent="0.2">
      <c r="A1059" s="3">
        <v>44153</v>
      </c>
      <c r="D1059" s="6">
        <v>0.93668981481481484</v>
      </c>
      <c r="E1059">
        <v>-76.722873329999999</v>
      </c>
      <c r="F1059">
        <v>3.4786583329999998</v>
      </c>
      <c r="G1059">
        <v>2089</v>
      </c>
      <c r="H1059" t="e">
        <f t="shared" si="0"/>
        <v>#DIV/0!</v>
      </c>
      <c r="I1059">
        <v>2020</v>
      </c>
      <c r="J1059" t="e">
        <f t="shared" si="1"/>
        <v>#DIV/0!</v>
      </c>
      <c r="K1059" t="e">
        <f t="shared" si="2"/>
        <v>#DIV/0!</v>
      </c>
      <c r="M1059" t="s">
        <v>247</v>
      </c>
      <c r="O1059" t="s">
        <v>40</v>
      </c>
      <c r="P1059" t="s">
        <v>280</v>
      </c>
      <c r="R1059" t="s">
        <v>921</v>
      </c>
      <c r="S1059" t="s">
        <v>945</v>
      </c>
      <c r="T1059" t="s">
        <v>54</v>
      </c>
      <c r="U1059" t="s">
        <v>88</v>
      </c>
      <c r="V1059">
        <v>1</v>
      </c>
      <c r="AB1059" t="s">
        <v>1008</v>
      </c>
    </row>
    <row r="1060" spans="1:28" hidden="1" x14ac:dyDescent="0.2">
      <c r="A1060" s="3">
        <v>44153</v>
      </c>
      <c r="D1060" s="6">
        <v>0.89859953703703699</v>
      </c>
      <c r="E1060">
        <v>-76.72277167</v>
      </c>
      <c r="F1060">
        <v>3.4781083330000002</v>
      </c>
      <c r="G1060">
        <v>2105</v>
      </c>
      <c r="H1060" t="e">
        <f t="shared" si="0"/>
        <v>#DIV/0!</v>
      </c>
      <c r="I1060">
        <v>2020</v>
      </c>
      <c r="J1060" t="e">
        <f t="shared" si="1"/>
        <v>#DIV/0!</v>
      </c>
      <c r="K1060" t="e">
        <f t="shared" si="2"/>
        <v>#DIV/0!</v>
      </c>
      <c r="M1060" t="s">
        <v>247</v>
      </c>
      <c r="O1060" t="s">
        <v>40</v>
      </c>
      <c r="P1060" t="s">
        <v>280</v>
      </c>
      <c r="R1060" t="s">
        <v>921</v>
      </c>
      <c r="S1060" t="s">
        <v>946</v>
      </c>
      <c r="T1060" t="s">
        <v>54</v>
      </c>
      <c r="U1060" t="s">
        <v>293</v>
      </c>
      <c r="V1060">
        <v>1</v>
      </c>
      <c r="AB1060" t="s">
        <v>1008</v>
      </c>
    </row>
    <row r="1061" spans="1:28" hidden="1" x14ac:dyDescent="0.2">
      <c r="A1061" s="3">
        <v>44153</v>
      </c>
      <c r="D1061" s="6">
        <v>0.93912037037037033</v>
      </c>
      <c r="E1061">
        <v>-76.722821670000002</v>
      </c>
      <c r="F1061">
        <v>3.4787083330000002</v>
      </c>
      <c r="G1061">
        <v>2089</v>
      </c>
      <c r="H1061" t="e">
        <f t="shared" si="0"/>
        <v>#DIV/0!</v>
      </c>
      <c r="I1061">
        <v>2020</v>
      </c>
      <c r="J1061" t="e">
        <f t="shared" si="1"/>
        <v>#DIV/0!</v>
      </c>
      <c r="K1061" t="e">
        <f t="shared" si="2"/>
        <v>#DIV/0!</v>
      </c>
      <c r="M1061" t="s">
        <v>247</v>
      </c>
      <c r="O1061" t="s">
        <v>40</v>
      </c>
      <c r="P1061" t="s">
        <v>280</v>
      </c>
      <c r="R1061" t="s">
        <v>921</v>
      </c>
      <c r="S1061" t="s">
        <v>945</v>
      </c>
      <c r="T1061" t="s">
        <v>54</v>
      </c>
      <c r="U1061" t="s">
        <v>88</v>
      </c>
      <c r="V1061">
        <v>1</v>
      </c>
      <c r="AB1061" t="s">
        <v>1008</v>
      </c>
    </row>
    <row r="1062" spans="1:28" hidden="1" x14ac:dyDescent="0.2">
      <c r="A1062" s="3">
        <v>44153</v>
      </c>
      <c r="D1062" s="6">
        <v>0.92746527777777776</v>
      </c>
      <c r="E1062">
        <v>-76.722683329999995</v>
      </c>
      <c r="F1062">
        <v>3.4785466669999998</v>
      </c>
      <c r="G1062">
        <v>2089</v>
      </c>
      <c r="H1062" t="e">
        <f t="shared" si="0"/>
        <v>#DIV/0!</v>
      </c>
      <c r="I1062">
        <v>2020</v>
      </c>
      <c r="J1062" t="e">
        <f t="shared" si="1"/>
        <v>#DIV/0!</v>
      </c>
      <c r="K1062" t="e">
        <f t="shared" si="2"/>
        <v>#DIV/0!</v>
      </c>
      <c r="M1062" t="s">
        <v>247</v>
      </c>
      <c r="O1062" t="s">
        <v>40</v>
      </c>
      <c r="P1062" t="s">
        <v>280</v>
      </c>
      <c r="R1062" t="s">
        <v>921</v>
      </c>
      <c r="S1062" t="s">
        <v>945</v>
      </c>
      <c r="T1062" t="s">
        <v>54</v>
      </c>
      <c r="U1062" t="s">
        <v>293</v>
      </c>
      <c r="V1062">
        <v>1</v>
      </c>
      <c r="AB1062" t="s">
        <v>1008</v>
      </c>
    </row>
    <row r="1063" spans="1:28" hidden="1" x14ac:dyDescent="0.2">
      <c r="A1063" s="3">
        <v>44153</v>
      </c>
      <c r="D1063" s="6">
        <v>0.92746527777777776</v>
      </c>
      <c r="E1063">
        <v>-76.722683329999995</v>
      </c>
      <c r="F1063">
        <v>3.4785466669999998</v>
      </c>
      <c r="G1063">
        <v>2106</v>
      </c>
      <c r="H1063" t="e">
        <f t="shared" si="0"/>
        <v>#DIV/0!</v>
      </c>
      <c r="I1063">
        <v>2020</v>
      </c>
      <c r="J1063" t="e">
        <f t="shared" si="1"/>
        <v>#DIV/0!</v>
      </c>
      <c r="K1063" t="e">
        <f t="shared" si="2"/>
        <v>#DIV/0!</v>
      </c>
      <c r="M1063" t="s">
        <v>247</v>
      </c>
      <c r="O1063" t="s">
        <v>40</v>
      </c>
      <c r="P1063" t="s">
        <v>280</v>
      </c>
      <c r="R1063" t="s">
        <v>921</v>
      </c>
      <c r="S1063" t="s">
        <v>945</v>
      </c>
      <c r="T1063" t="s">
        <v>54</v>
      </c>
      <c r="U1063" t="s">
        <v>88</v>
      </c>
      <c r="V1063">
        <v>1</v>
      </c>
      <c r="AB1063" t="s">
        <v>1008</v>
      </c>
    </row>
    <row r="1064" spans="1:28" hidden="1" x14ac:dyDescent="0.2">
      <c r="A1064" s="3">
        <v>44153</v>
      </c>
      <c r="D1064" s="6">
        <v>0.94266203703703699</v>
      </c>
      <c r="E1064">
        <v>-76.722835000000003</v>
      </c>
      <c r="F1064">
        <v>3.4788983330000001</v>
      </c>
      <c r="G1064">
        <v>2089</v>
      </c>
      <c r="H1064" t="e">
        <f t="shared" si="0"/>
        <v>#DIV/0!</v>
      </c>
      <c r="I1064">
        <v>2020</v>
      </c>
      <c r="J1064" t="e">
        <f t="shared" si="1"/>
        <v>#DIV/0!</v>
      </c>
      <c r="K1064" t="e">
        <f t="shared" si="2"/>
        <v>#DIV/0!</v>
      </c>
      <c r="M1064" t="s">
        <v>247</v>
      </c>
      <c r="O1064" t="s">
        <v>40</v>
      </c>
      <c r="P1064" t="s">
        <v>280</v>
      </c>
      <c r="R1064" t="s">
        <v>921</v>
      </c>
      <c r="S1064" t="s">
        <v>986</v>
      </c>
      <c r="T1064" t="s">
        <v>54</v>
      </c>
      <c r="U1064" t="s">
        <v>88</v>
      </c>
      <c r="V1064">
        <v>2</v>
      </c>
      <c r="AB1064" t="s">
        <v>1008</v>
      </c>
    </row>
    <row r="1065" spans="1:28" hidden="1" x14ac:dyDescent="0.2">
      <c r="A1065" s="3">
        <v>44153</v>
      </c>
      <c r="D1065" s="6">
        <v>0.9173958333333333</v>
      </c>
      <c r="E1065">
        <v>-76.722859999999997</v>
      </c>
      <c r="F1065">
        <v>3.4782799999999998</v>
      </c>
      <c r="G1065">
        <v>2106</v>
      </c>
      <c r="H1065" t="e">
        <f t="shared" si="0"/>
        <v>#DIV/0!</v>
      </c>
      <c r="I1065">
        <v>2020</v>
      </c>
      <c r="J1065" t="e">
        <f t="shared" si="1"/>
        <v>#DIV/0!</v>
      </c>
      <c r="K1065" t="e">
        <f t="shared" si="2"/>
        <v>#DIV/0!</v>
      </c>
      <c r="M1065" t="s">
        <v>247</v>
      </c>
      <c r="O1065" t="s">
        <v>40</v>
      </c>
      <c r="P1065" t="s">
        <v>280</v>
      </c>
      <c r="R1065" t="s">
        <v>921</v>
      </c>
      <c r="S1065" t="s">
        <v>945</v>
      </c>
      <c r="T1065" t="s">
        <v>54</v>
      </c>
      <c r="U1065" t="s">
        <v>88</v>
      </c>
      <c r="V1065">
        <v>2</v>
      </c>
      <c r="AB1065" t="s">
        <v>1008</v>
      </c>
    </row>
    <row r="1066" spans="1:28" hidden="1" x14ac:dyDescent="0.2">
      <c r="A1066" s="3">
        <v>44153</v>
      </c>
      <c r="D1066" s="6">
        <v>0.94601851851851848</v>
      </c>
      <c r="E1066">
        <v>-76.722958329999997</v>
      </c>
      <c r="F1066">
        <v>3.4789733329999999</v>
      </c>
      <c r="G1066">
        <v>2089</v>
      </c>
      <c r="H1066" t="e">
        <f t="shared" si="0"/>
        <v>#DIV/0!</v>
      </c>
      <c r="I1066">
        <v>2020</v>
      </c>
      <c r="J1066" t="e">
        <f t="shared" si="1"/>
        <v>#DIV/0!</v>
      </c>
      <c r="K1066" t="e">
        <f t="shared" si="2"/>
        <v>#DIV/0!</v>
      </c>
      <c r="M1066" t="s">
        <v>247</v>
      </c>
      <c r="O1066" t="s">
        <v>40</v>
      </c>
      <c r="P1066" t="s">
        <v>280</v>
      </c>
      <c r="R1066" t="s">
        <v>921</v>
      </c>
      <c r="S1066" t="s">
        <v>986</v>
      </c>
      <c r="T1066" t="s">
        <v>54</v>
      </c>
      <c r="U1066" t="s">
        <v>316</v>
      </c>
      <c r="V1066">
        <v>1</v>
      </c>
      <c r="AB1066" t="s">
        <v>1008</v>
      </c>
    </row>
    <row r="1067" spans="1:28" hidden="1" x14ac:dyDescent="0.2">
      <c r="A1067" s="3">
        <v>44153</v>
      </c>
      <c r="D1067" s="6">
        <v>0.90462962962962967</v>
      </c>
      <c r="E1067">
        <v>-76.722751669999994</v>
      </c>
      <c r="F1067">
        <v>3.4781816669999999</v>
      </c>
      <c r="G1067">
        <v>2114</v>
      </c>
      <c r="H1067" t="e">
        <f t="shared" si="0"/>
        <v>#DIV/0!</v>
      </c>
      <c r="I1067">
        <v>2020</v>
      </c>
      <c r="J1067" t="e">
        <f t="shared" si="1"/>
        <v>#DIV/0!</v>
      </c>
      <c r="K1067" t="e">
        <f t="shared" si="2"/>
        <v>#DIV/0!</v>
      </c>
      <c r="M1067" t="s">
        <v>247</v>
      </c>
      <c r="O1067" t="s">
        <v>40</v>
      </c>
      <c r="P1067" t="s">
        <v>280</v>
      </c>
      <c r="R1067" t="s">
        <v>921</v>
      </c>
      <c r="S1067" t="s">
        <v>946</v>
      </c>
      <c r="T1067" t="s">
        <v>54</v>
      </c>
      <c r="U1067" t="s">
        <v>88</v>
      </c>
      <c r="V1067">
        <v>5</v>
      </c>
      <c r="AB1067" t="s">
        <v>1008</v>
      </c>
    </row>
    <row r="1068" spans="1:28" hidden="1" x14ac:dyDescent="0.2">
      <c r="A1068" s="3">
        <v>44153</v>
      </c>
      <c r="D1068" s="6">
        <v>0.90462962962962967</v>
      </c>
      <c r="E1068">
        <v>-76.722751669999994</v>
      </c>
      <c r="F1068">
        <v>3.4781816669999999</v>
      </c>
      <c r="G1068">
        <v>2106</v>
      </c>
      <c r="H1068" t="e">
        <f t="shared" si="0"/>
        <v>#DIV/0!</v>
      </c>
      <c r="I1068">
        <v>2020</v>
      </c>
      <c r="J1068" t="e">
        <f t="shared" si="1"/>
        <v>#DIV/0!</v>
      </c>
      <c r="K1068" t="e">
        <f t="shared" si="2"/>
        <v>#DIV/0!</v>
      </c>
      <c r="M1068" t="s">
        <v>247</v>
      </c>
      <c r="O1068" t="s">
        <v>40</v>
      </c>
      <c r="P1068" t="s">
        <v>280</v>
      </c>
      <c r="R1068" t="s">
        <v>921</v>
      </c>
      <c r="S1068" t="s">
        <v>945</v>
      </c>
      <c r="T1068" t="s">
        <v>54</v>
      </c>
      <c r="U1068" t="s">
        <v>88</v>
      </c>
      <c r="V1068">
        <v>1</v>
      </c>
      <c r="AB1068" t="s">
        <v>1008</v>
      </c>
    </row>
    <row r="1069" spans="1:28" hidden="1" x14ac:dyDescent="0.2">
      <c r="A1069" s="3">
        <v>44153</v>
      </c>
      <c r="D1069" s="6">
        <v>0.90462962962962967</v>
      </c>
      <c r="E1069">
        <v>-76.722751669999994</v>
      </c>
      <c r="F1069">
        <v>3.4781816669999999</v>
      </c>
      <c r="G1069">
        <v>2104</v>
      </c>
      <c r="H1069" t="e">
        <f t="shared" si="0"/>
        <v>#DIV/0!</v>
      </c>
      <c r="I1069">
        <v>2020</v>
      </c>
      <c r="J1069" t="e">
        <f t="shared" si="1"/>
        <v>#DIV/0!</v>
      </c>
      <c r="K1069" t="e">
        <f t="shared" si="2"/>
        <v>#DIV/0!</v>
      </c>
      <c r="M1069" t="s">
        <v>247</v>
      </c>
      <c r="O1069" t="s">
        <v>40</v>
      </c>
      <c r="P1069" t="s">
        <v>280</v>
      </c>
      <c r="R1069" t="s">
        <v>921</v>
      </c>
      <c r="S1069" t="s">
        <v>946</v>
      </c>
      <c r="T1069" t="s">
        <v>54</v>
      </c>
      <c r="U1069" t="s">
        <v>88</v>
      </c>
      <c r="V1069">
        <v>2</v>
      </c>
      <c r="AB1069" t="s">
        <v>1008</v>
      </c>
    </row>
    <row r="1070" spans="1:28" hidden="1" x14ac:dyDescent="0.2">
      <c r="A1070" s="3">
        <v>44153</v>
      </c>
      <c r="D1070" s="6">
        <v>0.99190972222222218</v>
      </c>
      <c r="E1070">
        <v>-76.723231670000004</v>
      </c>
      <c r="F1070">
        <v>3.4805933329999998</v>
      </c>
      <c r="G1070">
        <v>2067</v>
      </c>
      <c r="H1070" t="e">
        <f t="shared" si="0"/>
        <v>#DIV/0!</v>
      </c>
      <c r="I1070">
        <v>2020</v>
      </c>
      <c r="J1070" t="e">
        <f t="shared" si="1"/>
        <v>#DIV/0!</v>
      </c>
      <c r="K1070" t="e">
        <f t="shared" si="2"/>
        <v>#DIV/0!</v>
      </c>
      <c r="M1070" t="s">
        <v>247</v>
      </c>
      <c r="O1070" t="s">
        <v>58</v>
      </c>
      <c r="P1070" t="s">
        <v>280</v>
      </c>
      <c r="R1070" t="s">
        <v>921</v>
      </c>
      <c r="S1070" t="s">
        <v>946</v>
      </c>
      <c r="T1070" t="s">
        <v>54</v>
      </c>
      <c r="U1070" t="s">
        <v>296</v>
      </c>
      <c r="V1070">
        <v>1</v>
      </c>
      <c r="AB1070" t="s">
        <v>1008</v>
      </c>
    </row>
    <row r="1071" spans="1:28" hidden="1" x14ac:dyDescent="0.2">
      <c r="A1071" s="3">
        <v>44153</v>
      </c>
      <c r="D1071" s="6">
        <v>0.98858796296296292</v>
      </c>
      <c r="E1071">
        <v>-76.723245000000006</v>
      </c>
      <c r="F1071">
        <v>3.4805633330000001</v>
      </c>
      <c r="G1071">
        <v>2067</v>
      </c>
      <c r="H1071" t="e">
        <f t="shared" si="0"/>
        <v>#DIV/0!</v>
      </c>
      <c r="I1071">
        <v>2020</v>
      </c>
      <c r="J1071" t="e">
        <f t="shared" si="1"/>
        <v>#DIV/0!</v>
      </c>
      <c r="K1071" t="e">
        <f t="shared" si="2"/>
        <v>#DIV/0!</v>
      </c>
      <c r="M1071" t="s">
        <v>247</v>
      </c>
      <c r="O1071" t="s">
        <v>58</v>
      </c>
      <c r="P1071" t="s">
        <v>280</v>
      </c>
      <c r="R1071" t="s">
        <v>921</v>
      </c>
      <c r="S1071" t="s">
        <v>986</v>
      </c>
      <c r="T1071" t="s">
        <v>54</v>
      </c>
      <c r="U1071" t="s">
        <v>88</v>
      </c>
      <c r="V1071">
        <v>2</v>
      </c>
      <c r="AB1071" t="s">
        <v>1008</v>
      </c>
    </row>
    <row r="1072" spans="1:28" hidden="1" x14ac:dyDescent="0.2">
      <c r="A1072" s="3">
        <v>44153</v>
      </c>
      <c r="D1072" s="6">
        <v>2.2685185185185187E-3</v>
      </c>
      <c r="E1072">
        <v>-76.723201669999995</v>
      </c>
      <c r="F1072">
        <v>3.4808783330000002</v>
      </c>
      <c r="G1072">
        <v>2063</v>
      </c>
      <c r="H1072" t="e">
        <f t="shared" si="0"/>
        <v>#DIV/0!</v>
      </c>
      <c r="I1072">
        <v>2020</v>
      </c>
      <c r="J1072" t="e">
        <f t="shared" si="1"/>
        <v>#DIV/0!</v>
      </c>
      <c r="K1072" t="e">
        <f t="shared" si="2"/>
        <v>#DIV/0!</v>
      </c>
      <c r="M1072" t="s">
        <v>247</v>
      </c>
      <c r="O1072" t="s">
        <v>58</v>
      </c>
      <c r="P1072" t="s">
        <v>280</v>
      </c>
      <c r="R1072" t="s">
        <v>921</v>
      </c>
      <c r="S1072" t="s">
        <v>946</v>
      </c>
      <c r="T1072" t="s">
        <v>54</v>
      </c>
      <c r="U1072" t="s">
        <v>88</v>
      </c>
      <c r="V1072">
        <v>1</v>
      </c>
      <c r="AB1072" t="s">
        <v>1008</v>
      </c>
    </row>
    <row r="1073" spans="1:28" hidden="1" x14ac:dyDescent="0.2">
      <c r="A1073" s="3">
        <v>44153</v>
      </c>
      <c r="D1073" s="6">
        <v>0.9946990740740741</v>
      </c>
      <c r="E1073">
        <v>-76.723296669999996</v>
      </c>
      <c r="F1073">
        <v>3.4806849999999998</v>
      </c>
      <c r="G1073">
        <v>2067</v>
      </c>
      <c r="H1073" t="e">
        <f t="shared" si="0"/>
        <v>#DIV/0!</v>
      </c>
      <c r="I1073">
        <v>2020</v>
      </c>
      <c r="J1073" t="e">
        <f t="shared" si="1"/>
        <v>#DIV/0!</v>
      </c>
      <c r="K1073" t="e">
        <f t="shared" si="2"/>
        <v>#DIV/0!</v>
      </c>
      <c r="M1073" t="s">
        <v>247</v>
      </c>
      <c r="O1073" t="s">
        <v>58</v>
      </c>
      <c r="P1073" t="s">
        <v>280</v>
      </c>
      <c r="R1073" t="s">
        <v>921</v>
      </c>
      <c r="S1073" t="s">
        <v>946</v>
      </c>
      <c r="T1073" t="s">
        <v>54</v>
      </c>
      <c r="U1073" t="s">
        <v>88</v>
      </c>
      <c r="V1073">
        <v>1</v>
      </c>
      <c r="AB1073" t="s">
        <v>1008</v>
      </c>
    </row>
    <row r="1074" spans="1:28" hidden="1" x14ac:dyDescent="0.2">
      <c r="A1074" s="3">
        <v>44153</v>
      </c>
      <c r="D1074" s="6">
        <v>0.79672453703703705</v>
      </c>
      <c r="E1074">
        <v>-76.722219999999993</v>
      </c>
      <c r="F1074">
        <v>3.4768283329999998</v>
      </c>
      <c r="G1074">
        <v>2114</v>
      </c>
      <c r="H1074" t="e">
        <f t="shared" si="0"/>
        <v>#DIV/0!</v>
      </c>
      <c r="I1074">
        <v>2020</v>
      </c>
      <c r="J1074" t="e">
        <f t="shared" si="1"/>
        <v>#DIV/0!</v>
      </c>
      <c r="K1074" t="e">
        <f t="shared" si="2"/>
        <v>#DIV/0!</v>
      </c>
      <c r="M1074" t="s">
        <v>247</v>
      </c>
      <c r="O1074" t="s">
        <v>32</v>
      </c>
      <c r="P1074" t="s">
        <v>280</v>
      </c>
      <c r="R1074" t="s">
        <v>921</v>
      </c>
      <c r="S1074" t="s">
        <v>986</v>
      </c>
      <c r="T1074" t="s">
        <v>54</v>
      </c>
      <c r="U1074" t="s">
        <v>316</v>
      </c>
      <c r="V1074">
        <v>1</v>
      </c>
      <c r="AB1074" t="s">
        <v>1008</v>
      </c>
    </row>
    <row r="1075" spans="1:28" hidden="1" x14ac:dyDescent="0.2">
      <c r="A1075" s="3">
        <v>44153</v>
      </c>
      <c r="D1075" s="6">
        <v>0.8359375</v>
      </c>
      <c r="E1075">
        <v>-76.722288329999998</v>
      </c>
      <c r="F1075">
        <v>3.4769716669999999</v>
      </c>
      <c r="G1075">
        <v>2109</v>
      </c>
      <c r="H1075" t="e">
        <f t="shared" si="0"/>
        <v>#DIV/0!</v>
      </c>
      <c r="I1075">
        <v>2020</v>
      </c>
      <c r="J1075" t="e">
        <f t="shared" si="1"/>
        <v>#DIV/0!</v>
      </c>
      <c r="K1075" t="e">
        <f t="shared" si="2"/>
        <v>#DIV/0!</v>
      </c>
      <c r="M1075" t="s">
        <v>247</v>
      </c>
      <c r="O1075" t="s">
        <v>32</v>
      </c>
      <c r="P1075" t="s">
        <v>280</v>
      </c>
      <c r="R1075" t="s">
        <v>921</v>
      </c>
      <c r="S1075" t="s">
        <v>946</v>
      </c>
      <c r="T1075" t="s">
        <v>54</v>
      </c>
      <c r="U1075" t="s">
        <v>316</v>
      </c>
      <c r="V1075">
        <v>1</v>
      </c>
      <c r="AB1075" t="s">
        <v>1008</v>
      </c>
    </row>
    <row r="1076" spans="1:28" hidden="1" x14ac:dyDescent="0.2">
      <c r="A1076" s="3">
        <v>44153</v>
      </c>
      <c r="D1076" s="6">
        <v>0.8359375</v>
      </c>
      <c r="E1076">
        <v>-76.722288329999998</v>
      </c>
      <c r="F1076">
        <v>3.4769716669999999</v>
      </c>
      <c r="G1076">
        <v>2109</v>
      </c>
      <c r="H1076" t="e">
        <f t="shared" si="0"/>
        <v>#DIV/0!</v>
      </c>
      <c r="I1076">
        <v>2020</v>
      </c>
      <c r="J1076" t="e">
        <f t="shared" si="1"/>
        <v>#DIV/0!</v>
      </c>
      <c r="K1076" t="e">
        <f t="shared" si="2"/>
        <v>#DIV/0!</v>
      </c>
      <c r="M1076" t="s">
        <v>247</v>
      </c>
      <c r="O1076" t="s">
        <v>32</v>
      </c>
      <c r="P1076" t="s">
        <v>280</v>
      </c>
      <c r="R1076" t="s">
        <v>921</v>
      </c>
      <c r="S1076" t="s">
        <v>986</v>
      </c>
      <c r="T1076" t="s">
        <v>54</v>
      </c>
      <c r="U1076" t="s">
        <v>316</v>
      </c>
      <c r="V1076">
        <v>1</v>
      </c>
      <c r="AB1076" t="s">
        <v>1008</v>
      </c>
    </row>
    <row r="1077" spans="1:28" hidden="1" x14ac:dyDescent="0.2">
      <c r="A1077" s="3">
        <v>44153</v>
      </c>
      <c r="D1077" s="6">
        <v>0.82197916666666671</v>
      </c>
      <c r="E1077">
        <v>-76.722279999999998</v>
      </c>
      <c r="F1077">
        <v>3.4769066670000002</v>
      </c>
      <c r="G1077">
        <v>2105</v>
      </c>
      <c r="H1077" t="e">
        <f t="shared" si="0"/>
        <v>#DIV/0!</v>
      </c>
      <c r="I1077">
        <v>2020</v>
      </c>
      <c r="J1077" t="e">
        <f t="shared" si="1"/>
        <v>#DIV/0!</v>
      </c>
      <c r="K1077" t="e">
        <f t="shared" si="2"/>
        <v>#DIV/0!</v>
      </c>
      <c r="M1077" t="s">
        <v>247</v>
      </c>
      <c r="O1077" t="s">
        <v>32</v>
      </c>
      <c r="P1077" t="s">
        <v>280</v>
      </c>
      <c r="R1077" t="s">
        <v>921</v>
      </c>
      <c r="S1077" t="s">
        <v>986</v>
      </c>
      <c r="T1077" t="s">
        <v>54</v>
      </c>
      <c r="U1077" t="s">
        <v>316</v>
      </c>
      <c r="V1077">
        <v>1</v>
      </c>
      <c r="AB1077" t="s">
        <v>1008</v>
      </c>
    </row>
    <row r="1078" spans="1:28" hidden="1" x14ac:dyDescent="0.2">
      <c r="A1078" s="3">
        <v>44153</v>
      </c>
      <c r="D1078" s="6">
        <v>0.82197916666666671</v>
      </c>
      <c r="E1078">
        <v>-76.722279999999998</v>
      </c>
      <c r="F1078">
        <v>3.4769066670000002</v>
      </c>
      <c r="G1078">
        <v>2105</v>
      </c>
      <c r="H1078" t="e">
        <f t="shared" si="0"/>
        <v>#DIV/0!</v>
      </c>
      <c r="I1078">
        <v>2020</v>
      </c>
      <c r="J1078" t="e">
        <f t="shared" si="1"/>
        <v>#DIV/0!</v>
      </c>
      <c r="K1078" t="e">
        <f t="shared" si="2"/>
        <v>#DIV/0!</v>
      </c>
      <c r="M1078" t="s">
        <v>247</v>
      </c>
      <c r="O1078" t="s">
        <v>32</v>
      </c>
      <c r="P1078" t="s">
        <v>280</v>
      </c>
      <c r="R1078" t="s">
        <v>921</v>
      </c>
      <c r="S1078" t="s">
        <v>986</v>
      </c>
      <c r="T1078" t="s">
        <v>54</v>
      </c>
      <c r="U1078" t="s">
        <v>88</v>
      </c>
      <c r="V1078">
        <v>1</v>
      </c>
      <c r="AB1078" t="s">
        <v>1008</v>
      </c>
    </row>
    <row r="1079" spans="1:28" hidden="1" x14ac:dyDescent="0.2">
      <c r="A1079" s="3">
        <v>44153</v>
      </c>
      <c r="D1079" s="6">
        <v>0.82197916666666671</v>
      </c>
      <c r="E1079">
        <v>-76.722279999999998</v>
      </c>
      <c r="F1079">
        <v>3.4769066670000002</v>
      </c>
      <c r="G1079">
        <v>2105</v>
      </c>
      <c r="H1079" t="e">
        <f t="shared" si="0"/>
        <v>#DIV/0!</v>
      </c>
      <c r="I1079">
        <v>2020</v>
      </c>
      <c r="J1079" t="e">
        <f t="shared" si="1"/>
        <v>#DIV/0!</v>
      </c>
      <c r="K1079" t="e">
        <f t="shared" si="2"/>
        <v>#DIV/0!</v>
      </c>
      <c r="M1079" t="s">
        <v>247</v>
      </c>
      <c r="O1079" t="s">
        <v>32</v>
      </c>
      <c r="P1079" t="s">
        <v>280</v>
      </c>
      <c r="R1079" t="s">
        <v>921</v>
      </c>
      <c r="S1079" t="s">
        <v>986</v>
      </c>
      <c r="T1079" t="s">
        <v>54</v>
      </c>
      <c r="U1079" t="s">
        <v>88</v>
      </c>
      <c r="V1079">
        <v>1</v>
      </c>
      <c r="AB1079" t="s">
        <v>1008</v>
      </c>
    </row>
    <row r="1080" spans="1:28" hidden="1" x14ac:dyDescent="0.2">
      <c r="A1080" s="3">
        <v>44153</v>
      </c>
      <c r="D1080" s="6">
        <v>0.80571759259259257</v>
      </c>
      <c r="E1080">
        <v>-76.722196670000002</v>
      </c>
      <c r="F1080">
        <v>3.4768633329999998</v>
      </c>
      <c r="G1080">
        <v>2114</v>
      </c>
      <c r="H1080" t="e">
        <f t="shared" si="0"/>
        <v>#DIV/0!</v>
      </c>
      <c r="I1080">
        <v>2020</v>
      </c>
      <c r="J1080" t="e">
        <f t="shared" si="1"/>
        <v>#DIV/0!</v>
      </c>
      <c r="K1080" t="e">
        <f t="shared" si="2"/>
        <v>#DIV/0!</v>
      </c>
      <c r="M1080" t="s">
        <v>247</v>
      </c>
      <c r="O1080" t="s">
        <v>32</v>
      </c>
      <c r="P1080" t="s">
        <v>280</v>
      </c>
      <c r="R1080" t="s">
        <v>921</v>
      </c>
      <c r="S1080" t="s">
        <v>986</v>
      </c>
      <c r="T1080" t="s">
        <v>54</v>
      </c>
      <c r="U1080" t="s">
        <v>224</v>
      </c>
      <c r="V1080">
        <v>1</v>
      </c>
      <c r="AB1080" t="s">
        <v>1008</v>
      </c>
    </row>
    <row r="1081" spans="1:28" hidden="1" x14ac:dyDescent="0.2">
      <c r="A1081" s="3">
        <v>44153</v>
      </c>
      <c r="D1081" s="6">
        <v>0.81738425925925928</v>
      </c>
      <c r="E1081">
        <v>-76.722184999999996</v>
      </c>
      <c r="F1081">
        <v>3.4768883330000002</v>
      </c>
      <c r="G1081">
        <v>2110</v>
      </c>
      <c r="H1081" t="e">
        <f t="shared" si="0"/>
        <v>#DIV/0!</v>
      </c>
      <c r="I1081">
        <v>2020</v>
      </c>
      <c r="J1081" t="e">
        <f t="shared" si="1"/>
        <v>#DIV/0!</v>
      </c>
      <c r="K1081" t="e">
        <f t="shared" si="2"/>
        <v>#DIV/0!</v>
      </c>
      <c r="M1081" t="s">
        <v>247</v>
      </c>
      <c r="O1081" t="s">
        <v>32</v>
      </c>
      <c r="P1081" t="s">
        <v>280</v>
      </c>
      <c r="R1081" t="s">
        <v>921</v>
      </c>
      <c r="S1081" t="s">
        <v>946</v>
      </c>
      <c r="T1081" t="s">
        <v>54</v>
      </c>
      <c r="U1081" t="s">
        <v>316</v>
      </c>
      <c r="V1081">
        <v>1</v>
      </c>
      <c r="AB1081" t="s">
        <v>1008</v>
      </c>
    </row>
    <row r="1082" spans="1:28" hidden="1" x14ac:dyDescent="0.2">
      <c r="A1082" s="3">
        <v>44153</v>
      </c>
      <c r="D1082" s="6">
        <v>0.81738425925925928</v>
      </c>
      <c r="E1082">
        <v>-76.722184999999996</v>
      </c>
      <c r="F1082">
        <v>3.4768883330000002</v>
      </c>
      <c r="G1082">
        <v>2114</v>
      </c>
      <c r="H1082" t="e">
        <f t="shared" si="0"/>
        <v>#DIV/0!</v>
      </c>
      <c r="I1082">
        <v>2020</v>
      </c>
      <c r="J1082" t="e">
        <f t="shared" si="1"/>
        <v>#DIV/0!</v>
      </c>
      <c r="K1082" t="e">
        <f t="shared" si="2"/>
        <v>#DIV/0!</v>
      </c>
      <c r="M1082" t="s">
        <v>247</v>
      </c>
      <c r="O1082" t="s">
        <v>32</v>
      </c>
      <c r="P1082" t="s">
        <v>280</v>
      </c>
      <c r="R1082" t="s">
        <v>921</v>
      </c>
      <c r="S1082" t="s">
        <v>986</v>
      </c>
      <c r="T1082" t="s">
        <v>54</v>
      </c>
      <c r="U1082" t="s">
        <v>293</v>
      </c>
      <c r="V1082">
        <v>1</v>
      </c>
      <c r="AB1082" t="s">
        <v>1008</v>
      </c>
    </row>
    <row r="1083" spans="1:28" hidden="1" x14ac:dyDescent="0.2">
      <c r="A1083" s="3">
        <v>44153</v>
      </c>
      <c r="D1083" s="6">
        <v>0.83194444444444449</v>
      </c>
      <c r="E1083">
        <v>-76.722269999999995</v>
      </c>
      <c r="F1083">
        <v>3.476918333</v>
      </c>
      <c r="G1083">
        <v>2109</v>
      </c>
      <c r="H1083" t="e">
        <f t="shared" si="0"/>
        <v>#DIV/0!</v>
      </c>
      <c r="I1083">
        <v>2020</v>
      </c>
      <c r="J1083" t="e">
        <f t="shared" si="1"/>
        <v>#DIV/0!</v>
      </c>
      <c r="K1083" t="e">
        <f t="shared" si="2"/>
        <v>#DIV/0!</v>
      </c>
      <c r="M1083" t="s">
        <v>247</v>
      </c>
      <c r="O1083" t="s">
        <v>32</v>
      </c>
      <c r="P1083" t="s">
        <v>280</v>
      </c>
      <c r="R1083" t="s">
        <v>921</v>
      </c>
      <c r="S1083" t="s">
        <v>986</v>
      </c>
      <c r="T1083" t="s">
        <v>42</v>
      </c>
      <c r="U1083" t="s">
        <v>270</v>
      </c>
      <c r="V1083">
        <v>1</v>
      </c>
      <c r="AB1083" t="s">
        <v>1008</v>
      </c>
    </row>
    <row r="1084" spans="1:28" hidden="1" x14ac:dyDescent="0.2">
      <c r="A1084" s="3">
        <v>44153</v>
      </c>
      <c r="D1084" s="6">
        <v>0.96457175925925931</v>
      </c>
      <c r="E1084">
        <v>-76.723043329999996</v>
      </c>
      <c r="F1084">
        <v>3.4794166670000002</v>
      </c>
      <c r="G1084">
        <v>2077</v>
      </c>
      <c r="H1084" t="e">
        <f t="shared" si="0"/>
        <v>#DIV/0!</v>
      </c>
      <c r="I1084">
        <v>2020</v>
      </c>
      <c r="J1084" t="e">
        <f t="shared" si="1"/>
        <v>#DIV/0!</v>
      </c>
      <c r="K1084" t="e">
        <f t="shared" si="2"/>
        <v>#DIV/0!</v>
      </c>
      <c r="M1084" t="s">
        <v>247</v>
      </c>
      <c r="O1084" t="s">
        <v>47</v>
      </c>
      <c r="P1084" t="s">
        <v>280</v>
      </c>
      <c r="R1084" t="s">
        <v>921</v>
      </c>
      <c r="S1084" t="s">
        <v>986</v>
      </c>
      <c r="T1084" t="s">
        <v>54</v>
      </c>
      <c r="U1084" t="s">
        <v>88</v>
      </c>
      <c r="V1084">
        <v>1</v>
      </c>
      <c r="AB1084" t="s">
        <v>1008</v>
      </c>
    </row>
    <row r="1085" spans="1:28" hidden="1" x14ac:dyDescent="0.2">
      <c r="A1085" s="3">
        <v>44153</v>
      </c>
      <c r="D1085" s="6">
        <v>0.98133101851851856</v>
      </c>
      <c r="E1085">
        <v>-76.723123330000007</v>
      </c>
      <c r="F1085">
        <v>3.4800849999999999</v>
      </c>
      <c r="G1085">
        <v>2060</v>
      </c>
      <c r="H1085" t="e">
        <f t="shared" si="0"/>
        <v>#DIV/0!</v>
      </c>
      <c r="I1085">
        <v>2020</v>
      </c>
      <c r="J1085" t="e">
        <f t="shared" si="1"/>
        <v>#DIV/0!</v>
      </c>
      <c r="K1085" t="e">
        <f t="shared" si="2"/>
        <v>#DIV/0!</v>
      </c>
      <c r="M1085" t="s">
        <v>247</v>
      </c>
      <c r="O1085" t="s">
        <v>47</v>
      </c>
      <c r="P1085" t="s">
        <v>280</v>
      </c>
      <c r="R1085" t="s">
        <v>921</v>
      </c>
      <c r="S1085" t="s">
        <v>986</v>
      </c>
      <c r="T1085" t="s">
        <v>54</v>
      </c>
      <c r="U1085" t="s">
        <v>88</v>
      </c>
      <c r="V1085">
        <v>1</v>
      </c>
      <c r="AB1085" t="s">
        <v>1008</v>
      </c>
    </row>
    <row r="1086" spans="1:28" hidden="1" x14ac:dyDescent="0.2">
      <c r="A1086" s="3">
        <v>44153</v>
      </c>
      <c r="D1086" s="6">
        <v>0.95814814814814819</v>
      </c>
      <c r="E1086">
        <v>-76.723043329999996</v>
      </c>
      <c r="F1086">
        <v>3.4794049999999999</v>
      </c>
      <c r="G1086">
        <v>2070</v>
      </c>
      <c r="H1086" t="e">
        <f t="shared" si="0"/>
        <v>#DIV/0!</v>
      </c>
      <c r="I1086">
        <v>2020</v>
      </c>
      <c r="J1086" t="e">
        <f t="shared" si="1"/>
        <v>#DIV/0!</v>
      </c>
      <c r="K1086" t="e">
        <f t="shared" si="2"/>
        <v>#DIV/0!</v>
      </c>
      <c r="M1086" t="s">
        <v>247</v>
      </c>
      <c r="O1086" t="s">
        <v>47</v>
      </c>
      <c r="P1086" t="s">
        <v>280</v>
      </c>
      <c r="R1086" t="s">
        <v>921</v>
      </c>
      <c r="S1086" t="s">
        <v>946</v>
      </c>
      <c r="T1086" t="s">
        <v>54</v>
      </c>
      <c r="U1086" t="s">
        <v>313</v>
      </c>
      <c r="V1086">
        <v>1</v>
      </c>
      <c r="AB1086" t="s">
        <v>1008</v>
      </c>
    </row>
    <row r="1087" spans="1:28" hidden="1" x14ac:dyDescent="0.2">
      <c r="A1087" s="3">
        <v>44153</v>
      </c>
      <c r="D1087" s="6">
        <v>0.97012731481481485</v>
      </c>
      <c r="E1087">
        <v>-76.723091670000002</v>
      </c>
      <c r="F1087">
        <v>3.4795400000000001</v>
      </c>
      <c r="G1087">
        <v>2069</v>
      </c>
      <c r="H1087" t="e">
        <f t="shared" si="0"/>
        <v>#DIV/0!</v>
      </c>
      <c r="I1087">
        <v>2020</v>
      </c>
      <c r="J1087" t="e">
        <f t="shared" si="1"/>
        <v>#DIV/0!</v>
      </c>
      <c r="K1087" t="e">
        <f t="shared" si="2"/>
        <v>#DIV/0!</v>
      </c>
      <c r="M1087" t="s">
        <v>247</v>
      </c>
      <c r="O1087" t="s">
        <v>47</v>
      </c>
      <c r="P1087" t="s">
        <v>280</v>
      </c>
      <c r="R1087" t="s">
        <v>921</v>
      </c>
      <c r="S1087" t="s">
        <v>986</v>
      </c>
      <c r="T1087" t="s">
        <v>54</v>
      </c>
      <c r="U1087" t="s">
        <v>88</v>
      </c>
      <c r="V1087">
        <v>1</v>
      </c>
      <c r="AB1087" t="s">
        <v>1008</v>
      </c>
    </row>
    <row r="1088" spans="1:28" hidden="1" x14ac:dyDescent="0.2">
      <c r="A1088" s="3">
        <v>44153</v>
      </c>
      <c r="D1088" s="6">
        <v>0.97645833333333332</v>
      </c>
      <c r="E1088">
        <v>-76.723155000000006</v>
      </c>
      <c r="F1088">
        <v>3.4798433329999998</v>
      </c>
      <c r="G1088">
        <v>2078</v>
      </c>
      <c r="H1088" t="e">
        <f t="shared" si="0"/>
        <v>#DIV/0!</v>
      </c>
      <c r="I1088">
        <v>2020</v>
      </c>
      <c r="J1088" t="e">
        <f t="shared" si="1"/>
        <v>#DIV/0!</v>
      </c>
      <c r="K1088" t="e">
        <f t="shared" si="2"/>
        <v>#DIV/0!</v>
      </c>
      <c r="M1088" t="s">
        <v>247</v>
      </c>
      <c r="O1088" t="s">
        <v>47</v>
      </c>
      <c r="P1088" t="s">
        <v>280</v>
      </c>
      <c r="R1088" t="s">
        <v>921</v>
      </c>
      <c r="S1088" t="s">
        <v>946</v>
      </c>
      <c r="T1088" t="s">
        <v>54</v>
      </c>
      <c r="U1088" t="s">
        <v>88</v>
      </c>
      <c r="V1088">
        <v>1</v>
      </c>
      <c r="AB1088" t="s">
        <v>1008</v>
      </c>
    </row>
    <row r="1089" spans="1:28" hidden="1" x14ac:dyDescent="0.2">
      <c r="A1089" s="3">
        <v>44153</v>
      </c>
      <c r="D1089" s="6">
        <v>0.95377314814814818</v>
      </c>
      <c r="E1089">
        <v>-76.722926670000007</v>
      </c>
      <c r="F1089">
        <v>3.4791316669999999</v>
      </c>
      <c r="G1089">
        <v>2088</v>
      </c>
      <c r="H1089" t="e">
        <f t="shared" si="0"/>
        <v>#DIV/0!</v>
      </c>
      <c r="I1089">
        <v>2020</v>
      </c>
      <c r="J1089" t="e">
        <f t="shared" si="1"/>
        <v>#DIV/0!</v>
      </c>
      <c r="K1089" t="e">
        <f t="shared" si="2"/>
        <v>#DIV/0!</v>
      </c>
      <c r="M1089" t="s">
        <v>247</v>
      </c>
      <c r="O1089" t="s">
        <v>47</v>
      </c>
      <c r="P1089" t="s">
        <v>280</v>
      </c>
      <c r="R1089" t="s">
        <v>921</v>
      </c>
      <c r="S1089" t="s">
        <v>945</v>
      </c>
      <c r="T1089" t="s">
        <v>54</v>
      </c>
      <c r="U1089" t="s">
        <v>88</v>
      </c>
      <c r="V1089">
        <v>1</v>
      </c>
      <c r="AB1089" t="s">
        <v>1008</v>
      </c>
    </row>
    <row r="1090" spans="1:28" hidden="1" x14ac:dyDescent="0.2">
      <c r="A1090" s="3">
        <v>44153</v>
      </c>
      <c r="D1090" s="6">
        <v>0.96891203703703699</v>
      </c>
      <c r="E1090">
        <v>-76.723053329999999</v>
      </c>
      <c r="F1090">
        <v>3.4795349999999998</v>
      </c>
      <c r="G1090">
        <v>2079</v>
      </c>
      <c r="H1090" t="e">
        <f t="shared" si="0"/>
        <v>#DIV/0!</v>
      </c>
      <c r="I1090">
        <v>2020</v>
      </c>
      <c r="J1090" t="e">
        <f t="shared" si="1"/>
        <v>#DIV/0!</v>
      </c>
      <c r="K1090" t="e">
        <f t="shared" si="2"/>
        <v>#DIV/0!</v>
      </c>
      <c r="M1090" t="s">
        <v>247</v>
      </c>
      <c r="O1090" t="s">
        <v>47</v>
      </c>
      <c r="P1090" t="s">
        <v>280</v>
      </c>
      <c r="R1090" t="s">
        <v>921</v>
      </c>
      <c r="S1090" t="s">
        <v>986</v>
      </c>
      <c r="T1090" t="s">
        <v>54</v>
      </c>
      <c r="U1090" t="s">
        <v>88</v>
      </c>
      <c r="V1090">
        <v>1</v>
      </c>
      <c r="AB1090" t="s">
        <v>1008</v>
      </c>
    </row>
    <row r="1091" spans="1:28" hidden="1" x14ac:dyDescent="0.2">
      <c r="A1091" s="3">
        <v>44153</v>
      </c>
      <c r="D1091" s="6">
        <v>0.97834490740740743</v>
      </c>
      <c r="E1091">
        <v>-76.723256669999998</v>
      </c>
      <c r="F1091">
        <v>3.4799183330000001</v>
      </c>
      <c r="G1091">
        <v>2074</v>
      </c>
      <c r="H1091" t="e">
        <f t="shared" si="0"/>
        <v>#DIV/0!</v>
      </c>
      <c r="I1091">
        <v>2020</v>
      </c>
      <c r="J1091" t="e">
        <f t="shared" si="1"/>
        <v>#DIV/0!</v>
      </c>
      <c r="K1091" t="e">
        <f t="shared" si="2"/>
        <v>#DIV/0!</v>
      </c>
      <c r="M1091" t="s">
        <v>247</v>
      </c>
      <c r="O1091" t="s">
        <v>47</v>
      </c>
      <c r="P1091" t="s">
        <v>280</v>
      </c>
      <c r="R1091" t="s">
        <v>921</v>
      </c>
      <c r="S1091" t="s">
        <v>986</v>
      </c>
      <c r="T1091" t="s">
        <v>54</v>
      </c>
      <c r="U1091" t="s">
        <v>88</v>
      </c>
      <c r="V1091">
        <v>1</v>
      </c>
      <c r="AB1091" t="s">
        <v>1008</v>
      </c>
    </row>
    <row r="1092" spans="1:28" hidden="1" x14ac:dyDescent="0.2">
      <c r="A1092" s="3">
        <v>44153</v>
      </c>
      <c r="D1092" s="6">
        <v>0.95597222222222222</v>
      </c>
      <c r="E1092">
        <v>-76.723026669999996</v>
      </c>
      <c r="F1092">
        <v>3.4793766669999999</v>
      </c>
      <c r="G1092">
        <v>2077</v>
      </c>
      <c r="H1092" t="e">
        <f t="shared" si="0"/>
        <v>#DIV/0!</v>
      </c>
      <c r="I1092">
        <v>2020</v>
      </c>
      <c r="J1092" t="e">
        <f t="shared" si="1"/>
        <v>#DIV/0!</v>
      </c>
      <c r="K1092" t="e">
        <f t="shared" si="2"/>
        <v>#DIV/0!</v>
      </c>
      <c r="M1092" t="s">
        <v>247</v>
      </c>
      <c r="O1092" t="s">
        <v>47</v>
      </c>
      <c r="P1092" t="s">
        <v>280</v>
      </c>
      <c r="R1092" t="s">
        <v>921</v>
      </c>
      <c r="S1092" t="s">
        <v>986</v>
      </c>
      <c r="T1092" t="s">
        <v>54</v>
      </c>
      <c r="U1092" t="s">
        <v>88</v>
      </c>
      <c r="V1092">
        <v>2</v>
      </c>
      <c r="AB1092" t="s">
        <v>1008</v>
      </c>
    </row>
    <row r="1093" spans="1:28" hidden="1" x14ac:dyDescent="0.2">
      <c r="A1093" s="3">
        <v>44153</v>
      </c>
      <c r="D1093" s="6">
        <v>0.95671296296296293</v>
      </c>
      <c r="E1093">
        <v>-76.723021669999994</v>
      </c>
      <c r="F1093">
        <v>3.4793099999999999</v>
      </c>
      <c r="G1093">
        <v>2077</v>
      </c>
      <c r="H1093" t="e">
        <f t="shared" si="0"/>
        <v>#DIV/0!</v>
      </c>
      <c r="I1093">
        <v>2020</v>
      </c>
      <c r="J1093" t="e">
        <f t="shared" si="1"/>
        <v>#DIV/0!</v>
      </c>
      <c r="K1093" t="e">
        <f t="shared" si="2"/>
        <v>#DIV/0!</v>
      </c>
      <c r="M1093" t="s">
        <v>247</v>
      </c>
      <c r="O1093" t="s">
        <v>47</v>
      </c>
      <c r="P1093" t="s">
        <v>280</v>
      </c>
      <c r="R1093" t="s">
        <v>921</v>
      </c>
      <c r="S1093" t="s">
        <v>946</v>
      </c>
      <c r="T1093" t="s">
        <v>54</v>
      </c>
      <c r="U1093" t="s">
        <v>88</v>
      </c>
      <c r="V1093">
        <v>1</v>
      </c>
      <c r="AB1093" t="s">
        <v>1008</v>
      </c>
    </row>
    <row r="1094" spans="1:28" hidden="1" x14ac:dyDescent="0.2">
      <c r="A1094" s="3">
        <v>44131</v>
      </c>
      <c r="D1094" s="6">
        <v>0.95998842592592593</v>
      </c>
      <c r="E1094">
        <v>-76.643095000000002</v>
      </c>
      <c r="F1094">
        <v>3.3496233329999998</v>
      </c>
      <c r="G1094">
        <v>2421</v>
      </c>
      <c r="H1094" t="e">
        <f t="shared" si="0"/>
        <v>#DIV/0!</v>
      </c>
      <c r="I1094">
        <v>2020</v>
      </c>
      <c r="J1094" t="e">
        <f t="shared" si="1"/>
        <v>#DIV/0!</v>
      </c>
      <c r="K1094" t="e">
        <f t="shared" si="2"/>
        <v>#DIV/0!</v>
      </c>
      <c r="M1094" t="s">
        <v>624</v>
      </c>
      <c r="O1094" t="s">
        <v>38</v>
      </c>
      <c r="P1094" t="s">
        <v>625</v>
      </c>
      <c r="R1094" t="s">
        <v>921</v>
      </c>
      <c r="S1094" t="s">
        <v>945</v>
      </c>
      <c r="T1094" t="s">
        <v>54</v>
      </c>
      <c r="U1094" t="s">
        <v>238</v>
      </c>
      <c r="V1094">
        <v>1</v>
      </c>
      <c r="AB1094" t="s">
        <v>1008</v>
      </c>
    </row>
    <row r="1095" spans="1:28" hidden="1" x14ac:dyDescent="0.2">
      <c r="A1095" s="3">
        <v>44131</v>
      </c>
      <c r="D1095" s="6">
        <v>0.95620370370370367</v>
      </c>
      <c r="E1095">
        <v>-76.643034999999998</v>
      </c>
      <c r="F1095">
        <v>3.3496266669999999</v>
      </c>
      <c r="G1095">
        <v>2419</v>
      </c>
      <c r="H1095" t="e">
        <f t="shared" si="0"/>
        <v>#DIV/0!</v>
      </c>
      <c r="I1095">
        <v>2020</v>
      </c>
      <c r="J1095" t="e">
        <f t="shared" si="1"/>
        <v>#DIV/0!</v>
      </c>
      <c r="K1095" t="e">
        <f t="shared" si="2"/>
        <v>#DIV/0!</v>
      </c>
      <c r="M1095" t="s">
        <v>624</v>
      </c>
      <c r="O1095" t="s">
        <v>38</v>
      </c>
      <c r="P1095" t="s">
        <v>625</v>
      </c>
      <c r="R1095" t="s">
        <v>921</v>
      </c>
      <c r="S1095" t="s">
        <v>945</v>
      </c>
      <c r="T1095" t="s">
        <v>54</v>
      </c>
      <c r="U1095" t="s">
        <v>238</v>
      </c>
      <c r="V1095">
        <v>1</v>
      </c>
      <c r="AB1095" t="s">
        <v>1008</v>
      </c>
    </row>
    <row r="1096" spans="1:28" hidden="1" x14ac:dyDescent="0.2">
      <c r="A1096" s="3">
        <v>44131</v>
      </c>
      <c r="D1096" s="6">
        <v>0.95093749999999999</v>
      </c>
      <c r="E1096">
        <v>-76.642876670000007</v>
      </c>
      <c r="F1096">
        <v>3.3494649999999999</v>
      </c>
      <c r="G1096">
        <v>2408</v>
      </c>
      <c r="H1096" t="e">
        <f t="shared" si="0"/>
        <v>#DIV/0!</v>
      </c>
      <c r="I1096">
        <v>2020</v>
      </c>
      <c r="J1096" t="e">
        <f t="shared" si="1"/>
        <v>#DIV/0!</v>
      </c>
      <c r="K1096" t="e">
        <f t="shared" si="2"/>
        <v>#DIV/0!</v>
      </c>
      <c r="M1096" t="s">
        <v>624</v>
      </c>
      <c r="O1096" t="s">
        <v>38</v>
      </c>
      <c r="P1096" t="s">
        <v>625</v>
      </c>
      <c r="R1096" t="s">
        <v>921</v>
      </c>
      <c r="S1096" t="s">
        <v>985</v>
      </c>
      <c r="T1096" t="s">
        <v>54</v>
      </c>
      <c r="U1096" t="s">
        <v>929</v>
      </c>
      <c r="V1096">
        <v>1</v>
      </c>
      <c r="AB1096" t="s">
        <v>1008</v>
      </c>
    </row>
    <row r="1097" spans="1:28" hidden="1" x14ac:dyDescent="0.2">
      <c r="A1097" s="3">
        <v>44131</v>
      </c>
      <c r="D1097" s="6">
        <v>0.89817129629629633</v>
      </c>
      <c r="E1097">
        <v>-76.641498330000005</v>
      </c>
      <c r="F1097">
        <v>3.34978</v>
      </c>
      <c r="G1097">
        <v>2338</v>
      </c>
      <c r="H1097" t="e">
        <f t="shared" si="0"/>
        <v>#DIV/0!</v>
      </c>
      <c r="I1097">
        <v>2020</v>
      </c>
      <c r="J1097" t="e">
        <f t="shared" si="1"/>
        <v>#DIV/0!</v>
      </c>
      <c r="K1097" t="e">
        <f t="shared" si="2"/>
        <v>#DIV/0!</v>
      </c>
      <c r="M1097" t="s">
        <v>624</v>
      </c>
      <c r="O1097" t="s">
        <v>32</v>
      </c>
      <c r="P1097" t="s">
        <v>734</v>
      </c>
      <c r="R1097" t="s">
        <v>921</v>
      </c>
      <c r="S1097" t="s">
        <v>985</v>
      </c>
      <c r="T1097" t="s">
        <v>54</v>
      </c>
      <c r="U1097" t="s">
        <v>252</v>
      </c>
      <c r="V1097">
        <v>1</v>
      </c>
      <c r="AB1097" t="s">
        <v>1008</v>
      </c>
    </row>
    <row r="1098" spans="1:28" hidden="1" x14ac:dyDescent="0.2">
      <c r="A1098" s="3">
        <v>44131</v>
      </c>
      <c r="D1098" s="6">
        <v>0.90907407407407403</v>
      </c>
      <c r="E1098">
        <v>-76.641985000000005</v>
      </c>
      <c r="F1098">
        <v>3.3495400000000002</v>
      </c>
      <c r="G1098">
        <v>2354</v>
      </c>
      <c r="H1098" t="e">
        <f t="shared" ref="H1098:H1161" si="3">AVERAGE(Z1098,AE1098)</f>
        <v>#DIV/0!</v>
      </c>
      <c r="I1098">
        <v>2020</v>
      </c>
      <c r="J1098" t="e">
        <f t="shared" ref="J1098:J1161" si="4">AVERAGE(AD1098,AI1098)</f>
        <v>#DIV/0!</v>
      </c>
      <c r="K1098" t="e">
        <f t="shared" ref="K1098:K1161" si="5">AVERAGE(AA1098,AF1098)</f>
        <v>#DIV/0!</v>
      </c>
      <c r="M1098" t="s">
        <v>624</v>
      </c>
      <c r="O1098" t="s">
        <v>32</v>
      </c>
      <c r="P1098" t="s">
        <v>734</v>
      </c>
      <c r="R1098" t="s">
        <v>921</v>
      </c>
      <c r="S1098" t="s">
        <v>985</v>
      </c>
      <c r="T1098" t="s">
        <v>54</v>
      </c>
      <c r="U1098" t="s">
        <v>238</v>
      </c>
      <c r="V1098">
        <v>1</v>
      </c>
      <c r="AB1098" t="s">
        <v>1008</v>
      </c>
    </row>
    <row r="1099" spans="1:28" hidden="1" x14ac:dyDescent="0.2">
      <c r="A1099" s="3">
        <v>44131</v>
      </c>
      <c r="D1099" s="6">
        <v>0.88123842592592594</v>
      </c>
      <c r="E1099">
        <v>-76.641473329999997</v>
      </c>
      <c r="F1099">
        <v>3.3500333329999998</v>
      </c>
      <c r="G1099">
        <v>2336</v>
      </c>
      <c r="H1099" t="e">
        <f t="shared" si="3"/>
        <v>#DIV/0!</v>
      </c>
      <c r="I1099">
        <v>2020</v>
      </c>
      <c r="J1099" t="e">
        <f t="shared" si="4"/>
        <v>#DIV/0!</v>
      </c>
      <c r="K1099" t="e">
        <f t="shared" si="5"/>
        <v>#DIV/0!</v>
      </c>
      <c r="M1099" t="s">
        <v>624</v>
      </c>
      <c r="O1099" t="s">
        <v>32</v>
      </c>
      <c r="P1099" t="s">
        <v>734</v>
      </c>
      <c r="R1099" t="s">
        <v>921</v>
      </c>
      <c r="S1099" t="s">
        <v>987</v>
      </c>
      <c r="T1099" t="s">
        <v>54</v>
      </c>
      <c r="U1099" t="s">
        <v>238</v>
      </c>
      <c r="V1099">
        <v>1</v>
      </c>
      <c r="AB1099" t="s">
        <v>1008</v>
      </c>
    </row>
    <row r="1100" spans="1:28" hidden="1" x14ac:dyDescent="0.2">
      <c r="A1100" s="3">
        <v>44131</v>
      </c>
      <c r="D1100" s="6">
        <v>0.89182870370370371</v>
      </c>
      <c r="E1100">
        <v>-76.641448330000003</v>
      </c>
      <c r="F1100">
        <v>3.3499699999999999</v>
      </c>
      <c r="G1100">
        <v>2364</v>
      </c>
      <c r="H1100" t="e">
        <f t="shared" si="3"/>
        <v>#DIV/0!</v>
      </c>
      <c r="I1100">
        <v>2020</v>
      </c>
      <c r="J1100" t="e">
        <f t="shared" si="4"/>
        <v>#DIV/0!</v>
      </c>
      <c r="K1100" t="e">
        <f t="shared" si="5"/>
        <v>#DIV/0!</v>
      </c>
      <c r="M1100" t="s">
        <v>624</v>
      </c>
      <c r="O1100" t="s">
        <v>32</v>
      </c>
      <c r="P1100" t="s">
        <v>734</v>
      </c>
      <c r="R1100" t="s">
        <v>921</v>
      </c>
      <c r="S1100" t="s">
        <v>945</v>
      </c>
      <c r="T1100" t="s">
        <v>54</v>
      </c>
      <c r="U1100" t="s">
        <v>238</v>
      </c>
      <c r="V1100">
        <v>1</v>
      </c>
      <c r="AB1100" t="s">
        <v>1008</v>
      </c>
    </row>
    <row r="1101" spans="1:28" hidden="1" x14ac:dyDescent="0.2">
      <c r="A1101" s="3">
        <v>44131</v>
      </c>
      <c r="D1101" s="6">
        <v>0.89182870370370371</v>
      </c>
      <c r="E1101">
        <v>-76.641448330000003</v>
      </c>
      <c r="F1101">
        <v>3.3499699999999999</v>
      </c>
      <c r="G1101">
        <v>2337</v>
      </c>
      <c r="H1101" t="e">
        <f t="shared" si="3"/>
        <v>#DIV/0!</v>
      </c>
      <c r="I1101">
        <v>2020</v>
      </c>
      <c r="J1101" t="e">
        <f t="shared" si="4"/>
        <v>#DIV/0!</v>
      </c>
      <c r="K1101" t="e">
        <f t="shared" si="5"/>
        <v>#DIV/0!</v>
      </c>
      <c r="M1101" t="s">
        <v>624</v>
      </c>
      <c r="O1101" t="s">
        <v>32</v>
      </c>
      <c r="P1101" t="s">
        <v>734</v>
      </c>
      <c r="R1101" t="s">
        <v>921</v>
      </c>
      <c r="S1101" t="s">
        <v>985</v>
      </c>
      <c r="T1101" t="s">
        <v>54</v>
      </c>
      <c r="U1101" t="s">
        <v>371</v>
      </c>
      <c r="V1101">
        <v>1</v>
      </c>
      <c r="AB1101" t="s">
        <v>1008</v>
      </c>
    </row>
    <row r="1102" spans="1:28" hidden="1" x14ac:dyDescent="0.2">
      <c r="A1102" s="3">
        <v>44131</v>
      </c>
      <c r="D1102" s="6">
        <v>0.92216435185185186</v>
      </c>
      <c r="E1102">
        <v>-76.642246670000006</v>
      </c>
      <c r="F1102">
        <v>3.3492150000000001</v>
      </c>
      <c r="G1102">
        <v>2353</v>
      </c>
      <c r="H1102" t="e">
        <f t="shared" si="3"/>
        <v>#DIV/0!</v>
      </c>
      <c r="I1102">
        <v>2020</v>
      </c>
      <c r="J1102" t="e">
        <f t="shared" si="4"/>
        <v>#DIV/0!</v>
      </c>
      <c r="K1102" t="e">
        <f t="shared" si="5"/>
        <v>#DIV/0!</v>
      </c>
      <c r="M1102" t="s">
        <v>624</v>
      </c>
      <c r="O1102" t="s">
        <v>40</v>
      </c>
      <c r="P1102" t="s">
        <v>625</v>
      </c>
      <c r="R1102" t="s">
        <v>921</v>
      </c>
      <c r="S1102" t="s">
        <v>945</v>
      </c>
      <c r="T1102" t="s">
        <v>54</v>
      </c>
      <c r="U1102" t="s">
        <v>929</v>
      </c>
      <c r="V1102">
        <v>1</v>
      </c>
      <c r="AB1102" t="s">
        <v>1008</v>
      </c>
    </row>
    <row r="1103" spans="1:28" hidden="1" x14ac:dyDescent="0.2">
      <c r="A1103" s="3">
        <v>44131</v>
      </c>
      <c r="D1103" s="6">
        <v>0.92833333333333334</v>
      </c>
      <c r="E1103">
        <v>-76.642478330000003</v>
      </c>
      <c r="F1103">
        <v>3.3491166670000001</v>
      </c>
      <c r="G1103">
        <v>2375</v>
      </c>
      <c r="H1103" t="e">
        <f t="shared" si="3"/>
        <v>#DIV/0!</v>
      </c>
      <c r="I1103">
        <v>2020</v>
      </c>
      <c r="J1103" t="e">
        <f t="shared" si="4"/>
        <v>#DIV/0!</v>
      </c>
      <c r="K1103" t="e">
        <f t="shared" si="5"/>
        <v>#DIV/0!</v>
      </c>
      <c r="M1103" t="s">
        <v>624</v>
      </c>
      <c r="O1103" t="s">
        <v>40</v>
      </c>
      <c r="P1103" t="s">
        <v>625</v>
      </c>
      <c r="R1103" t="s">
        <v>921</v>
      </c>
      <c r="S1103" t="s">
        <v>985</v>
      </c>
      <c r="T1103" t="s">
        <v>54</v>
      </c>
      <c r="U1103" t="s">
        <v>238</v>
      </c>
      <c r="V1103">
        <v>2</v>
      </c>
      <c r="AB1103" t="s">
        <v>1008</v>
      </c>
    </row>
    <row r="1104" spans="1:28" hidden="1" x14ac:dyDescent="0.2">
      <c r="A1104" s="3">
        <v>44131</v>
      </c>
      <c r="D1104" s="6">
        <v>0.85995370370370372</v>
      </c>
      <c r="E1104">
        <v>-76.64088667</v>
      </c>
      <c r="F1104">
        <v>3.3499850000000002</v>
      </c>
      <c r="G1104">
        <v>2341</v>
      </c>
      <c r="H1104" t="e">
        <f t="shared" si="3"/>
        <v>#DIV/0!</v>
      </c>
      <c r="I1104">
        <v>2020</v>
      </c>
      <c r="J1104" t="e">
        <f t="shared" si="4"/>
        <v>#DIV/0!</v>
      </c>
      <c r="K1104" t="e">
        <f t="shared" si="5"/>
        <v>#DIV/0!</v>
      </c>
      <c r="M1104" t="s">
        <v>624</v>
      </c>
      <c r="O1104" t="s">
        <v>38</v>
      </c>
      <c r="P1104" t="s">
        <v>734</v>
      </c>
      <c r="R1104" t="s">
        <v>921</v>
      </c>
      <c r="S1104" t="s">
        <v>945</v>
      </c>
      <c r="T1104" t="s">
        <v>54</v>
      </c>
      <c r="U1104" t="s">
        <v>238</v>
      </c>
      <c r="V1104">
        <v>1</v>
      </c>
      <c r="AB1104" t="s">
        <v>1008</v>
      </c>
    </row>
    <row r="1105" spans="1:28" hidden="1" x14ac:dyDescent="0.2">
      <c r="A1105" s="3">
        <v>44131</v>
      </c>
      <c r="D1105" s="6">
        <v>0.86738425925925922</v>
      </c>
      <c r="E1105">
        <v>-76.641024999999999</v>
      </c>
      <c r="F1105">
        <v>3.34985</v>
      </c>
      <c r="G1105">
        <v>2369</v>
      </c>
      <c r="H1105" t="e">
        <f t="shared" si="3"/>
        <v>#DIV/0!</v>
      </c>
      <c r="I1105">
        <v>2020</v>
      </c>
      <c r="J1105" t="e">
        <f t="shared" si="4"/>
        <v>#DIV/0!</v>
      </c>
      <c r="K1105" t="e">
        <f t="shared" si="5"/>
        <v>#DIV/0!</v>
      </c>
      <c r="M1105" t="s">
        <v>624</v>
      </c>
      <c r="O1105" t="s">
        <v>38</v>
      </c>
      <c r="P1105" t="s">
        <v>734</v>
      </c>
      <c r="R1105" t="s">
        <v>921</v>
      </c>
      <c r="S1105" t="s">
        <v>987</v>
      </c>
      <c r="T1105" t="s">
        <v>54</v>
      </c>
      <c r="U1105" t="s">
        <v>238</v>
      </c>
      <c r="V1105">
        <v>1</v>
      </c>
      <c r="AB1105" t="s">
        <v>1008</v>
      </c>
    </row>
    <row r="1106" spans="1:28" hidden="1" x14ac:dyDescent="0.2">
      <c r="A1106" s="3">
        <v>44131</v>
      </c>
      <c r="D1106" s="6">
        <v>0.86342592592592593</v>
      </c>
      <c r="E1106">
        <v>-76.640929999999997</v>
      </c>
      <c r="F1106">
        <v>3.349881667</v>
      </c>
      <c r="G1106">
        <v>2346</v>
      </c>
      <c r="H1106" t="e">
        <f t="shared" si="3"/>
        <v>#DIV/0!</v>
      </c>
      <c r="I1106">
        <v>2020</v>
      </c>
      <c r="J1106" t="e">
        <f t="shared" si="4"/>
        <v>#DIV/0!</v>
      </c>
      <c r="K1106" t="e">
        <f t="shared" si="5"/>
        <v>#DIV/0!</v>
      </c>
      <c r="M1106" t="s">
        <v>624</v>
      </c>
      <c r="O1106" t="s">
        <v>38</v>
      </c>
      <c r="P1106" t="s">
        <v>734</v>
      </c>
      <c r="R1106" t="s">
        <v>921</v>
      </c>
      <c r="S1106" t="s">
        <v>987</v>
      </c>
      <c r="T1106" t="s">
        <v>54</v>
      </c>
      <c r="U1106" t="s">
        <v>238</v>
      </c>
      <c r="V1106">
        <v>1</v>
      </c>
      <c r="AB1106" t="s">
        <v>1008</v>
      </c>
    </row>
    <row r="1107" spans="1:28" hidden="1" x14ac:dyDescent="0.2">
      <c r="A1107" s="3">
        <v>44131</v>
      </c>
      <c r="D1107" s="6">
        <v>0.85564814814814816</v>
      </c>
      <c r="E1107">
        <v>-76.640743330000006</v>
      </c>
      <c r="F1107">
        <v>3.34998</v>
      </c>
      <c r="G1107">
        <v>2336</v>
      </c>
      <c r="H1107" t="e">
        <f t="shared" si="3"/>
        <v>#DIV/0!</v>
      </c>
      <c r="I1107">
        <v>2020</v>
      </c>
      <c r="J1107" t="e">
        <f t="shared" si="4"/>
        <v>#DIV/0!</v>
      </c>
      <c r="K1107" t="e">
        <f t="shared" si="5"/>
        <v>#DIV/0!</v>
      </c>
      <c r="M1107" t="s">
        <v>624</v>
      </c>
      <c r="O1107" t="s">
        <v>38</v>
      </c>
      <c r="P1107" t="s">
        <v>734</v>
      </c>
      <c r="R1107" t="s">
        <v>921</v>
      </c>
      <c r="S1107" t="s">
        <v>945</v>
      </c>
      <c r="T1107" t="s">
        <v>54</v>
      </c>
      <c r="U1107" t="s">
        <v>238</v>
      </c>
      <c r="V1107">
        <v>1</v>
      </c>
      <c r="AB1107" t="s">
        <v>1008</v>
      </c>
    </row>
    <row r="1108" spans="1:28" hidden="1" x14ac:dyDescent="0.2">
      <c r="A1108" s="3">
        <v>44131</v>
      </c>
      <c r="D1108" s="6">
        <v>0.81103009259259262</v>
      </c>
      <c r="E1108">
        <v>-76.63955</v>
      </c>
      <c r="F1108">
        <v>3.3507016670000001</v>
      </c>
      <c r="G1108">
        <v>2377</v>
      </c>
      <c r="H1108" t="e">
        <f t="shared" si="3"/>
        <v>#DIV/0!</v>
      </c>
      <c r="I1108">
        <v>2020</v>
      </c>
      <c r="J1108" t="e">
        <f t="shared" si="4"/>
        <v>#DIV/0!</v>
      </c>
      <c r="K1108" t="e">
        <f t="shared" si="5"/>
        <v>#DIV/0!</v>
      </c>
      <c r="M1108" t="s">
        <v>624</v>
      </c>
      <c r="O1108" t="s">
        <v>40</v>
      </c>
      <c r="P1108" t="s">
        <v>734</v>
      </c>
      <c r="R1108" t="s">
        <v>921</v>
      </c>
      <c r="S1108" t="s">
        <v>945</v>
      </c>
      <c r="T1108" t="s">
        <v>54</v>
      </c>
      <c r="U1108" t="s">
        <v>238</v>
      </c>
      <c r="V1108">
        <v>1</v>
      </c>
      <c r="AB1108" t="s">
        <v>1008</v>
      </c>
    </row>
    <row r="1109" spans="1:28" hidden="1" x14ac:dyDescent="0.2">
      <c r="A1109" s="3">
        <v>44131</v>
      </c>
      <c r="D1109" s="6">
        <v>0.82748842592592597</v>
      </c>
      <c r="E1109">
        <v>-76.639944999999997</v>
      </c>
      <c r="F1109">
        <v>3.3506900000000002</v>
      </c>
      <c r="G1109">
        <v>2392</v>
      </c>
      <c r="H1109" t="e">
        <f t="shared" si="3"/>
        <v>#DIV/0!</v>
      </c>
      <c r="I1109">
        <v>2020</v>
      </c>
      <c r="J1109" t="e">
        <f t="shared" si="4"/>
        <v>#DIV/0!</v>
      </c>
      <c r="K1109" t="e">
        <f t="shared" si="5"/>
        <v>#DIV/0!</v>
      </c>
      <c r="M1109" t="s">
        <v>624</v>
      </c>
      <c r="O1109" t="s">
        <v>40</v>
      </c>
      <c r="P1109" t="s">
        <v>734</v>
      </c>
      <c r="R1109" t="s">
        <v>921</v>
      </c>
      <c r="S1109" t="s">
        <v>987</v>
      </c>
      <c r="T1109" t="s">
        <v>91</v>
      </c>
      <c r="U1109" t="s">
        <v>238</v>
      </c>
      <c r="V1109">
        <v>1</v>
      </c>
      <c r="AB1109" t="s">
        <v>1008</v>
      </c>
    </row>
    <row r="1110" spans="1:28" hidden="1" x14ac:dyDescent="0.2">
      <c r="A1110" s="3">
        <v>44132</v>
      </c>
      <c r="D1110" s="6">
        <v>0.89953703703703702</v>
      </c>
      <c r="E1110">
        <v>-76.652640000000005</v>
      </c>
      <c r="F1110">
        <v>3.3535200000000001</v>
      </c>
      <c r="G1110">
        <v>2524</v>
      </c>
      <c r="H1110" t="e">
        <f t="shared" si="3"/>
        <v>#DIV/0!</v>
      </c>
      <c r="I1110">
        <v>2020</v>
      </c>
      <c r="J1110" t="e">
        <f t="shared" si="4"/>
        <v>#DIV/0!</v>
      </c>
      <c r="K1110" t="e">
        <f t="shared" si="5"/>
        <v>#DIV/0!</v>
      </c>
      <c r="M1110" t="s">
        <v>624</v>
      </c>
      <c r="O1110" t="s">
        <v>47</v>
      </c>
      <c r="P1110" t="s">
        <v>690</v>
      </c>
      <c r="R1110" t="s">
        <v>921</v>
      </c>
      <c r="S1110" t="s">
        <v>945</v>
      </c>
      <c r="T1110" t="s">
        <v>54</v>
      </c>
      <c r="U1110" t="s">
        <v>915</v>
      </c>
      <c r="V1110">
        <v>1</v>
      </c>
      <c r="AB1110" t="s">
        <v>1008</v>
      </c>
    </row>
    <row r="1111" spans="1:28" hidden="1" x14ac:dyDescent="0.2">
      <c r="A1111" s="3">
        <v>44132</v>
      </c>
      <c r="D1111" s="6">
        <v>0.86616898148148147</v>
      </c>
      <c r="E1111">
        <v>-76.655143330000001</v>
      </c>
      <c r="F1111">
        <v>3.3539916669999998</v>
      </c>
      <c r="G1111">
        <v>2567</v>
      </c>
      <c r="H1111" t="e">
        <f t="shared" si="3"/>
        <v>#DIV/0!</v>
      </c>
      <c r="I1111">
        <v>2020</v>
      </c>
      <c r="J1111" t="e">
        <f t="shared" si="4"/>
        <v>#DIV/0!</v>
      </c>
      <c r="K1111" t="e">
        <f t="shared" si="5"/>
        <v>#DIV/0!</v>
      </c>
      <c r="M1111" t="s">
        <v>624</v>
      </c>
      <c r="O1111" t="s">
        <v>32</v>
      </c>
      <c r="P1111" t="s">
        <v>720</v>
      </c>
      <c r="R1111" t="s">
        <v>921</v>
      </c>
      <c r="S1111" t="s">
        <v>945</v>
      </c>
      <c r="T1111" t="s">
        <v>54</v>
      </c>
      <c r="U1111" t="s">
        <v>915</v>
      </c>
      <c r="V1111">
        <v>1</v>
      </c>
      <c r="AB1111" t="s">
        <v>1008</v>
      </c>
    </row>
    <row r="1112" spans="1:28" hidden="1" x14ac:dyDescent="0.2">
      <c r="A1112" s="3">
        <v>44132</v>
      </c>
      <c r="D1112" s="6">
        <v>0.85116898148148146</v>
      </c>
      <c r="E1112">
        <v>-76.655731669999994</v>
      </c>
      <c r="F1112">
        <v>3.3544433329999999</v>
      </c>
      <c r="G1112">
        <v>2592</v>
      </c>
      <c r="H1112" t="e">
        <f t="shared" si="3"/>
        <v>#DIV/0!</v>
      </c>
      <c r="I1112">
        <v>2020</v>
      </c>
      <c r="J1112" t="e">
        <f t="shared" si="4"/>
        <v>#DIV/0!</v>
      </c>
      <c r="K1112" t="e">
        <f t="shared" si="5"/>
        <v>#DIV/0!</v>
      </c>
      <c r="M1112" t="s">
        <v>624</v>
      </c>
      <c r="O1112" t="s">
        <v>32</v>
      </c>
      <c r="P1112" t="s">
        <v>720</v>
      </c>
      <c r="R1112" t="s">
        <v>921</v>
      </c>
      <c r="S1112" t="s">
        <v>945</v>
      </c>
      <c r="T1112" t="s">
        <v>54</v>
      </c>
      <c r="U1112" t="s">
        <v>915</v>
      </c>
      <c r="V1112">
        <v>1</v>
      </c>
      <c r="AB1112" t="s">
        <v>1008</v>
      </c>
    </row>
    <row r="1113" spans="1:28" hidden="1" x14ac:dyDescent="0.2">
      <c r="A1113" s="3">
        <v>44132</v>
      </c>
      <c r="D1113" s="6">
        <v>0.85766203703703703</v>
      </c>
      <c r="E1113">
        <v>-76.655640000000005</v>
      </c>
      <c r="F1113">
        <v>3.3542149999999999</v>
      </c>
      <c r="G1113">
        <v>2569</v>
      </c>
      <c r="H1113" t="e">
        <f t="shared" si="3"/>
        <v>#DIV/0!</v>
      </c>
      <c r="I1113">
        <v>2020</v>
      </c>
      <c r="J1113" t="e">
        <f t="shared" si="4"/>
        <v>#DIV/0!</v>
      </c>
      <c r="K1113" t="e">
        <f t="shared" si="5"/>
        <v>#DIV/0!</v>
      </c>
      <c r="M1113" t="s">
        <v>624</v>
      </c>
      <c r="O1113" t="s">
        <v>32</v>
      </c>
      <c r="P1113" t="s">
        <v>720</v>
      </c>
      <c r="R1113" t="s">
        <v>921</v>
      </c>
      <c r="S1113" t="s">
        <v>987</v>
      </c>
      <c r="T1113" t="s">
        <v>54</v>
      </c>
      <c r="U1113" t="s">
        <v>915</v>
      </c>
      <c r="V1113">
        <v>1</v>
      </c>
      <c r="AB1113" t="s">
        <v>1008</v>
      </c>
    </row>
    <row r="1114" spans="1:28" hidden="1" x14ac:dyDescent="0.2">
      <c r="A1114" s="3">
        <v>44132</v>
      </c>
      <c r="D1114" s="6">
        <v>0.89043981481481482</v>
      </c>
      <c r="E1114">
        <v>-76.653121670000004</v>
      </c>
      <c r="F1114">
        <v>3.3533683330000001</v>
      </c>
      <c r="G1114">
        <v>2525</v>
      </c>
      <c r="H1114" t="e">
        <f t="shared" si="3"/>
        <v>#DIV/0!</v>
      </c>
      <c r="I1114">
        <v>2020</v>
      </c>
      <c r="J1114" t="e">
        <f t="shared" si="4"/>
        <v>#DIV/0!</v>
      </c>
      <c r="K1114" t="e">
        <f t="shared" si="5"/>
        <v>#DIV/0!</v>
      </c>
      <c r="M1114" t="s">
        <v>624</v>
      </c>
      <c r="O1114" t="s">
        <v>58</v>
      </c>
      <c r="P1114" t="s">
        <v>690</v>
      </c>
      <c r="R1114" t="s">
        <v>922</v>
      </c>
      <c r="S1114" t="s">
        <v>987</v>
      </c>
      <c r="T1114" t="s">
        <v>54</v>
      </c>
      <c r="U1114" t="s">
        <v>915</v>
      </c>
      <c r="V1114">
        <v>1</v>
      </c>
      <c r="AB1114" t="s">
        <v>1008</v>
      </c>
    </row>
    <row r="1115" spans="1:28" hidden="1" x14ac:dyDescent="0.2">
      <c r="A1115" s="3">
        <v>44132</v>
      </c>
      <c r="D1115" s="6">
        <v>0.8796180555555555</v>
      </c>
      <c r="E1115">
        <v>-76.653459999999995</v>
      </c>
      <c r="F1115">
        <v>3.3533516670000001</v>
      </c>
      <c r="G1115">
        <v>2541</v>
      </c>
      <c r="H1115" t="e">
        <f t="shared" si="3"/>
        <v>#DIV/0!</v>
      </c>
      <c r="I1115">
        <v>2020</v>
      </c>
      <c r="J1115" t="e">
        <f t="shared" si="4"/>
        <v>#DIV/0!</v>
      </c>
      <c r="K1115" t="e">
        <f t="shared" si="5"/>
        <v>#DIV/0!</v>
      </c>
      <c r="M1115" t="s">
        <v>624</v>
      </c>
      <c r="O1115" t="s">
        <v>58</v>
      </c>
      <c r="P1115" t="s">
        <v>690</v>
      </c>
      <c r="R1115" t="s">
        <v>921</v>
      </c>
      <c r="S1115" t="s">
        <v>987</v>
      </c>
      <c r="T1115" t="s">
        <v>54</v>
      </c>
      <c r="U1115" t="s">
        <v>915</v>
      </c>
      <c r="V1115">
        <v>1</v>
      </c>
      <c r="AB1115" t="s">
        <v>1008</v>
      </c>
    </row>
    <row r="1116" spans="1:28" hidden="1" x14ac:dyDescent="0.2">
      <c r="A1116" s="3">
        <v>44132</v>
      </c>
      <c r="D1116" s="6">
        <v>0.8941203703703704</v>
      </c>
      <c r="E1116">
        <v>-76.652936670000003</v>
      </c>
      <c r="F1116">
        <v>3.3533466669999998</v>
      </c>
      <c r="G1116">
        <v>2525</v>
      </c>
      <c r="H1116" t="e">
        <f t="shared" si="3"/>
        <v>#DIV/0!</v>
      </c>
      <c r="I1116">
        <v>2020</v>
      </c>
      <c r="J1116" t="e">
        <f t="shared" si="4"/>
        <v>#DIV/0!</v>
      </c>
      <c r="K1116" t="e">
        <f t="shared" si="5"/>
        <v>#DIV/0!</v>
      </c>
      <c r="M1116" t="s">
        <v>624</v>
      </c>
      <c r="O1116" t="s">
        <v>58</v>
      </c>
      <c r="P1116" t="s">
        <v>690</v>
      </c>
      <c r="R1116" t="s">
        <v>921</v>
      </c>
      <c r="S1116" t="s">
        <v>945</v>
      </c>
      <c r="T1116" t="s">
        <v>91</v>
      </c>
      <c r="U1116" t="s">
        <v>238</v>
      </c>
      <c r="V1116">
        <v>1</v>
      </c>
      <c r="AB1116" t="s">
        <v>66</v>
      </c>
    </row>
    <row r="1117" spans="1:28" hidden="1" x14ac:dyDescent="0.2">
      <c r="A1117" s="3">
        <v>44132</v>
      </c>
      <c r="D1117" s="6">
        <v>0.88800925925925922</v>
      </c>
      <c r="E1117">
        <v>-76.653148329999993</v>
      </c>
      <c r="F1117">
        <v>3.3533916669999999</v>
      </c>
      <c r="G1117">
        <v>2525</v>
      </c>
      <c r="H1117" t="e">
        <f t="shared" si="3"/>
        <v>#DIV/0!</v>
      </c>
      <c r="I1117">
        <v>2020</v>
      </c>
      <c r="J1117" t="e">
        <f t="shared" si="4"/>
        <v>#DIV/0!</v>
      </c>
      <c r="K1117" t="e">
        <f t="shared" si="5"/>
        <v>#DIV/0!</v>
      </c>
      <c r="M1117" t="s">
        <v>624</v>
      </c>
      <c r="O1117" t="s">
        <v>58</v>
      </c>
      <c r="P1117" t="s">
        <v>690</v>
      </c>
      <c r="R1117" t="s">
        <v>921</v>
      </c>
      <c r="S1117" t="s">
        <v>945</v>
      </c>
      <c r="T1117" t="s">
        <v>54</v>
      </c>
      <c r="U1117" t="s">
        <v>915</v>
      </c>
      <c r="V1117">
        <v>1</v>
      </c>
      <c r="AB1117" t="s">
        <v>1008</v>
      </c>
    </row>
    <row r="1118" spans="1:28" hidden="1" x14ac:dyDescent="0.2">
      <c r="A1118" s="3">
        <v>44132</v>
      </c>
      <c r="D1118" s="6">
        <v>0.87402777777777774</v>
      </c>
      <c r="E1118">
        <v>-76.653561670000002</v>
      </c>
      <c r="F1118">
        <v>3.3533783330000002</v>
      </c>
      <c r="G1118">
        <v>2542</v>
      </c>
      <c r="H1118" t="e">
        <f t="shared" si="3"/>
        <v>#DIV/0!</v>
      </c>
      <c r="I1118">
        <v>2020</v>
      </c>
      <c r="J1118" t="e">
        <f t="shared" si="4"/>
        <v>#DIV/0!</v>
      </c>
      <c r="K1118" t="e">
        <f t="shared" si="5"/>
        <v>#DIV/0!</v>
      </c>
      <c r="M1118" t="s">
        <v>624</v>
      </c>
      <c r="O1118" t="s">
        <v>58</v>
      </c>
      <c r="P1118" t="s">
        <v>690</v>
      </c>
      <c r="R1118" t="s">
        <v>921</v>
      </c>
      <c r="S1118" t="s">
        <v>945</v>
      </c>
      <c r="T1118" t="s">
        <v>91</v>
      </c>
      <c r="U1118" t="s">
        <v>915</v>
      </c>
      <c r="V1118">
        <v>1</v>
      </c>
      <c r="AB1118" t="s">
        <v>1008</v>
      </c>
    </row>
    <row r="1119" spans="1:28" hidden="1" x14ac:dyDescent="0.2">
      <c r="A1119" s="3">
        <v>44132</v>
      </c>
      <c r="D1119" s="6">
        <v>0.78991898148148143</v>
      </c>
      <c r="E1119">
        <v>-76.656364999999994</v>
      </c>
      <c r="F1119">
        <v>3.3554216669999999</v>
      </c>
      <c r="G1119">
        <v>2563</v>
      </c>
      <c r="H1119" t="e">
        <f t="shared" si="3"/>
        <v>#DIV/0!</v>
      </c>
      <c r="I1119">
        <v>2020</v>
      </c>
      <c r="J1119" t="e">
        <f t="shared" si="4"/>
        <v>#DIV/0!</v>
      </c>
      <c r="K1119" t="e">
        <f t="shared" si="5"/>
        <v>#DIV/0!</v>
      </c>
      <c r="M1119" t="s">
        <v>624</v>
      </c>
      <c r="O1119" t="s">
        <v>40</v>
      </c>
      <c r="P1119" t="s">
        <v>720</v>
      </c>
      <c r="R1119" t="s">
        <v>922</v>
      </c>
      <c r="S1119" t="s">
        <v>945</v>
      </c>
      <c r="T1119" t="s">
        <v>54</v>
      </c>
      <c r="U1119" t="s">
        <v>915</v>
      </c>
      <c r="V1119">
        <v>1</v>
      </c>
      <c r="AB1119" t="s">
        <v>1008</v>
      </c>
    </row>
    <row r="1120" spans="1:28" hidden="1" x14ac:dyDescent="0.2">
      <c r="A1120" s="3">
        <v>44132</v>
      </c>
      <c r="D1120" s="6">
        <v>0.80862268518518521</v>
      </c>
      <c r="E1120">
        <v>-76.656459999999996</v>
      </c>
      <c r="F1120">
        <v>3.3551099999999998</v>
      </c>
      <c r="G1120">
        <v>2582</v>
      </c>
      <c r="H1120" t="e">
        <f t="shared" si="3"/>
        <v>#DIV/0!</v>
      </c>
      <c r="I1120">
        <v>2020</v>
      </c>
      <c r="J1120" t="e">
        <f t="shared" si="4"/>
        <v>#DIV/0!</v>
      </c>
      <c r="K1120" t="e">
        <f t="shared" si="5"/>
        <v>#DIV/0!</v>
      </c>
      <c r="M1120" t="s">
        <v>624</v>
      </c>
      <c r="O1120" t="s">
        <v>38</v>
      </c>
      <c r="P1120" t="s">
        <v>720</v>
      </c>
      <c r="R1120" t="s">
        <v>921</v>
      </c>
      <c r="S1120" t="s">
        <v>987</v>
      </c>
      <c r="T1120" t="s">
        <v>54</v>
      </c>
      <c r="U1120" t="s">
        <v>915</v>
      </c>
      <c r="V1120">
        <v>1</v>
      </c>
      <c r="AB1120" t="s">
        <v>1008</v>
      </c>
    </row>
    <row r="1121" spans="1:28" hidden="1" x14ac:dyDescent="0.2">
      <c r="A1121" s="3">
        <v>44132</v>
      </c>
      <c r="D1121" s="6">
        <v>0.82715277777777774</v>
      </c>
      <c r="E1121">
        <v>-76.656108329999995</v>
      </c>
      <c r="F1121">
        <v>3.3549099999999998</v>
      </c>
      <c r="G1121">
        <v>2581</v>
      </c>
      <c r="H1121" t="e">
        <f t="shared" si="3"/>
        <v>#DIV/0!</v>
      </c>
      <c r="I1121">
        <v>2020</v>
      </c>
      <c r="J1121" t="e">
        <f t="shared" si="4"/>
        <v>#DIV/0!</v>
      </c>
      <c r="K1121" t="e">
        <f t="shared" si="5"/>
        <v>#DIV/0!</v>
      </c>
      <c r="M1121" t="s">
        <v>624</v>
      </c>
      <c r="O1121" t="s">
        <v>38</v>
      </c>
      <c r="P1121" t="s">
        <v>720</v>
      </c>
      <c r="R1121" t="s">
        <v>921</v>
      </c>
      <c r="S1121" t="s">
        <v>945</v>
      </c>
      <c r="T1121" t="s">
        <v>54</v>
      </c>
      <c r="U1121" t="s">
        <v>723</v>
      </c>
      <c r="V1121">
        <v>1</v>
      </c>
      <c r="AB1121" t="s">
        <v>1008</v>
      </c>
    </row>
    <row r="1122" spans="1:28" hidden="1" x14ac:dyDescent="0.2">
      <c r="A1122" s="3">
        <v>44132</v>
      </c>
      <c r="D1122" s="6">
        <v>0.83524305555555556</v>
      </c>
      <c r="E1122">
        <v>-76.655921669999998</v>
      </c>
      <c r="F1122">
        <v>3.354761667</v>
      </c>
      <c r="G1122">
        <v>2587</v>
      </c>
      <c r="H1122" t="e">
        <f t="shared" si="3"/>
        <v>#DIV/0!</v>
      </c>
      <c r="I1122">
        <v>2020</v>
      </c>
      <c r="J1122" t="e">
        <f t="shared" si="4"/>
        <v>#DIV/0!</v>
      </c>
      <c r="K1122" t="e">
        <f t="shared" si="5"/>
        <v>#DIV/0!</v>
      </c>
      <c r="M1122" t="s">
        <v>624</v>
      </c>
      <c r="O1122" t="s">
        <v>38</v>
      </c>
      <c r="P1122" t="s">
        <v>720</v>
      </c>
      <c r="R1122" t="s">
        <v>921</v>
      </c>
      <c r="S1122" t="s">
        <v>985</v>
      </c>
      <c r="T1122" t="s">
        <v>54</v>
      </c>
      <c r="U1122" t="s">
        <v>915</v>
      </c>
      <c r="V1122">
        <v>1</v>
      </c>
      <c r="AB1122" t="s">
        <v>1008</v>
      </c>
    </row>
    <row r="1123" spans="1:28" hidden="1" x14ac:dyDescent="0.2">
      <c r="A1123" s="3">
        <v>44132</v>
      </c>
      <c r="D1123" s="6">
        <v>0.83524305555555556</v>
      </c>
      <c r="E1123">
        <v>-76.655921669999998</v>
      </c>
      <c r="F1123">
        <v>3.354761667</v>
      </c>
      <c r="G1123">
        <v>2591</v>
      </c>
      <c r="H1123" t="e">
        <f t="shared" si="3"/>
        <v>#DIV/0!</v>
      </c>
      <c r="I1123">
        <v>2020</v>
      </c>
      <c r="J1123" t="e">
        <f t="shared" si="4"/>
        <v>#DIV/0!</v>
      </c>
      <c r="K1123" t="e">
        <f t="shared" si="5"/>
        <v>#DIV/0!</v>
      </c>
      <c r="M1123" t="s">
        <v>624</v>
      </c>
      <c r="O1123" t="s">
        <v>38</v>
      </c>
      <c r="P1123" t="s">
        <v>720</v>
      </c>
      <c r="R1123" t="s">
        <v>921</v>
      </c>
      <c r="S1123" t="s">
        <v>985</v>
      </c>
      <c r="T1123" t="s">
        <v>504</v>
      </c>
      <c r="U1123" t="s">
        <v>238</v>
      </c>
      <c r="V1123">
        <v>1</v>
      </c>
      <c r="AB1123" t="s">
        <v>66</v>
      </c>
    </row>
    <row r="1124" spans="1:28" hidden="1" x14ac:dyDescent="0.2">
      <c r="A1124" s="3">
        <v>44132</v>
      </c>
      <c r="D1124" s="6">
        <v>0.81841435185185185</v>
      </c>
      <c r="E1124">
        <v>-76.656270000000006</v>
      </c>
      <c r="F1124">
        <v>3.3548766670000001</v>
      </c>
      <c r="G1124">
        <v>2551</v>
      </c>
      <c r="H1124" t="e">
        <f t="shared" si="3"/>
        <v>#DIV/0!</v>
      </c>
      <c r="I1124">
        <v>2020</v>
      </c>
      <c r="J1124" t="e">
        <f t="shared" si="4"/>
        <v>#DIV/0!</v>
      </c>
      <c r="K1124" t="e">
        <f t="shared" si="5"/>
        <v>#DIV/0!</v>
      </c>
      <c r="M1124" t="s">
        <v>624</v>
      </c>
      <c r="O1124" t="s">
        <v>38</v>
      </c>
      <c r="P1124" t="s">
        <v>720</v>
      </c>
      <c r="R1124" t="s">
        <v>921</v>
      </c>
      <c r="S1124" t="s">
        <v>987</v>
      </c>
      <c r="T1124" t="s">
        <v>54</v>
      </c>
      <c r="U1124" t="s">
        <v>915</v>
      </c>
      <c r="V1124">
        <v>1</v>
      </c>
      <c r="AB1124" t="s">
        <v>1008</v>
      </c>
    </row>
    <row r="1125" spans="1:28" hidden="1" x14ac:dyDescent="0.2">
      <c r="A1125" s="3">
        <v>44132</v>
      </c>
      <c r="D1125" s="6">
        <v>0.83042824074074073</v>
      </c>
      <c r="E1125">
        <v>-76.656088330000003</v>
      </c>
      <c r="F1125">
        <v>3.354873333</v>
      </c>
      <c r="G1125">
        <v>2578</v>
      </c>
      <c r="H1125" t="e">
        <f t="shared" si="3"/>
        <v>#DIV/0!</v>
      </c>
      <c r="I1125">
        <v>2020</v>
      </c>
      <c r="J1125" t="e">
        <f t="shared" si="4"/>
        <v>#DIV/0!</v>
      </c>
      <c r="K1125" t="e">
        <f t="shared" si="5"/>
        <v>#DIV/0!</v>
      </c>
      <c r="M1125" t="s">
        <v>624</v>
      </c>
      <c r="O1125" t="s">
        <v>38</v>
      </c>
      <c r="P1125" t="s">
        <v>720</v>
      </c>
      <c r="R1125" t="s">
        <v>921</v>
      </c>
      <c r="S1125" t="s">
        <v>945</v>
      </c>
      <c r="T1125" t="s">
        <v>54</v>
      </c>
      <c r="U1125" t="s">
        <v>915</v>
      </c>
      <c r="V1125">
        <v>1</v>
      </c>
      <c r="AB1125" t="s">
        <v>1008</v>
      </c>
    </row>
    <row r="1126" spans="1:28" hidden="1" x14ac:dyDescent="0.2">
      <c r="A1126" s="3">
        <v>44130</v>
      </c>
      <c r="D1126" s="6">
        <v>0.82950231481481485</v>
      </c>
      <c r="E1126">
        <v>-76.644868329999994</v>
      </c>
      <c r="F1126">
        <v>3.3497633329999998</v>
      </c>
      <c r="H1126" t="e">
        <f t="shared" si="3"/>
        <v>#DIV/0!</v>
      </c>
      <c r="I1126">
        <v>2020</v>
      </c>
      <c r="J1126" t="e">
        <f t="shared" si="4"/>
        <v>#DIV/0!</v>
      </c>
      <c r="K1126" t="e">
        <f t="shared" si="5"/>
        <v>#DIV/0!</v>
      </c>
      <c r="M1126" t="s">
        <v>624</v>
      </c>
      <c r="O1126" t="s">
        <v>47</v>
      </c>
      <c r="P1126" t="s">
        <v>643</v>
      </c>
      <c r="U1126" t="s">
        <v>36</v>
      </c>
      <c r="V1126">
        <v>0</v>
      </c>
    </row>
    <row r="1127" spans="1:28" hidden="1" x14ac:dyDescent="0.2">
      <c r="A1127" s="3">
        <v>44130</v>
      </c>
      <c r="D1127" s="6">
        <v>0.80886574074074069</v>
      </c>
      <c r="E1127">
        <v>-76.643860000000004</v>
      </c>
      <c r="F1127">
        <v>3.3496633330000001</v>
      </c>
      <c r="G1127">
        <v>2453</v>
      </c>
      <c r="H1127" t="e">
        <f t="shared" si="3"/>
        <v>#DIV/0!</v>
      </c>
      <c r="I1127">
        <v>2020</v>
      </c>
      <c r="J1127" t="e">
        <f t="shared" si="4"/>
        <v>#DIV/0!</v>
      </c>
      <c r="K1127" t="e">
        <f t="shared" si="5"/>
        <v>#DIV/0!</v>
      </c>
      <c r="M1127" t="s">
        <v>624</v>
      </c>
      <c r="O1127" t="s">
        <v>32</v>
      </c>
      <c r="P1127" t="s">
        <v>625</v>
      </c>
      <c r="R1127" t="s">
        <v>919</v>
      </c>
      <c r="S1127" t="s">
        <v>945</v>
      </c>
      <c r="T1127" t="s">
        <v>54</v>
      </c>
      <c r="U1127" t="s">
        <v>929</v>
      </c>
      <c r="V1127">
        <v>2</v>
      </c>
      <c r="AB1127" t="s">
        <v>1008</v>
      </c>
    </row>
    <row r="1128" spans="1:28" hidden="1" x14ac:dyDescent="0.2">
      <c r="A1128" s="3">
        <v>44133</v>
      </c>
      <c r="D1128" s="6">
        <v>0.85291666666666666</v>
      </c>
      <c r="E1128">
        <v>-76.650318330000005</v>
      </c>
      <c r="F1128">
        <v>3.3529366669999998</v>
      </c>
      <c r="G1128">
        <v>2490</v>
      </c>
      <c r="H1128" t="e">
        <f t="shared" si="3"/>
        <v>#DIV/0!</v>
      </c>
      <c r="I1128">
        <v>2020</v>
      </c>
      <c r="J1128" t="e">
        <f t="shared" si="4"/>
        <v>#DIV/0!</v>
      </c>
      <c r="K1128" t="e">
        <f t="shared" si="5"/>
        <v>#DIV/0!</v>
      </c>
      <c r="M1128" t="s">
        <v>624</v>
      </c>
      <c r="O1128" t="s">
        <v>40</v>
      </c>
      <c r="P1128" t="s">
        <v>690</v>
      </c>
      <c r="R1128" t="s">
        <v>919</v>
      </c>
      <c r="S1128" t="s">
        <v>945</v>
      </c>
      <c r="T1128" t="s">
        <v>54</v>
      </c>
      <c r="U1128" t="s">
        <v>915</v>
      </c>
      <c r="V1128">
        <v>1</v>
      </c>
      <c r="AB1128" t="s">
        <v>1008</v>
      </c>
    </row>
    <row r="1129" spans="1:28" hidden="1" x14ac:dyDescent="0.2">
      <c r="A1129" s="3">
        <v>44133</v>
      </c>
      <c r="D1129" s="6">
        <v>0.84859953703703705</v>
      </c>
      <c r="E1129">
        <v>-76.650099999999995</v>
      </c>
      <c r="F1129">
        <v>3.3528916670000002</v>
      </c>
      <c r="G1129">
        <v>2490</v>
      </c>
      <c r="H1129" t="e">
        <f t="shared" si="3"/>
        <v>#DIV/0!</v>
      </c>
      <c r="I1129">
        <v>2020</v>
      </c>
      <c r="J1129" t="e">
        <f t="shared" si="4"/>
        <v>#DIV/0!</v>
      </c>
      <c r="K1129" t="e">
        <f t="shared" si="5"/>
        <v>#DIV/0!</v>
      </c>
      <c r="M1129" t="s">
        <v>624</v>
      </c>
      <c r="O1129" t="s">
        <v>40</v>
      </c>
      <c r="P1129" t="s">
        <v>690</v>
      </c>
      <c r="R1129" t="s">
        <v>919</v>
      </c>
      <c r="S1129" t="s">
        <v>945</v>
      </c>
      <c r="T1129" t="s">
        <v>54</v>
      </c>
      <c r="U1129" t="s">
        <v>238</v>
      </c>
      <c r="V1129">
        <v>1</v>
      </c>
      <c r="AB1129" t="s">
        <v>1008</v>
      </c>
    </row>
    <row r="1130" spans="1:28" hidden="1" x14ac:dyDescent="0.2">
      <c r="A1130" s="3">
        <v>44133</v>
      </c>
      <c r="D1130" s="6">
        <v>0.84092592592592597</v>
      </c>
      <c r="E1130">
        <v>-76.649886670000001</v>
      </c>
      <c r="F1130">
        <v>3.352773333</v>
      </c>
      <c r="G1130">
        <v>2479</v>
      </c>
      <c r="H1130" t="e">
        <f t="shared" si="3"/>
        <v>#DIV/0!</v>
      </c>
      <c r="I1130">
        <v>2020</v>
      </c>
      <c r="J1130" t="e">
        <f t="shared" si="4"/>
        <v>#DIV/0!</v>
      </c>
      <c r="K1130" t="e">
        <f t="shared" si="5"/>
        <v>#DIV/0!</v>
      </c>
      <c r="M1130" t="s">
        <v>624</v>
      </c>
      <c r="O1130" t="s">
        <v>40</v>
      </c>
      <c r="P1130" t="s">
        <v>690</v>
      </c>
      <c r="R1130" t="s">
        <v>919</v>
      </c>
      <c r="S1130" t="s">
        <v>987</v>
      </c>
      <c r="T1130" t="s">
        <v>54</v>
      </c>
      <c r="U1130" t="s">
        <v>915</v>
      </c>
      <c r="V1130">
        <v>1</v>
      </c>
      <c r="AB1130" t="s">
        <v>1008</v>
      </c>
    </row>
    <row r="1131" spans="1:28" hidden="1" x14ac:dyDescent="0.2">
      <c r="A1131" s="3">
        <v>44133</v>
      </c>
      <c r="D1131" s="6">
        <v>0.82103009259259263</v>
      </c>
      <c r="E1131">
        <v>-76.648966669999993</v>
      </c>
      <c r="F1131">
        <v>3.3527550000000002</v>
      </c>
      <c r="G1131">
        <v>2463</v>
      </c>
      <c r="H1131" t="e">
        <f t="shared" si="3"/>
        <v>#DIV/0!</v>
      </c>
      <c r="I1131">
        <v>2020</v>
      </c>
      <c r="J1131" t="e">
        <f t="shared" si="4"/>
        <v>#DIV/0!</v>
      </c>
      <c r="K1131" t="e">
        <f t="shared" si="5"/>
        <v>#DIV/0!</v>
      </c>
      <c r="M1131" t="s">
        <v>624</v>
      </c>
      <c r="O1131" t="s">
        <v>38</v>
      </c>
      <c r="P1131" t="s">
        <v>690</v>
      </c>
      <c r="R1131" t="s">
        <v>919</v>
      </c>
      <c r="S1131" t="s">
        <v>985</v>
      </c>
      <c r="T1131" t="s">
        <v>54</v>
      </c>
      <c r="U1131" t="s">
        <v>238</v>
      </c>
      <c r="V1131">
        <v>1</v>
      </c>
      <c r="AB1131" t="s">
        <v>1008</v>
      </c>
    </row>
    <row r="1132" spans="1:28" hidden="1" x14ac:dyDescent="0.2">
      <c r="A1132" s="3">
        <v>44133</v>
      </c>
      <c r="D1132" s="6">
        <v>0.81034722222222222</v>
      </c>
      <c r="E1132">
        <v>-76.648664999999994</v>
      </c>
      <c r="F1132">
        <v>3.3525</v>
      </c>
      <c r="G1132">
        <v>2460</v>
      </c>
      <c r="H1132" t="e">
        <f t="shared" si="3"/>
        <v>#DIV/0!</v>
      </c>
      <c r="I1132">
        <v>2020</v>
      </c>
      <c r="J1132" t="e">
        <f t="shared" si="4"/>
        <v>#DIV/0!</v>
      </c>
      <c r="K1132" t="e">
        <f t="shared" si="5"/>
        <v>#DIV/0!</v>
      </c>
      <c r="M1132" t="s">
        <v>624</v>
      </c>
      <c r="O1132" t="s">
        <v>38</v>
      </c>
      <c r="P1132" t="s">
        <v>690</v>
      </c>
      <c r="R1132" t="s">
        <v>919</v>
      </c>
      <c r="S1132" t="s">
        <v>945</v>
      </c>
      <c r="T1132" t="s">
        <v>54</v>
      </c>
      <c r="U1132" t="s">
        <v>238</v>
      </c>
      <c r="V1132">
        <v>1</v>
      </c>
      <c r="AB1132" t="s">
        <v>1008</v>
      </c>
    </row>
    <row r="1133" spans="1:28" hidden="1" x14ac:dyDescent="0.2">
      <c r="A1133" s="3">
        <v>44133</v>
      </c>
      <c r="D1133" s="6">
        <v>0.79084490740740743</v>
      </c>
      <c r="E1133">
        <v>-76.647970000000001</v>
      </c>
      <c r="F1133">
        <v>3.3523483330000001</v>
      </c>
      <c r="G1133">
        <v>2445</v>
      </c>
      <c r="H1133" t="e">
        <f t="shared" si="3"/>
        <v>#DIV/0!</v>
      </c>
      <c r="I1133">
        <v>2020</v>
      </c>
      <c r="J1133" t="e">
        <f t="shared" si="4"/>
        <v>#DIV/0!</v>
      </c>
      <c r="K1133" t="e">
        <f t="shared" si="5"/>
        <v>#DIV/0!</v>
      </c>
      <c r="M1133" t="s">
        <v>624</v>
      </c>
      <c r="O1133" t="s">
        <v>32</v>
      </c>
      <c r="P1133" t="s">
        <v>690</v>
      </c>
      <c r="R1133" t="s">
        <v>919</v>
      </c>
      <c r="S1133" t="s">
        <v>945</v>
      </c>
      <c r="T1133" t="s">
        <v>91</v>
      </c>
      <c r="U1133" t="s">
        <v>238</v>
      </c>
      <c r="V1133">
        <v>1</v>
      </c>
      <c r="AB1133" t="s">
        <v>66</v>
      </c>
    </row>
    <row r="1134" spans="1:28" hidden="1" x14ac:dyDescent="0.2">
      <c r="A1134" s="3">
        <v>44133</v>
      </c>
      <c r="D1134" s="6">
        <v>0.79940972222222217</v>
      </c>
      <c r="E1134">
        <v>-76.648193329999998</v>
      </c>
      <c r="F1134">
        <v>3.3524383329999998</v>
      </c>
      <c r="G1134">
        <v>2461</v>
      </c>
      <c r="H1134" t="e">
        <f t="shared" si="3"/>
        <v>#DIV/0!</v>
      </c>
      <c r="I1134">
        <v>2020</v>
      </c>
      <c r="J1134" t="e">
        <f t="shared" si="4"/>
        <v>#DIV/0!</v>
      </c>
      <c r="K1134" t="e">
        <f t="shared" si="5"/>
        <v>#DIV/0!</v>
      </c>
      <c r="M1134" t="s">
        <v>624</v>
      </c>
      <c r="O1134" t="s">
        <v>32</v>
      </c>
      <c r="P1134" t="s">
        <v>690</v>
      </c>
      <c r="R1134" t="s">
        <v>919</v>
      </c>
      <c r="S1134" t="s">
        <v>945</v>
      </c>
      <c r="T1134" t="s">
        <v>54</v>
      </c>
      <c r="U1134" t="s">
        <v>915</v>
      </c>
      <c r="V1134">
        <v>1</v>
      </c>
      <c r="AB1134" t="s">
        <v>1008</v>
      </c>
    </row>
    <row r="1135" spans="1:28" hidden="1" x14ac:dyDescent="0.2">
      <c r="A1135" s="3">
        <v>44154</v>
      </c>
      <c r="D1135" s="6">
        <v>0.81145833333333328</v>
      </c>
      <c r="E1135">
        <v>-76.725399999999993</v>
      </c>
      <c r="F1135">
        <v>3.4996316670000001</v>
      </c>
      <c r="G1135">
        <v>1796</v>
      </c>
      <c r="H1135" t="e">
        <f t="shared" si="3"/>
        <v>#DIV/0!</v>
      </c>
      <c r="I1135">
        <v>2020</v>
      </c>
      <c r="J1135" t="e">
        <f t="shared" si="4"/>
        <v>#DIV/0!</v>
      </c>
      <c r="K1135" t="e">
        <f t="shared" si="5"/>
        <v>#DIV/0!</v>
      </c>
      <c r="M1135" t="s">
        <v>247</v>
      </c>
      <c r="O1135" t="s">
        <v>40</v>
      </c>
      <c r="P1135" t="s">
        <v>340</v>
      </c>
      <c r="R1135" t="s">
        <v>919</v>
      </c>
      <c r="S1135" t="s">
        <v>946</v>
      </c>
      <c r="T1135" t="s">
        <v>91</v>
      </c>
      <c r="U1135" t="s">
        <v>88</v>
      </c>
      <c r="V1135">
        <v>1</v>
      </c>
      <c r="AB1135" t="s">
        <v>1008</v>
      </c>
    </row>
    <row r="1136" spans="1:28" hidden="1" x14ac:dyDescent="0.2">
      <c r="A1136" s="3">
        <v>44154</v>
      </c>
      <c r="D1136" s="6">
        <v>0.88181712962962966</v>
      </c>
      <c r="E1136">
        <v>-76.726316670000003</v>
      </c>
      <c r="F1136">
        <v>3.50007</v>
      </c>
      <c r="G1136">
        <v>1789</v>
      </c>
      <c r="H1136" t="e">
        <f t="shared" si="3"/>
        <v>#DIV/0!</v>
      </c>
      <c r="I1136">
        <v>2020</v>
      </c>
      <c r="J1136" t="e">
        <f t="shared" si="4"/>
        <v>#DIV/0!</v>
      </c>
      <c r="K1136" t="e">
        <f t="shared" si="5"/>
        <v>#DIV/0!</v>
      </c>
      <c r="M1136" t="s">
        <v>247</v>
      </c>
      <c r="O1136" t="s">
        <v>32</v>
      </c>
      <c r="P1136" t="s">
        <v>340</v>
      </c>
      <c r="R1136" t="s">
        <v>922</v>
      </c>
      <c r="S1136" t="s">
        <v>945</v>
      </c>
      <c r="T1136" t="s">
        <v>54</v>
      </c>
      <c r="U1136" t="s">
        <v>238</v>
      </c>
      <c r="V1136">
        <v>1</v>
      </c>
      <c r="AB1136" t="s">
        <v>1008</v>
      </c>
    </row>
    <row r="1137" spans="1:28" hidden="1" x14ac:dyDescent="0.2">
      <c r="A1137" s="3">
        <v>44154</v>
      </c>
      <c r="D1137" s="6">
        <v>0.88504629629629628</v>
      </c>
      <c r="E1137">
        <v>-76.726448329999997</v>
      </c>
      <c r="F1137">
        <v>3.4999116670000001</v>
      </c>
      <c r="G1137">
        <v>1789</v>
      </c>
      <c r="H1137" t="e">
        <f t="shared" si="3"/>
        <v>#DIV/0!</v>
      </c>
      <c r="I1137">
        <v>2020</v>
      </c>
      <c r="J1137" t="e">
        <f t="shared" si="4"/>
        <v>#DIV/0!</v>
      </c>
      <c r="K1137" t="e">
        <f t="shared" si="5"/>
        <v>#DIV/0!</v>
      </c>
      <c r="M1137" t="s">
        <v>247</v>
      </c>
      <c r="O1137" t="s">
        <v>32</v>
      </c>
      <c r="P1137" t="s">
        <v>340</v>
      </c>
      <c r="R1137" t="s">
        <v>919</v>
      </c>
      <c r="S1137" t="s">
        <v>946</v>
      </c>
      <c r="T1137" t="s">
        <v>54</v>
      </c>
      <c r="U1137" t="s">
        <v>238</v>
      </c>
      <c r="V1137">
        <v>1</v>
      </c>
      <c r="AB1137" t="s">
        <v>1008</v>
      </c>
    </row>
    <row r="1138" spans="1:28" hidden="1" x14ac:dyDescent="0.2">
      <c r="A1138" s="3">
        <v>44154</v>
      </c>
      <c r="D1138" s="6">
        <v>0.89293981481481477</v>
      </c>
      <c r="E1138">
        <v>-76.726429999999993</v>
      </c>
      <c r="F1138">
        <v>3.5000200000000001</v>
      </c>
      <c r="G1138">
        <v>1787</v>
      </c>
      <c r="H1138" t="e">
        <f t="shared" si="3"/>
        <v>#DIV/0!</v>
      </c>
      <c r="I1138">
        <v>2020</v>
      </c>
      <c r="J1138" t="e">
        <f t="shared" si="4"/>
        <v>#DIV/0!</v>
      </c>
      <c r="K1138" t="e">
        <f t="shared" si="5"/>
        <v>#DIV/0!</v>
      </c>
      <c r="M1138" t="s">
        <v>247</v>
      </c>
      <c r="O1138" t="s">
        <v>32</v>
      </c>
      <c r="P1138" t="s">
        <v>340</v>
      </c>
      <c r="R1138" t="s">
        <v>919</v>
      </c>
      <c r="S1138" t="s">
        <v>946</v>
      </c>
      <c r="T1138" t="s">
        <v>54</v>
      </c>
      <c r="U1138" t="s">
        <v>238</v>
      </c>
      <c r="V1138">
        <v>1</v>
      </c>
      <c r="AB1138" t="s">
        <v>1008</v>
      </c>
    </row>
    <row r="1139" spans="1:28" hidden="1" x14ac:dyDescent="0.2">
      <c r="A1139" s="3">
        <v>44154</v>
      </c>
      <c r="D1139" s="6">
        <v>0.91312499999999996</v>
      </c>
      <c r="E1139">
        <v>-76.726786669999996</v>
      </c>
      <c r="F1139">
        <v>3.5004633329999999</v>
      </c>
      <c r="G1139">
        <v>1789</v>
      </c>
      <c r="H1139" t="e">
        <f t="shared" si="3"/>
        <v>#DIV/0!</v>
      </c>
      <c r="I1139">
        <v>2020</v>
      </c>
      <c r="J1139" t="e">
        <f t="shared" si="4"/>
        <v>#DIV/0!</v>
      </c>
      <c r="K1139" t="e">
        <f t="shared" si="5"/>
        <v>#DIV/0!</v>
      </c>
      <c r="M1139" t="s">
        <v>247</v>
      </c>
      <c r="O1139" t="s">
        <v>32</v>
      </c>
      <c r="P1139" t="s">
        <v>340</v>
      </c>
      <c r="R1139" t="s">
        <v>922</v>
      </c>
      <c r="S1139" t="s">
        <v>945</v>
      </c>
      <c r="T1139" t="s">
        <v>91</v>
      </c>
      <c r="U1139" t="s">
        <v>68</v>
      </c>
      <c r="V1139">
        <v>2</v>
      </c>
      <c r="AB1139" t="s">
        <v>66</v>
      </c>
    </row>
    <row r="1140" spans="1:28" hidden="1" x14ac:dyDescent="0.2">
      <c r="A1140" s="3">
        <v>44154</v>
      </c>
      <c r="D1140" s="6">
        <v>0.89881944444444439</v>
      </c>
      <c r="E1140">
        <v>-76.726566669999997</v>
      </c>
      <c r="F1140">
        <v>3.5001483329999998</v>
      </c>
      <c r="G1140">
        <v>1789</v>
      </c>
      <c r="H1140" t="e">
        <f t="shared" si="3"/>
        <v>#DIV/0!</v>
      </c>
      <c r="I1140">
        <v>2020</v>
      </c>
      <c r="J1140" t="e">
        <f t="shared" si="4"/>
        <v>#DIV/0!</v>
      </c>
      <c r="K1140" t="e">
        <f t="shared" si="5"/>
        <v>#DIV/0!</v>
      </c>
      <c r="M1140" t="s">
        <v>247</v>
      </c>
      <c r="O1140" t="s">
        <v>32</v>
      </c>
      <c r="P1140" t="s">
        <v>340</v>
      </c>
      <c r="R1140" t="s">
        <v>922</v>
      </c>
      <c r="S1140" t="s">
        <v>945</v>
      </c>
      <c r="T1140" t="s">
        <v>91</v>
      </c>
      <c r="U1140" t="s">
        <v>68</v>
      </c>
      <c r="V1140">
        <v>2</v>
      </c>
      <c r="AB1140" t="s">
        <v>66</v>
      </c>
    </row>
    <row r="1141" spans="1:28" hidden="1" x14ac:dyDescent="0.2">
      <c r="A1141" s="3">
        <v>44154</v>
      </c>
      <c r="D1141" s="6">
        <v>0.89881944444444439</v>
      </c>
      <c r="E1141">
        <v>-76.726566669999997</v>
      </c>
      <c r="F1141">
        <v>3.5001483329999998</v>
      </c>
      <c r="G1141">
        <v>1812</v>
      </c>
      <c r="H1141" t="e">
        <f t="shared" si="3"/>
        <v>#DIV/0!</v>
      </c>
      <c r="I1141">
        <v>2020</v>
      </c>
      <c r="J1141" t="e">
        <f t="shared" si="4"/>
        <v>#DIV/0!</v>
      </c>
      <c r="K1141" t="e">
        <f t="shared" si="5"/>
        <v>#DIV/0!</v>
      </c>
      <c r="M1141" t="s">
        <v>247</v>
      </c>
      <c r="O1141" t="s">
        <v>32</v>
      </c>
      <c r="P1141" t="s">
        <v>340</v>
      </c>
      <c r="R1141" t="s">
        <v>922</v>
      </c>
      <c r="S1141" t="s">
        <v>946</v>
      </c>
      <c r="T1141" t="s">
        <v>54</v>
      </c>
      <c r="U1141" t="s">
        <v>252</v>
      </c>
      <c r="V1141">
        <v>1</v>
      </c>
      <c r="AB1141" t="s">
        <v>1008</v>
      </c>
    </row>
    <row r="1142" spans="1:28" hidden="1" x14ac:dyDescent="0.2">
      <c r="A1142" s="3">
        <v>44154</v>
      </c>
      <c r="D1142" s="6">
        <v>0.83765046296296297</v>
      </c>
      <c r="E1142">
        <v>-76.726029999999994</v>
      </c>
      <c r="F1142">
        <v>3.4991366670000001</v>
      </c>
      <c r="G1142">
        <v>1789</v>
      </c>
      <c r="H1142" t="e">
        <f t="shared" si="3"/>
        <v>#DIV/0!</v>
      </c>
      <c r="I1142">
        <v>2020</v>
      </c>
      <c r="J1142" t="e">
        <f t="shared" si="4"/>
        <v>#DIV/0!</v>
      </c>
      <c r="K1142" t="e">
        <f t="shared" si="5"/>
        <v>#DIV/0!</v>
      </c>
      <c r="M1142" t="s">
        <v>247</v>
      </c>
      <c r="O1142" t="s">
        <v>38</v>
      </c>
      <c r="P1142" t="s">
        <v>340</v>
      </c>
      <c r="R1142" t="s">
        <v>922</v>
      </c>
      <c r="S1142" t="s">
        <v>945</v>
      </c>
      <c r="T1142" t="s">
        <v>91</v>
      </c>
      <c r="U1142" t="s">
        <v>68</v>
      </c>
      <c r="V1142">
        <v>3</v>
      </c>
      <c r="AB1142" t="s">
        <v>66</v>
      </c>
    </row>
    <row r="1143" spans="1:28" hidden="1" x14ac:dyDescent="0.2">
      <c r="A1143" s="3">
        <v>44154</v>
      </c>
      <c r="D1143" s="6">
        <v>0.86656250000000001</v>
      </c>
      <c r="E1143">
        <v>-76.726238330000001</v>
      </c>
      <c r="F1143">
        <v>3.4998749999999998</v>
      </c>
      <c r="G1143">
        <v>1819</v>
      </c>
      <c r="H1143" t="e">
        <f t="shared" si="3"/>
        <v>#DIV/0!</v>
      </c>
      <c r="I1143">
        <v>2020</v>
      </c>
      <c r="J1143" t="e">
        <f t="shared" si="4"/>
        <v>#DIV/0!</v>
      </c>
      <c r="K1143" t="e">
        <f t="shared" si="5"/>
        <v>#DIV/0!</v>
      </c>
      <c r="M1143" t="s">
        <v>247</v>
      </c>
      <c r="O1143" t="s">
        <v>38</v>
      </c>
      <c r="P1143" t="s">
        <v>340</v>
      </c>
      <c r="R1143" t="s">
        <v>922</v>
      </c>
      <c r="S1143" t="s">
        <v>945</v>
      </c>
      <c r="T1143" t="s">
        <v>54</v>
      </c>
      <c r="U1143" t="s">
        <v>238</v>
      </c>
      <c r="V1143">
        <v>1</v>
      </c>
      <c r="AB1143" t="s">
        <v>1008</v>
      </c>
    </row>
    <row r="1144" spans="1:28" hidden="1" x14ac:dyDescent="0.2">
      <c r="A1144" s="3">
        <v>44154</v>
      </c>
      <c r="D1144" s="6">
        <v>0.86656250000000001</v>
      </c>
      <c r="E1144">
        <v>-76.726238330000001</v>
      </c>
      <c r="F1144">
        <v>3.4998749999999998</v>
      </c>
      <c r="G1144">
        <v>1879</v>
      </c>
      <c r="H1144" t="e">
        <f t="shared" si="3"/>
        <v>#DIV/0!</v>
      </c>
      <c r="I1144">
        <v>2020</v>
      </c>
      <c r="J1144" t="e">
        <f t="shared" si="4"/>
        <v>#DIV/0!</v>
      </c>
      <c r="K1144" t="e">
        <f t="shared" si="5"/>
        <v>#DIV/0!</v>
      </c>
      <c r="M1144" t="s">
        <v>247</v>
      </c>
      <c r="O1144" t="s">
        <v>38</v>
      </c>
      <c r="P1144" t="s">
        <v>340</v>
      </c>
      <c r="R1144" t="s">
        <v>922</v>
      </c>
      <c r="S1144" t="s">
        <v>946</v>
      </c>
      <c r="T1144" t="s">
        <v>54</v>
      </c>
      <c r="U1144" t="s">
        <v>238</v>
      </c>
      <c r="V1144">
        <v>1</v>
      </c>
      <c r="AB1144" t="s">
        <v>1008</v>
      </c>
    </row>
    <row r="1145" spans="1:28" hidden="1" x14ac:dyDescent="0.2">
      <c r="A1145" s="3">
        <v>44154</v>
      </c>
      <c r="D1145" s="6">
        <v>0.84407407407407409</v>
      </c>
      <c r="E1145">
        <v>-76.726073330000006</v>
      </c>
      <c r="F1145">
        <v>3.4993249999999998</v>
      </c>
      <c r="G1145">
        <v>1788</v>
      </c>
      <c r="H1145" t="e">
        <f t="shared" si="3"/>
        <v>#DIV/0!</v>
      </c>
      <c r="I1145">
        <v>2020</v>
      </c>
      <c r="J1145" t="e">
        <f t="shared" si="4"/>
        <v>#DIV/0!</v>
      </c>
      <c r="K1145" t="e">
        <f t="shared" si="5"/>
        <v>#DIV/0!</v>
      </c>
      <c r="M1145" t="s">
        <v>247</v>
      </c>
      <c r="O1145" t="s">
        <v>38</v>
      </c>
      <c r="P1145" t="s">
        <v>340</v>
      </c>
      <c r="R1145" t="s">
        <v>922</v>
      </c>
      <c r="S1145" t="s">
        <v>945</v>
      </c>
      <c r="T1145" t="s">
        <v>54</v>
      </c>
      <c r="U1145" t="s">
        <v>88</v>
      </c>
      <c r="V1145">
        <v>1</v>
      </c>
      <c r="AB1145" t="s">
        <v>1008</v>
      </c>
    </row>
    <row r="1146" spans="1:28" hidden="1" x14ac:dyDescent="0.2">
      <c r="A1146" s="3">
        <v>44121</v>
      </c>
      <c r="D1146" s="6">
        <v>0.7926157407407407</v>
      </c>
      <c r="E1146">
        <v>-76.690790000000007</v>
      </c>
      <c r="F1146">
        <v>3.4059883329999998</v>
      </c>
      <c r="G1146">
        <v>3405</v>
      </c>
      <c r="H1146" t="e">
        <f t="shared" si="3"/>
        <v>#DIV/0!</v>
      </c>
      <c r="I1146">
        <v>2020</v>
      </c>
      <c r="J1146" t="e">
        <f t="shared" si="4"/>
        <v>#DIV/0!</v>
      </c>
      <c r="K1146" t="e">
        <f t="shared" si="5"/>
        <v>#DIV/0!</v>
      </c>
      <c r="M1146" t="s">
        <v>916</v>
      </c>
      <c r="O1146" t="s">
        <v>47</v>
      </c>
      <c r="P1146" t="s">
        <v>1152</v>
      </c>
      <c r="R1146" t="s">
        <v>258</v>
      </c>
      <c r="U1146" t="s">
        <v>924</v>
      </c>
      <c r="V1146">
        <v>1</v>
      </c>
      <c r="AB1146" t="s">
        <v>1008</v>
      </c>
    </row>
    <row r="1147" spans="1:28" hidden="1" x14ac:dyDescent="0.2">
      <c r="A1147" s="3">
        <v>44121</v>
      </c>
      <c r="D1147" s="6">
        <v>0.82974537037037033</v>
      </c>
      <c r="E1147">
        <v>-76.690635</v>
      </c>
      <c r="F1147">
        <v>3.4064016669999999</v>
      </c>
      <c r="G1147">
        <v>3413</v>
      </c>
      <c r="H1147" t="e">
        <f t="shared" si="3"/>
        <v>#DIV/0!</v>
      </c>
      <c r="I1147">
        <v>2020</v>
      </c>
      <c r="J1147" t="e">
        <f t="shared" si="4"/>
        <v>#DIV/0!</v>
      </c>
      <c r="K1147" t="e">
        <f t="shared" si="5"/>
        <v>#DIV/0!</v>
      </c>
      <c r="M1147" t="s">
        <v>916</v>
      </c>
      <c r="O1147" t="s">
        <v>47</v>
      </c>
      <c r="P1147" t="s">
        <v>1152</v>
      </c>
      <c r="R1147" t="s">
        <v>258</v>
      </c>
      <c r="U1147" t="s">
        <v>924</v>
      </c>
      <c r="V1147">
        <v>1</v>
      </c>
      <c r="AB1147" t="s">
        <v>1008</v>
      </c>
    </row>
    <row r="1148" spans="1:28" hidden="1" x14ac:dyDescent="0.2">
      <c r="A1148" s="3">
        <v>44121</v>
      </c>
      <c r="D1148" s="6">
        <v>0.82974537037037033</v>
      </c>
      <c r="E1148">
        <v>-76.690635</v>
      </c>
      <c r="F1148">
        <v>3.4064016669999999</v>
      </c>
      <c r="G1148">
        <v>3413</v>
      </c>
      <c r="H1148" t="e">
        <f t="shared" si="3"/>
        <v>#DIV/0!</v>
      </c>
      <c r="I1148">
        <v>2020</v>
      </c>
      <c r="J1148" t="e">
        <f t="shared" si="4"/>
        <v>#DIV/0!</v>
      </c>
      <c r="K1148" t="e">
        <f t="shared" si="5"/>
        <v>#DIV/0!</v>
      </c>
      <c r="M1148" t="s">
        <v>916</v>
      </c>
      <c r="O1148" t="s">
        <v>47</v>
      </c>
      <c r="P1148" t="s">
        <v>1152</v>
      </c>
      <c r="R1148" t="s">
        <v>258</v>
      </c>
      <c r="U1148" t="s">
        <v>924</v>
      </c>
      <c r="V1148">
        <v>1</v>
      </c>
      <c r="AB1148" t="s">
        <v>1008</v>
      </c>
    </row>
    <row r="1149" spans="1:28" hidden="1" x14ac:dyDescent="0.2">
      <c r="A1149" s="3">
        <v>44121</v>
      </c>
      <c r="D1149" s="6">
        <v>0.81497685185185187</v>
      </c>
      <c r="E1149">
        <v>-76.690701669999996</v>
      </c>
      <c r="F1149">
        <v>3.4062283330000001</v>
      </c>
      <c r="G1149">
        <v>3413</v>
      </c>
      <c r="H1149" t="e">
        <f t="shared" si="3"/>
        <v>#DIV/0!</v>
      </c>
      <c r="I1149">
        <v>2020</v>
      </c>
      <c r="J1149" t="e">
        <f t="shared" si="4"/>
        <v>#DIV/0!</v>
      </c>
      <c r="K1149" t="e">
        <f t="shared" si="5"/>
        <v>#DIV/0!</v>
      </c>
      <c r="M1149" t="s">
        <v>916</v>
      </c>
      <c r="O1149" t="s">
        <v>47</v>
      </c>
      <c r="P1149" t="s">
        <v>1152</v>
      </c>
      <c r="R1149" t="s">
        <v>258</v>
      </c>
      <c r="U1149" t="s">
        <v>924</v>
      </c>
      <c r="V1149">
        <v>3</v>
      </c>
      <c r="AB1149" t="s">
        <v>1008</v>
      </c>
    </row>
    <row r="1150" spans="1:28" hidden="1" x14ac:dyDescent="0.2">
      <c r="A1150" s="3">
        <v>44121</v>
      </c>
      <c r="D1150" s="6">
        <v>0.81497685185185187</v>
      </c>
      <c r="E1150">
        <v>-76.690701669999996</v>
      </c>
      <c r="F1150">
        <v>3.4062283330000001</v>
      </c>
      <c r="G1150">
        <v>3420</v>
      </c>
      <c r="H1150" t="e">
        <f t="shared" si="3"/>
        <v>#DIV/0!</v>
      </c>
      <c r="I1150">
        <v>2020</v>
      </c>
      <c r="J1150" t="e">
        <f t="shared" si="4"/>
        <v>#DIV/0!</v>
      </c>
      <c r="K1150" t="e">
        <f t="shared" si="5"/>
        <v>#DIV/0!</v>
      </c>
      <c r="M1150" t="s">
        <v>916</v>
      </c>
      <c r="O1150" t="s">
        <v>47</v>
      </c>
      <c r="P1150" t="s">
        <v>1152</v>
      </c>
      <c r="R1150" t="s">
        <v>258</v>
      </c>
      <c r="U1150" t="s">
        <v>371</v>
      </c>
      <c r="V1150">
        <v>1</v>
      </c>
      <c r="AB1150" t="s">
        <v>1008</v>
      </c>
    </row>
    <row r="1151" spans="1:28" hidden="1" x14ac:dyDescent="0.2">
      <c r="A1151" s="3">
        <v>44121</v>
      </c>
      <c r="D1151" s="6">
        <v>0.82093749999999999</v>
      </c>
      <c r="E1151">
        <v>-76.690633329999997</v>
      </c>
      <c r="F1151">
        <v>3.4062566670000001</v>
      </c>
      <c r="G1151">
        <v>3420</v>
      </c>
      <c r="H1151" t="e">
        <f t="shared" si="3"/>
        <v>#DIV/0!</v>
      </c>
      <c r="I1151">
        <v>2020</v>
      </c>
      <c r="J1151" t="e">
        <f t="shared" si="4"/>
        <v>#DIV/0!</v>
      </c>
      <c r="K1151" t="e">
        <f t="shared" si="5"/>
        <v>#DIV/0!</v>
      </c>
      <c r="M1151" t="s">
        <v>916</v>
      </c>
      <c r="O1151" t="s">
        <v>47</v>
      </c>
      <c r="P1151" t="s">
        <v>1152</v>
      </c>
      <c r="R1151" t="s">
        <v>258</v>
      </c>
      <c r="U1151" t="s">
        <v>924</v>
      </c>
      <c r="V1151">
        <v>1</v>
      </c>
      <c r="AB1151" t="s">
        <v>1008</v>
      </c>
    </row>
    <row r="1152" spans="1:28" hidden="1" x14ac:dyDescent="0.2">
      <c r="A1152" s="3">
        <v>44121</v>
      </c>
      <c r="D1152" s="6">
        <v>0.8460185185185185</v>
      </c>
      <c r="E1152">
        <v>-76.690771670000004</v>
      </c>
      <c r="F1152">
        <v>3.406393333</v>
      </c>
      <c r="G1152">
        <v>3042</v>
      </c>
      <c r="H1152" t="e">
        <f t="shared" si="3"/>
        <v>#DIV/0!</v>
      </c>
      <c r="I1152">
        <v>2020</v>
      </c>
      <c r="J1152" t="e">
        <f t="shared" si="4"/>
        <v>#DIV/0!</v>
      </c>
      <c r="K1152" t="e">
        <f t="shared" si="5"/>
        <v>#DIV/0!</v>
      </c>
      <c r="M1152" t="s">
        <v>916</v>
      </c>
      <c r="O1152" t="s">
        <v>47</v>
      </c>
      <c r="P1152" t="s">
        <v>1152</v>
      </c>
      <c r="R1152" t="s">
        <v>258</v>
      </c>
      <c r="U1152" t="s">
        <v>924</v>
      </c>
      <c r="V1152">
        <v>1</v>
      </c>
      <c r="AB1152" t="s">
        <v>1008</v>
      </c>
    </row>
    <row r="1153" spans="1:28" hidden="1" x14ac:dyDescent="0.2">
      <c r="A1153" s="3">
        <v>44121</v>
      </c>
      <c r="D1153" s="6">
        <v>0.84181712962962962</v>
      </c>
      <c r="E1153">
        <v>-76.690714999999997</v>
      </c>
      <c r="F1153">
        <v>3.4064433329999999</v>
      </c>
      <c r="G1153">
        <v>3420</v>
      </c>
      <c r="H1153" t="e">
        <f t="shared" si="3"/>
        <v>#DIV/0!</v>
      </c>
      <c r="I1153">
        <v>2020</v>
      </c>
      <c r="J1153" t="e">
        <f t="shared" si="4"/>
        <v>#DIV/0!</v>
      </c>
      <c r="K1153" t="e">
        <f t="shared" si="5"/>
        <v>#DIV/0!</v>
      </c>
      <c r="M1153" t="s">
        <v>916</v>
      </c>
      <c r="O1153" t="s">
        <v>47</v>
      </c>
      <c r="P1153" t="s">
        <v>1152</v>
      </c>
      <c r="R1153" t="s">
        <v>258</v>
      </c>
      <c r="U1153" t="s">
        <v>924</v>
      </c>
      <c r="V1153">
        <v>1</v>
      </c>
      <c r="AB1153" t="s">
        <v>1008</v>
      </c>
    </row>
    <row r="1154" spans="1:28" hidden="1" x14ac:dyDescent="0.2">
      <c r="A1154" s="3">
        <v>44121</v>
      </c>
      <c r="D1154" s="6">
        <v>0.85290509259259262</v>
      </c>
      <c r="E1154">
        <v>-76.690623329999994</v>
      </c>
      <c r="F1154">
        <v>3.4064516669999998</v>
      </c>
      <c r="G1154">
        <v>3420</v>
      </c>
      <c r="H1154" t="e">
        <f t="shared" si="3"/>
        <v>#DIV/0!</v>
      </c>
      <c r="I1154">
        <v>2020</v>
      </c>
      <c r="J1154" t="e">
        <f t="shared" si="4"/>
        <v>#DIV/0!</v>
      </c>
      <c r="K1154" t="e">
        <f t="shared" si="5"/>
        <v>#DIV/0!</v>
      </c>
      <c r="M1154" t="s">
        <v>916</v>
      </c>
      <c r="O1154" t="s">
        <v>47</v>
      </c>
      <c r="P1154" t="s">
        <v>1152</v>
      </c>
      <c r="R1154" t="s">
        <v>258</v>
      </c>
      <c r="U1154" t="s">
        <v>371</v>
      </c>
      <c r="V1154">
        <v>1</v>
      </c>
      <c r="AB1154" t="s">
        <v>1008</v>
      </c>
    </row>
    <row r="1155" spans="1:28" hidden="1" x14ac:dyDescent="0.2">
      <c r="A1155" s="3">
        <v>44121</v>
      </c>
      <c r="D1155" s="6">
        <v>0.80512731481481481</v>
      </c>
      <c r="E1155">
        <v>-76.690708330000007</v>
      </c>
      <c r="F1155">
        <v>3.406211667</v>
      </c>
      <c r="G1155">
        <v>3403</v>
      </c>
      <c r="H1155" t="e">
        <f t="shared" si="3"/>
        <v>#DIV/0!</v>
      </c>
      <c r="I1155">
        <v>2020</v>
      </c>
      <c r="J1155" t="e">
        <f t="shared" si="4"/>
        <v>#DIV/0!</v>
      </c>
      <c r="K1155" t="e">
        <f t="shared" si="5"/>
        <v>#DIV/0!</v>
      </c>
      <c r="M1155" t="s">
        <v>916</v>
      </c>
      <c r="O1155" t="s">
        <v>47</v>
      </c>
      <c r="P1155" t="s">
        <v>1152</v>
      </c>
      <c r="R1155" t="s">
        <v>258</v>
      </c>
      <c r="U1155" t="s">
        <v>924</v>
      </c>
      <c r="V1155">
        <v>1</v>
      </c>
      <c r="AB1155" t="s">
        <v>1008</v>
      </c>
    </row>
    <row r="1156" spans="1:28" hidden="1" x14ac:dyDescent="0.2">
      <c r="A1156" s="3">
        <v>44123</v>
      </c>
      <c r="D1156" s="6">
        <v>0.89822916666666663</v>
      </c>
      <c r="E1156">
        <v>-76.688478329999995</v>
      </c>
      <c r="F1156">
        <v>3.409496667</v>
      </c>
      <c r="G1156">
        <v>3360</v>
      </c>
      <c r="H1156" t="e">
        <f t="shared" si="3"/>
        <v>#DIV/0!</v>
      </c>
      <c r="I1156">
        <v>2020</v>
      </c>
      <c r="J1156" t="e">
        <f t="shared" si="4"/>
        <v>#DIV/0!</v>
      </c>
      <c r="K1156" t="e">
        <f t="shared" si="5"/>
        <v>#DIV/0!</v>
      </c>
      <c r="M1156" t="s">
        <v>916</v>
      </c>
      <c r="O1156" t="s">
        <v>32</v>
      </c>
      <c r="P1156" t="s">
        <v>1151</v>
      </c>
      <c r="R1156" t="s">
        <v>919</v>
      </c>
      <c r="S1156" t="s">
        <v>389</v>
      </c>
      <c r="U1156" t="s">
        <v>371</v>
      </c>
      <c r="V1156">
        <v>1</v>
      </c>
      <c r="AB1156" t="s">
        <v>1008</v>
      </c>
    </row>
    <row r="1157" spans="1:28" hidden="1" x14ac:dyDescent="0.2">
      <c r="A1157" s="3">
        <v>44121</v>
      </c>
      <c r="D1157" s="6">
        <v>0.86409722222222218</v>
      </c>
      <c r="E1157">
        <v>-76.690378330000001</v>
      </c>
      <c r="F1157">
        <v>3.4068700000000001</v>
      </c>
      <c r="G1157">
        <v>3409</v>
      </c>
      <c r="H1157" t="e">
        <f t="shared" si="3"/>
        <v>#DIV/0!</v>
      </c>
      <c r="I1157">
        <v>2020</v>
      </c>
      <c r="J1157" t="e">
        <f t="shared" si="4"/>
        <v>#DIV/0!</v>
      </c>
      <c r="K1157" t="e">
        <f t="shared" si="5"/>
        <v>#DIV/0!</v>
      </c>
      <c r="M1157" t="s">
        <v>916</v>
      </c>
      <c r="O1157" t="s">
        <v>40</v>
      </c>
      <c r="P1157" t="s">
        <v>1152</v>
      </c>
      <c r="R1157" t="s">
        <v>921</v>
      </c>
      <c r="U1157" t="s">
        <v>924</v>
      </c>
      <c r="V1157">
        <v>1</v>
      </c>
      <c r="AB1157" t="s">
        <v>1008</v>
      </c>
    </row>
    <row r="1158" spans="1:28" hidden="1" x14ac:dyDescent="0.2">
      <c r="A1158" s="3">
        <v>44120</v>
      </c>
      <c r="D1158" s="6">
        <v>0.79678240740740736</v>
      </c>
      <c r="E1158">
        <v>-76.680851669999996</v>
      </c>
      <c r="F1158">
        <v>3.4013116669999999</v>
      </c>
      <c r="G1158">
        <v>3049</v>
      </c>
      <c r="H1158" t="e">
        <f t="shared" si="3"/>
        <v>#DIV/0!</v>
      </c>
      <c r="I1158">
        <v>2020</v>
      </c>
      <c r="J1158" t="e">
        <f t="shared" si="4"/>
        <v>#DIV/0!</v>
      </c>
      <c r="K1158" t="e">
        <f t="shared" si="5"/>
        <v>#DIV/0!</v>
      </c>
      <c r="M1158" t="s">
        <v>916</v>
      </c>
      <c r="O1158" t="s">
        <v>32</v>
      </c>
      <c r="P1158" t="s">
        <v>913</v>
      </c>
      <c r="R1158" t="s">
        <v>921</v>
      </c>
      <c r="S1158" t="s">
        <v>988</v>
      </c>
      <c r="U1158" t="s">
        <v>915</v>
      </c>
      <c r="V1158">
        <v>1</v>
      </c>
      <c r="AB1158" t="s">
        <v>1008</v>
      </c>
    </row>
    <row r="1159" spans="1:28" hidden="1" x14ac:dyDescent="0.2">
      <c r="A1159" s="3">
        <v>44120</v>
      </c>
      <c r="D1159" s="6">
        <v>0.84689814814814812</v>
      </c>
      <c r="E1159">
        <v>-76.679990000000004</v>
      </c>
      <c r="F1159">
        <v>3.400896667</v>
      </c>
      <c r="G1159">
        <v>3024</v>
      </c>
      <c r="H1159" t="e">
        <f t="shared" si="3"/>
        <v>#DIV/0!</v>
      </c>
      <c r="I1159">
        <v>2020</v>
      </c>
      <c r="J1159" t="e">
        <f t="shared" si="4"/>
        <v>#DIV/0!</v>
      </c>
      <c r="K1159" t="e">
        <f t="shared" si="5"/>
        <v>#DIV/0!</v>
      </c>
      <c r="M1159" t="s">
        <v>916</v>
      </c>
      <c r="O1159" t="s">
        <v>32</v>
      </c>
      <c r="P1159" t="s">
        <v>913</v>
      </c>
      <c r="R1159" t="s">
        <v>921</v>
      </c>
      <c r="S1159" t="s">
        <v>986</v>
      </c>
      <c r="U1159" t="s">
        <v>925</v>
      </c>
      <c r="V1159">
        <v>1</v>
      </c>
      <c r="AB1159" t="s">
        <v>1008</v>
      </c>
    </row>
    <row r="1160" spans="1:28" hidden="1" x14ac:dyDescent="0.2">
      <c r="A1160" s="3">
        <v>44120</v>
      </c>
      <c r="D1160" s="6">
        <v>0.81980324074074074</v>
      </c>
      <c r="E1160">
        <v>-76.680615000000003</v>
      </c>
      <c r="F1160">
        <v>3.4009416670000001</v>
      </c>
      <c r="G1160">
        <v>3010</v>
      </c>
      <c r="H1160" t="e">
        <f t="shared" si="3"/>
        <v>#DIV/0!</v>
      </c>
      <c r="I1160">
        <v>2020</v>
      </c>
      <c r="J1160" t="e">
        <f t="shared" si="4"/>
        <v>#DIV/0!</v>
      </c>
      <c r="K1160" t="e">
        <f t="shared" si="5"/>
        <v>#DIV/0!</v>
      </c>
      <c r="M1160" t="s">
        <v>916</v>
      </c>
      <c r="O1160" t="s">
        <v>32</v>
      </c>
      <c r="P1160" t="s">
        <v>913</v>
      </c>
      <c r="R1160" t="s">
        <v>921</v>
      </c>
      <c r="S1160" t="s">
        <v>389</v>
      </c>
      <c r="U1160" t="s">
        <v>927</v>
      </c>
      <c r="V1160">
        <v>1</v>
      </c>
      <c r="AB1160" t="s">
        <v>1008</v>
      </c>
    </row>
    <row r="1161" spans="1:28" hidden="1" x14ac:dyDescent="0.2">
      <c r="A1161" s="3">
        <v>44123</v>
      </c>
      <c r="D1161" s="6">
        <v>0.82417824074074075</v>
      </c>
      <c r="E1161">
        <v>-76.689533330000003</v>
      </c>
      <c r="F1161">
        <v>3.4117383330000002</v>
      </c>
      <c r="G1161">
        <v>3240</v>
      </c>
      <c r="H1161" t="e">
        <f t="shared" si="3"/>
        <v>#DIV/0!</v>
      </c>
      <c r="I1161">
        <v>2020</v>
      </c>
      <c r="J1161" t="e">
        <f t="shared" si="4"/>
        <v>#DIV/0!</v>
      </c>
      <c r="K1161" t="e">
        <f t="shared" si="5"/>
        <v>#DIV/0!</v>
      </c>
      <c r="M1161" t="s">
        <v>916</v>
      </c>
      <c r="O1161" t="s">
        <v>47</v>
      </c>
      <c r="P1161" t="s">
        <v>1151</v>
      </c>
      <c r="R1161" t="s">
        <v>919</v>
      </c>
      <c r="S1161" t="s">
        <v>989</v>
      </c>
      <c r="U1161" t="s">
        <v>371</v>
      </c>
      <c r="V1161">
        <v>1</v>
      </c>
      <c r="AB1161" t="s">
        <v>1008</v>
      </c>
    </row>
    <row r="1162" spans="1:28" hidden="1" x14ac:dyDescent="0.2">
      <c r="A1162" s="3">
        <v>44123</v>
      </c>
      <c r="D1162" s="6">
        <v>0.79668981481481482</v>
      </c>
      <c r="E1162">
        <v>-76.689994999999996</v>
      </c>
      <c r="F1162">
        <v>3.4119833329999998</v>
      </c>
      <c r="G1162">
        <v>3294</v>
      </c>
      <c r="H1162" t="e">
        <f t="shared" ref="H1162:H1179" si="6">AVERAGE(Z1162,AE1162)</f>
        <v>#DIV/0!</v>
      </c>
      <c r="I1162">
        <v>2020</v>
      </c>
      <c r="J1162" t="e">
        <f t="shared" ref="J1162:J1179" si="7">AVERAGE(AD1162,AI1162)</f>
        <v>#DIV/0!</v>
      </c>
      <c r="K1162" t="e">
        <f t="shared" ref="K1162:K1179" si="8">AVERAGE(AA1162,AF1162)</f>
        <v>#DIV/0!</v>
      </c>
      <c r="M1162" t="s">
        <v>916</v>
      </c>
      <c r="O1162" t="s">
        <v>47</v>
      </c>
      <c r="P1162" t="s">
        <v>1151</v>
      </c>
      <c r="R1162" t="s">
        <v>919</v>
      </c>
      <c r="U1162" t="s">
        <v>924</v>
      </c>
      <c r="V1162">
        <v>1</v>
      </c>
      <c r="AB1162" t="s">
        <v>1008</v>
      </c>
    </row>
    <row r="1163" spans="1:28" hidden="1" x14ac:dyDescent="0.2">
      <c r="A1163" s="3">
        <v>44123</v>
      </c>
      <c r="D1163" s="6">
        <v>0.79668981481481482</v>
      </c>
      <c r="E1163">
        <v>-76.689994999999996</v>
      </c>
      <c r="F1163">
        <v>3.4119833329999998</v>
      </c>
      <c r="G1163">
        <v>3294</v>
      </c>
      <c r="H1163" t="e">
        <f t="shared" si="6"/>
        <v>#DIV/0!</v>
      </c>
      <c r="I1163">
        <v>2020</v>
      </c>
      <c r="J1163" t="e">
        <f t="shared" si="7"/>
        <v>#DIV/0!</v>
      </c>
      <c r="K1163" t="e">
        <f t="shared" si="8"/>
        <v>#DIV/0!</v>
      </c>
      <c r="M1163" t="s">
        <v>916</v>
      </c>
      <c r="O1163" t="s">
        <v>47</v>
      </c>
      <c r="P1163" t="s">
        <v>1151</v>
      </c>
      <c r="R1163" t="s">
        <v>919</v>
      </c>
      <c r="S1163" t="s">
        <v>990</v>
      </c>
      <c r="U1163" t="s">
        <v>371</v>
      </c>
      <c r="V1163">
        <v>1</v>
      </c>
      <c r="AB1163" t="s">
        <v>1008</v>
      </c>
    </row>
    <row r="1164" spans="1:28" hidden="1" x14ac:dyDescent="0.2">
      <c r="A1164" s="3">
        <v>44123</v>
      </c>
      <c r="D1164" s="6">
        <v>0.83197916666666671</v>
      </c>
      <c r="E1164">
        <v>-76.68956833</v>
      </c>
      <c r="F1164">
        <v>3.4117000000000002</v>
      </c>
      <c r="G1164">
        <v>3290</v>
      </c>
      <c r="H1164" t="e">
        <f t="shared" si="6"/>
        <v>#DIV/0!</v>
      </c>
      <c r="I1164">
        <v>2020</v>
      </c>
      <c r="J1164" t="e">
        <f t="shared" si="7"/>
        <v>#DIV/0!</v>
      </c>
      <c r="K1164" t="e">
        <f t="shared" si="8"/>
        <v>#DIV/0!</v>
      </c>
      <c r="M1164" t="s">
        <v>916</v>
      </c>
      <c r="O1164" t="s">
        <v>47</v>
      </c>
      <c r="P1164" t="s">
        <v>1151</v>
      </c>
      <c r="R1164" t="s">
        <v>922</v>
      </c>
      <c r="S1164" t="s">
        <v>990</v>
      </c>
      <c r="U1164" t="s">
        <v>931</v>
      </c>
      <c r="V1164">
        <v>3</v>
      </c>
      <c r="AB1164" t="s">
        <v>1008</v>
      </c>
    </row>
    <row r="1165" spans="1:28" hidden="1" x14ac:dyDescent="0.2">
      <c r="A1165" s="3">
        <v>44121</v>
      </c>
      <c r="D1165" s="6">
        <v>0.87675925925925924</v>
      </c>
      <c r="E1165">
        <v>-76.689615000000003</v>
      </c>
      <c r="F1165">
        <v>3.4074333330000002</v>
      </c>
      <c r="G1165">
        <v>3411</v>
      </c>
      <c r="H1165" t="e">
        <f t="shared" si="6"/>
        <v>#DIV/0!</v>
      </c>
      <c r="I1165">
        <v>2020</v>
      </c>
      <c r="J1165" t="e">
        <f t="shared" si="7"/>
        <v>#DIV/0!</v>
      </c>
      <c r="K1165" t="e">
        <f t="shared" si="8"/>
        <v>#DIV/0!</v>
      </c>
      <c r="M1165" t="s">
        <v>916</v>
      </c>
      <c r="O1165" t="s">
        <v>38</v>
      </c>
      <c r="P1165" t="s">
        <v>1152</v>
      </c>
      <c r="R1165" t="s">
        <v>921</v>
      </c>
      <c r="U1165" t="s">
        <v>924</v>
      </c>
      <c r="V1165">
        <v>1</v>
      </c>
      <c r="AB1165" t="s">
        <v>1008</v>
      </c>
    </row>
    <row r="1166" spans="1:28" hidden="1" x14ac:dyDescent="0.2">
      <c r="A1166" s="3">
        <v>44121</v>
      </c>
      <c r="D1166" s="6">
        <v>0.87675925925925924</v>
      </c>
      <c r="E1166">
        <v>-76.689615000000003</v>
      </c>
      <c r="F1166">
        <v>3.4074333330000002</v>
      </c>
      <c r="G1166">
        <v>3412</v>
      </c>
      <c r="H1166" t="e">
        <f t="shared" si="6"/>
        <v>#DIV/0!</v>
      </c>
      <c r="I1166">
        <v>2020</v>
      </c>
      <c r="J1166" t="e">
        <f t="shared" si="7"/>
        <v>#DIV/0!</v>
      </c>
      <c r="K1166" t="e">
        <f t="shared" si="8"/>
        <v>#DIV/0!</v>
      </c>
      <c r="M1166" t="s">
        <v>916</v>
      </c>
      <c r="O1166" t="s">
        <v>38</v>
      </c>
      <c r="P1166" t="s">
        <v>1152</v>
      </c>
      <c r="R1166" t="s">
        <v>921</v>
      </c>
      <c r="S1166" t="s">
        <v>991</v>
      </c>
      <c r="U1166" t="s">
        <v>927</v>
      </c>
      <c r="V1166">
        <v>2</v>
      </c>
      <c r="AB1166" t="s">
        <v>1008</v>
      </c>
    </row>
    <row r="1167" spans="1:28" hidden="1" x14ac:dyDescent="0.2">
      <c r="A1167" s="3">
        <v>44120</v>
      </c>
      <c r="D1167" s="6">
        <v>0.93732638888888886</v>
      </c>
      <c r="E1167">
        <v>-76.678785000000005</v>
      </c>
      <c r="F1167">
        <v>3.40083</v>
      </c>
      <c r="G1167">
        <v>3050</v>
      </c>
      <c r="H1167" t="e">
        <f t="shared" si="6"/>
        <v>#DIV/0!</v>
      </c>
      <c r="I1167">
        <v>2020</v>
      </c>
      <c r="J1167" t="e">
        <f t="shared" si="7"/>
        <v>#DIV/0!</v>
      </c>
      <c r="K1167" t="e">
        <f t="shared" si="8"/>
        <v>#DIV/0!</v>
      </c>
      <c r="M1167" t="s">
        <v>916</v>
      </c>
      <c r="O1167" t="s">
        <v>40</v>
      </c>
      <c r="P1167" t="s">
        <v>913</v>
      </c>
      <c r="R1167" t="s">
        <v>921</v>
      </c>
      <c r="S1167" t="s">
        <v>992</v>
      </c>
      <c r="U1167" t="s">
        <v>927</v>
      </c>
      <c r="V1167">
        <v>1</v>
      </c>
      <c r="AB1167" t="s">
        <v>1008</v>
      </c>
    </row>
    <row r="1168" spans="1:28" hidden="1" x14ac:dyDescent="0.2">
      <c r="A1168" s="3">
        <v>44120</v>
      </c>
      <c r="D1168" s="6">
        <v>0.95890046296296294</v>
      </c>
      <c r="E1168">
        <v>-76.678555000000003</v>
      </c>
      <c r="F1168">
        <v>3.40158</v>
      </c>
      <c r="G1168">
        <v>3054</v>
      </c>
      <c r="H1168" t="e">
        <f t="shared" si="6"/>
        <v>#DIV/0!</v>
      </c>
      <c r="I1168">
        <v>2020</v>
      </c>
      <c r="J1168" t="e">
        <f t="shared" si="7"/>
        <v>#DIV/0!</v>
      </c>
      <c r="K1168" t="e">
        <f t="shared" si="8"/>
        <v>#DIV/0!</v>
      </c>
      <c r="M1168" t="s">
        <v>916</v>
      </c>
      <c r="O1168" t="s">
        <v>40</v>
      </c>
      <c r="P1168" t="s">
        <v>913</v>
      </c>
      <c r="R1168" t="s">
        <v>921</v>
      </c>
      <c r="U1168" t="s">
        <v>925</v>
      </c>
      <c r="V1168">
        <v>1</v>
      </c>
      <c r="AB1168" t="s">
        <v>1008</v>
      </c>
    </row>
    <row r="1169" spans="1:28" hidden="1" x14ac:dyDescent="0.2">
      <c r="A1169" s="3">
        <v>44120</v>
      </c>
      <c r="D1169" s="6">
        <v>0.94403935185185184</v>
      </c>
      <c r="E1169">
        <v>-76.678651669999994</v>
      </c>
      <c r="F1169">
        <v>3.401135</v>
      </c>
      <c r="G1169">
        <v>3051</v>
      </c>
      <c r="H1169" t="e">
        <f t="shared" si="6"/>
        <v>#DIV/0!</v>
      </c>
      <c r="I1169">
        <v>2020</v>
      </c>
      <c r="J1169" t="e">
        <f t="shared" si="7"/>
        <v>#DIV/0!</v>
      </c>
      <c r="K1169" t="e">
        <f t="shared" si="8"/>
        <v>#DIV/0!</v>
      </c>
      <c r="M1169" t="s">
        <v>916</v>
      </c>
      <c r="O1169" t="s">
        <v>40</v>
      </c>
      <c r="P1169" t="s">
        <v>913</v>
      </c>
      <c r="R1169" t="s">
        <v>922</v>
      </c>
      <c r="S1169" t="s">
        <v>992</v>
      </c>
      <c r="U1169" t="s">
        <v>940</v>
      </c>
      <c r="V1169">
        <v>1</v>
      </c>
      <c r="AB1169" t="s">
        <v>66</v>
      </c>
    </row>
    <row r="1170" spans="1:28" hidden="1" x14ac:dyDescent="0.2">
      <c r="A1170" s="3">
        <v>44123</v>
      </c>
      <c r="D1170" s="6">
        <v>0.87812500000000004</v>
      </c>
      <c r="E1170">
        <v>-76.688371669999995</v>
      </c>
      <c r="F1170">
        <v>3.4102583329999998</v>
      </c>
      <c r="G1170">
        <v>3320</v>
      </c>
      <c r="H1170" t="e">
        <f t="shared" si="6"/>
        <v>#DIV/0!</v>
      </c>
      <c r="I1170">
        <v>2020</v>
      </c>
      <c r="J1170" t="e">
        <f t="shared" si="7"/>
        <v>#DIV/0!</v>
      </c>
      <c r="K1170" t="e">
        <f t="shared" si="8"/>
        <v>#DIV/0!</v>
      </c>
      <c r="M1170" t="s">
        <v>916</v>
      </c>
      <c r="O1170" t="s">
        <v>38</v>
      </c>
      <c r="P1170" t="s">
        <v>1151</v>
      </c>
      <c r="R1170" t="s">
        <v>922</v>
      </c>
      <c r="U1170" t="s">
        <v>924</v>
      </c>
      <c r="V1170">
        <v>1</v>
      </c>
      <c r="AB1170" t="s">
        <v>1008</v>
      </c>
    </row>
    <row r="1171" spans="1:28" hidden="1" x14ac:dyDescent="0.2">
      <c r="A1171" s="3">
        <v>44123</v>
      </c>
      <c r="D1171" s="6">
        <v>0.86182870370370368</v>
      </c>
      <c r="E1171">
        <v>-76.688641669999996</v>
      </c>
      <c r="F1171">
        <v>3.4109783330000001</v>
      </c>
      <c r="G1171">
        <v>3298</v>
      </c>
      <c r="H1171" t="e">
        <f t="shared" si="6"/>
        <v>#DIV/0!</v>
      </c>
      <c r="I1171">
        <v>2020</v>
      </c>
      <c r="J1171" t="e">
        <f t="shared" si="7"/>
        <v>#DIV/0!</v>
      </c>
      <c r="K1171" t="e">
        <f t="shared" si="8"/>
        <v>#DIV/0!</v>
      </c>
      <c r="M1171" t="s">
        <v>916</v>
      </c>
      <c r="O1171" t="s">
        <v>40</v>
      </c>
      <c r="P1171" t="s">
        <v>1151</v>
      </c>
      <c r="R1171" t="s">
        <v>919</v>
      </c>
      <c r="U1171" t="s">
        <v>36</v>
      </c>
      <c r="V1171">
        <v>0</v>
      </c>
      <c r="AB1171" t="s">
        <v>1008</v>
      </c>
    </row>
    <row r="1172" spans="1:28" hidden="1" x14ac:dyDescent="0.2">
      <c r="A1172" s="3">
        <v>44120</v>
      </c>
      <c r="D1172" s="6">
        <v>0.89275462962962959</v>
      </c>
      <c r="E1172">
        <v>-76.679498330000001</v>
      </c>
      <c r="F1172">
        <v>3.400756667</v>
      </c>
      <c r="G1172">
        <v>3049</v>
      </c>
      <c r="H1172" t="e">
        <f t="shared" si="6"/>
        <v>#DIV/0!</v>
      </c>
      <c r="I1172">
        <v>2020</v>
      </c>
      <c r="J1172" t="e">
        <f t="shared" si="7"/>
        <v>#DIV/0!</v>
      </c>
      <c r="K1172" t="e">
        <f t="shared" si="8"/>
        <v>#DIV/0!</v>
      </c>
      <c r="M1172" t="s">
        <v>916</v>
      </c>
      <c r="O1172" t="s">
        <v>38</v>
      </c>
      <c r="P1172" t="s">
        <v>913</v>
      </c>
      <c r="R1172" t="s">
        <v>921</v>
      </c>
      <c r="S1172" t="s">
        <v>992</v>
      </c>
      <c r="U1172" t="s">
        <v>915</v>
      </c>
      <c r="V1172">
        <v>1</v>
      </c>
      <c r="AB1172" t="s">
        <v>1008</v>
      </c>
    </row>
    <row r="1173" spans="1:28" hidden="1" x14ac:dyDescent="0.2">
      <c r="A1173" s="3">
        <v>44120</v>
      </c>
      <c r="D1173" s="6">
        <v>0.87878472222222226</v>
      </c>
      <c r="E1173">
        <v>-76.679863330000003</v>
      </c>
      <c r="F1173">
        <v>3.4007466669999999</v>
      </c>
      <c r="G1173">
        <v>3066</v>
      </c>
      <c r="H1173" t="e">
        <f t="shared" si="6"/>
        <v>#DIV/0!</v>
      </c>
      <c r="I1173">
        <v>2020</v>
      </c>
      <c r="J1173" t="e">
        <f t="shared" si="7"/>
        <v>#DIV/0!</v>
      </c>
      <c r="K1173" t="e">
        <f t="shared" si="8"/>
        <v>#DIV/0!</v>
      </c>
      <c r="M1173" t="s">
        <v>916</v>
      </c>
      <c r="O1173" t="s">
        <v>38</v>
      </c>
      <c r="P1173" t="s">
        <v>913</v>
      </c>
      <c r="R1173" t="s">
        <v>921</v>
      </c>
      <c r="S1173" t="s">
        <v>389</v>
      </c>
      <c r="U1173" t="s">
        <v>925</v>
      </c>
      <c r="V1173">
        <v>1</v>
      </c>
      <c r="AB1173" t="s">
        <v>1008</v>
      </c>
    </row>
    <row r="1174" spans="1:28" hidden="1" x14ac:dyDescent="0.2">
      <c r="A1174" s="3">
        <v>44120</v>
      </c>
      <c r="D1174" s="6">
        <v>0.86704861111111109</v>
      </c>
      <c r="E1174">
        <v>-76.679868330000005</v>
      </c>
      <c r="F1174">
        <v>3.4007416670000001</v>
      </c>
      <c r="G1174">
        <v>3069</v>
      </c>
      <c r="H1174" t="e">
        <f t="shared" si="6"/>
        <v>#DIV/0!</v>
      </c>
      <c r="I1174">
        <v>2020</v>
      </c>
      <c r="J1174" t="e">
        <f t="shared" si="7"/>
        <v>#DIV/0!</v>
      </c>
      <c r="K1174" t="e">
        <f t="shared" si="8"/>
        <v>#DIV/0!</v>
      </c>
      <c r="M1174" t="s">
        <v>916</v>
      </c>
      <c r="O1174" t="s">
        <v>38</v>
      </c>
      <c r="P1174" t="s">
        <v>913</v>
      </c>
      <c r="R1174" t="s">
        <v>921</v>
      </c>
      <c r="U1174" t="s">
        <v>925</v>
      </c>
      <c r="V1174">
        <v>1</v>
      </c>
      <c r="AB1174" t="s">
        <v>1008</v>
      </c>
    </row>
    <row r="1175" spans="1:28" hidden="1" x14ac:dyDescent="0.2">
      <c r="A1175" s="3">
        <v>44120</v>
      </c>
      <c r="D1175" s="6">
        <v>0.86178240740740741</v>
      </c>
      <c r="E1175">
        <v>-76.679923329999994</v>
      </c>
      <c r="F1175">
        <v>3.4008799999999999</v>
      </c>
      <c r="G1175">
        <v>3060</v>
      </c>
      <c r="H1175" t="e">
        <f t="shared" si="6"/>
        <v>#DIV/0!</v>
      </c>
      <c r="I1175">
        <v>2020</v>
      </c>
      <c r="J1175" t="e">
        <f t="shared" si="7"/>
        <v>#DIV/0!</v>
      </c>
      <c r="K1175" t="e">
        <f t="shared" si="8"/>
        <v>#DIV/0!</v>
      </c>
      <c r="M1175" t="s">
        <v>916</v>
      </c>
      <c r="O1175" t="s">
        <v>38</v>
      </c>
      <c r="P1175" t="s">
        <v>913</v>
      </c>
      <c r="R1175" t="s">
        <v>921</v>
      </c>
      <c r="S1175" t="s">
        <v>992</v>
      </c>
      <c r="U1175" t="s">
        <v>915</v>
      </c>
      <c r="V1175">
        <v>1</v>
      </c>
      <c r="AB1175" t="s">
        <v>1008</v>
      </c>
    </row>
    <row r="1176" spans="1:28" hidden="1" x14ac:dyDescent="0.2">
      <c r="A1176" s="3">
        <v>44120</v>
      </c>
      <c r="D1176" s="6">
        <v>0.90886574074074078</v>
      </c>
      <c r="E1176">
        <v>-76.679460000000006</v>
      </c>
      <c r="F1176">
        <v>3.4007483330000001</v>
      </c>
      <c r="G1176">
        <v>3049</v>
      </c>
      <c r="H1176" t="e">
        <f t="shared" si="6"/>
        <v>#DIV/0!</v>
      </c>
      <c r="I1176">
        <v>2020</v>
      </c>
      <c r="J1176" t="e">
        <f t="shared" si="7"/>
        <v>#DIV/0!</v>
      </c>
      <c r="K1176" t="e">
        <f t="shared" si="8"/>
        <v>#DIV/0!</v>
      </c>
      <c r="M1176" t="s">
        <v>916</v>
      </c>
      <c r="O1176" t="s">
        <v>38</v>
      </c>
      <c r="P1176" t="s">
        <v>913</v>
      </c>
      <c r="R1176" t="s">
        <v>921</v>
      </c>
      <c r="U1176" t="s">
        <v>940</v>
      </c>
      <c r="V1176">
        <v>1</v>
      </c>
      <c r="AB1176" t="s">
        <v>1008</v>
      </c>
    </row>
    <row r="1177" spans="1:28" hidden="1" x14ac:dyDescent="0.2">
      <c r="A1177" s="3">
        <v>44120</v>
      </c>
      <c r="D1177" s="6">
        <v>0.98162037037037042</v>
      </c>
      <c r="E1177">
        <v>-76.67800167</v>
      </c>
      <c r="F1177">
        <v>3.4023983329999998</v>
      </c>
      <c r="H1177" t="e">
        <f t="shared" si="6"/>
        <v>#DIV/0!</v>
      </c>
      <c r="I1177">
        <v>2020</v>
      </c>
      <c r="J1177" t="e">
        <f t="shared" si="7"/>
        <v>#DIV/0!</v>
      </c>
      <c r="K1177" t="e">
        <f t="shared" si="8"/>
        <v>#DIV/0!</v>
      </c>
      <c r="M1177" t="s">
        <v>916</v>
      </c>
      <c r="O1177" t="s">
        <v>32</v>
      </c>
      <c r="P1177" t="s">
        <v>1146</v>
      </c>
      <c r="U1177" t="s">
        <v>36</v>
      </c>
      <c r="V1177">
        <v>0</v>
      </c>
    </row>
    <row r="1178" spans="1:28" hidden="1" x14ac:dyDescent="0.2">
      <c r="A1178" s="3">
        <v>44130</v>
      </c>
      <c r="D1178" s="6">
        <v>0.85636574074074079</v>
      </c>
      <c r="E1178">
        <v>-76.646623329999997</v>
      </c>
      <c r="F1178">
        <v>3.3497266670000001</v>
      </c>
      <c r="H1178" t="e">
        <f t="shared" si="6"/>
        <v>#DIV/0!</v>
      </c>
      <c r="I1178">
        <v>2020</v>
      </c>
      <c r="J1178" t="e">
        <f t="shared" si="7"/>
        <v>#DIV/0!</v>
      </c>
      <c r="K1178" t="e">
        <f t="shared" si="8"/>
        <v>#DIV/0!</v>
      </c>
      <c r="M1178" t="s">
        <v>624</v>
      </c>
      <c r="O1178" t="s">
        <v>40</v>
      </c>
      <c r="P1178" t="s">
        <v>643</v>
      </c>
      <c r="U1178" t="s">
        <v>36</v>
      </c>
      <c r="V1178">
        <v>0</v>
      </c>
    </row>
    <row r="1179" spans="1:28" hidden="1" x14ac:dyDescent="0.2">
      <c r="A1179" s="3">
        <v>44121</v>
      </c>
      <c r="D1179" s="6">
        <v>0.8963888888888889</v>
      </c>
      <c r="E1179">
        <v>-76.688503330000003</v>
      </c>
      <c r="F1179">
        <v>3.4080533329999998</v>
      </c>
      <c r="H1179" t="e">
        <f t="shared" si="6"/>
        <v>#DIV/0!</v>
      </c>
      <c r="I1179">
        <v>2020</v>
      </c>
      <c r="J1179" t="e">
        <f t="shared" si="7"/>
        <v>#DIV/0!</v>
      </c>
      <c r="K1179" t="e">
        <f t="shared" si="8"/>
        <v>#DIV/0!</v>
      </c>
      <c r="M1179" t="s">
        <v>916</v>
      </c>
      <c r="O1179" t="s">
        <v>32</v>
      </c>
      <c r="P1179" t="s">
        <v>1152</v>
      </c>
      <c r="U1179" t="s">
        <v>36</v>
      </c>
      <c r="V1179">
        <v>0</v>
      </c>
    </row>
    <row r="1180" spans="1:28" hidden="1" x14ac:dyDescent="0.2">
      <c r="A1180" s="4">
        <v>44489</v>
      </c>
      <c r="D1180" s="5">
        <v>0.90962962962962968</v>
      </c>
      <c r="E1180">
        <v>-76.652136670000004</v>
      </c>
      <c r="F1180">
        <v>3.353443333</v>
      </c>
      <c r="G1180">
        <v>2506</v>
      </c>
      <c r="H1180" t="e">
        <f>AVERAGE(Z1180,AE1180)</f>
        <v>#DIV/0!</v>
      </c>
      <c r="I1180">
        <v>2021</v>
      </c>
      <c r="J1180" t="e">
        <f>AVERAGE(AD1180,AI1180)</f>
        <v>#DIV/0!</v>
      </c>
      <c r="K1180" t="e">
        <f>AVERAGE(AA1180,AF1180)</f>
        <v>#DIV/0!</v>
      </c>
      <c r="M1180" t="s">
        <v>624</v>
      </c>
      <c r="O1180" t="s">
        <v>47</v>
      </c>
      <c r="P1180" t="s">
        <v>690</v>
      </c>
      <c r="R1180" t="s">
        <v>919</v>
      </c>
      <c r="S1180" t="s">
        <v>945</v>
      </c>
      <c r="T1180" t="s">
        <v>54</v>
      </c>
      <c r="U1180" t="s">
        <v>238</v>
      </c>
      <c r="V1180">
        <v>1</v>
      </c>
      <c r="AB1180" t="s">
        <v>1008</v>
      </c>
    </row>
    <row r="1181" spans="1:28" hidden="1" x14ac:dyDescent="0.2">
      <c r="A1181" s="4">
        <v>44489</v>
      </c>
      <c r="D1181" s="5">
        <v>0.90249999999999997</v>
      </c>
      <c r="E1181">
        <v>-76.652548330000002</v>
      </c>
      <c r="F1181">
        <v>3.3534833329999998</v>
      </c>
      <c r="G1181">
        <v>2514</v>
      </c>
      <c r="H1181" t="e">
        <f t="shared" ref="H1181:H1244" si="9">AVERAGE(Z1181,AE1181)</f>
        <v>#DIV/0!</v>
      </c>
      <c r="I1181">
        <v>2021</v>
      </c>
      <c r="J1181" t="e">
        <f t="shared" ref="J1181:J1244" si="10">AVERAGE(AD1181,AI1181)</f>
        <v>#DIV/0!</v>
      </c>
      <c r="K1181" t="e">
        <f t="shared" ref="K1181:K1244" si="11">AVERAGE(AA1181,AF1181)</f>
        <v>#DIV/0!</v>
      </c>
      <c r="M1181" t="s">
        <v>624</v>
      </c>
      <c r="O1181" t="s">
        <v>47</v>
      </c>
      <c r="P1181" t="s">
        <v>690</v>
      </c>
      <c r="R1181" t="s">
        <v>919</v>
      </c>
      <c r="S1181" t="s">
        <v>945</v>
      </c>
      <c r="T1181" t="s">
        <v>54</v>
      </c>
      <c r="U1181" t="s">
        <v>238</v>
      </c>
      <c r="V1181">
        <v>1</v>
      </c>
      <c r="AB1181" t="s">
        <v>1008</v>
      </c>
    </row>
    <row r="1182" spans="1:28" hidden="1" x14ac:dyDescent="0.2">
      <c r="A1182" s="4">
        <v>44489</v>
      </c>
      <c r="D1182" s="5">
        <v>0.89645833333333336</v>
      </c>
      <c r="E1182">
        <v>-76.652623329999997</v>
      </c>
      <c r="F1182">
        <v>3.3535383329999999</v>
      </c>
      <c r="G1182">
        <v>2510</v>
      </c>
      <c r="H1182" t="e">
        <f t="shared" si="9"/>
        <v>#DIV/0!</v>
      </c>
      <c r="I1182">
        <v>2021</v>
      </c>
      <c r="J1182" t="e">
        <f t="shared" si="10"/>
        <v>#DIV/0!</v>
      </c>
      <c r="K1182" t="e">
        <f t="shared" si="11"/>
        <v>#DIV/0!</v>
      </c>
      <c r="M1182" t="s">
        <v>624</v>
      </c>
      <c r="O1182" t="s">
        <v>47</v>
      </c>
      <c r="P1182" t="s">
        <v>690</v>
      </c>
      <c r="R1182" t="s">
        <v>919</v>
      </c>
      <c r="S1182" t="s">
        <v>945</v>
      </c>
      <c r="T1182" t="s">
        <v>54</v>
      </c>
      <c r="U1182" t="s">
        <v>929</v>
      </c>
      <c r="V1182">
        <v>1</v>
      </c>
      <c r="W1182" t="s">
        <v>1136</v>
      </c>
      <c r="AB1182" t="s">
        <v>1008</v>
      </c>
    </row>
    <row r="1183" spans="1:28" hidden="1" x14ac:dyDescent="0.2">
      <c r="A1183" s="4">
        <v>44489</v>
      </c>
      <c r="D1183" s="5">
        <v>0.89645833333333336</v>
      </c>
      <c r="E1183">
        <v>-76.652623329999997</v>
      </c>
      <c r="F1183">
        <v>3.3535383329999999</v>
      </c>
      <c r="G1183">
        <v>2510</v>
      </c>
      <c r="H1183" t="e">
        <f t="shared" si="9"/>
        <v>#DIV/0!</v>
      </c>
      <c r="I1183">
        <v>2021</v>
      </c>
      <c r="J1183" t="e">
        <f t="shared" si="10"/>
        <v>#DIV/0!</v>
      </c>
      <c r="K1183" t="e">
        <f t="shared" si="11"/>
        <v>#DIV/0!</v>
      </c>
      <c r="M1183" t="s">
        <v>624</v>
      </c>
      <c r="O1183" t="s">
        <v>47</v>
      </c>
      <c r="P1183" t="s">
        <v>690</v>
      </c>
      <c r="R1183" t="s">
        <v>919</v>
      </c>
      <c r="S1183" t="s">
        <v>945</v>
      </c>
      <c r="T1183" t="s">
        <v>54</v>
      </c>
      <c r="U1183" t="s">
        <v>929</v>
      </c>
      <c r="V1183">
        <v>1</v>
      </c>
      <c r="W1183" t="s">
        <v>1136</v>
      </c>
      <c r="AB1183" t="s">
        <v>1008</v>
      </c>
    </row>
    <row r="1184" spans="1:28" hidden="1" x14ac:dyDescent="0.2">
      <c r="A1184" s="4">
        <v>44489</v>
      </c>
      <c r="D1184" s="5">
        <v>0.89645833333333336</v>
      </c>
      <c r="E1184">
        <v>-76.652623329999997</v>
      </c>
      <c r="F1184">
        <v>3.3535383329999999</v>
      </c>
      <c r="G1184">
        <v>2510</v>
      </c>
      <c r="H1184" t="e">
        <f t="shared" si="9"/>
        <v>#DIV/0!</v>
      </c>
      <c r="I1184">
        <v>2021</v>
      </c>
      <c r="J1184" t="e">
        <f t="shared" si="10"/>
        <v>#DIV/0!</v>
      </c>
      <c r="K1184" t="e">
        <f t="shared" si="11"/>
        <v>#DIV/0!</v>
      </c>
      <c r="M1184" t="s">
        <v>624</v>
      </c>
      <c r="O1184" t="s">
        <v>47</v>
      </c>
      <c r="P1184" t="s">
        <v>690</v>
      </c>
      <c r="R1184" t="s">
        <v>919</v>
      </c>
      <c r="S1184" t="s">
        <v>945</v>
      </c>
      <c r="T1184" t="s">
        <v>54</v>
      </c>
      <c r="U1184" t="s">
        <v>929</v>
      </c>
      <c r="V1184">
        <v>1</v>
      </c>
      <c r="W1184" t="s">
        <v>1136</v>
      </c>
      <c r="AB1184" t="s">
        <v>1008</v>
      </c>
    </row>
    <row r="1185" spans="1:28" hidden="1" x14ac:dyDescent="0.2">
      <c r="A1185" s="4">
        <v>44489</v>
      </c>
      <c r="D1185" s="5">
        <v>0.89645833333333336</v>
      </c>
      <c r="E1185">
        <v>-76.652623329999997</v>
      </c>
      <c r="F1185">
        <v>3.3535383329999999</v>
      </c>
      <c r="G1185">
        <v>2510</v>
      </c>
      <c r="H1185" t="e">
        <f t="shared" si="9"/>
        <v>#DIV/0!</v>
      </c>
      <c r="I1185">
        <v>2021</v>
      </c>
      <c r="J1185" t="e">
        <f t="shared" si="10"/>
        <v>#DIV/0!</v>
      </c>
      <c r="K1185" t="e">
        <f t="shared" si="11"/>
        <v>#DIV/0!</v>
      </c>
      <c r="M1185" t="s">
        <v>624</v>
      </c>
      <c r="O1185" t="s">
        <v>47</v>
      </c>
      <c r="P1185" t="s">
        <v>690</v>
      </c>
      <c r="R1185" t="s">
        <v>919</v>
      </c>
      <c r="S1185" t="s">
        <v>945</v>
      </c>
      <c r="T1185" t="s">
        <v>54</v>
      </c>
      <c r="U1185" t="s">
        <v>929</v>
      </c>
      <c r="V1185">
        <v>1</v>
      </c>
      <c r="W1185" t="s">
        <v>1137</v>
      </c>
      <c r="AB1185" t="s">
        <v>1008</v>
      </c>
    </row>
    <row r="1186" spans="1:28" hidden="1" x14ac:dyDescent="0.2">
      <c r="A1186" s="4">
        <v>44489</v>
      </c>
      <c r="D1186" s="5">
        <v>0.90729166666666672</v>
      </c>
      <c r="E1186">
        <v>-76.652203330000006</v>
      </c>
      <c r="F1186">
        <v>3.3533783330000002</v>
      </c>
      <c r="G1186">
        <v>2501</v>
      </c>
      <c r="H1186" t="e">
        <f t="shared" si="9"/>
        <v>#DIV/0!</v>
      </c>
      <c r="I1186">
        <v>2021</v>
      </c>
      <c r="J1186" t="e">
        <f t="shared" si="10"/>
        <v>#DIV/0!</v>
      </c>
      <c r="K1186" t="e">
        <f t="shared" si="11"/>
        <v>#DIV/0!</v>
      </c>
      <c r="M1186" t="s">
        <v>624</v>
      </c>
      <c r="O1186" t="s">
        <v>47</v>
      </c>
      <c r="P1186" t="s">
        <v>690</v>
      </c>
      <c r="R1186" t="s">
        <v>919</v>
      </c>
      <c r="S1186" t="s">
        <v>945</v>
      </c>
      <c r="T1186" t="s">
        <v>54</v>
      </c>
      <c r="U1186" t="s">
        <v>238</v>
      </c>
      <c r="V1186">
        <v>1</v>
      </c>
      <c r="AB1186" t="s">
        <v>1008</v>
      </c>
    </row>
    <row r="1187" spans="1:28" hidden="1" x14ac:dyDescent="0.2">
      <c r="A1187" s="4">
        <v>44489</v>
      </c>
      <c r="D1187" s="5">
        <v>0.85945601851851849</v>
      </c>
      <c r="E1187">
        <v>-76.655315000000002</v>
      </c>
      <c r="F1187">
        <v>3.3540833330000002</v>
      </c>
      <c r="G1187">
        <v>2558</v>
      </c>
      <c r="H1187" t="e">
        <f t="shared" si="9"/>
        <v>#DIV/0!</v>
      </c>
      <c r="I1187">
        <v>2021</v>
      </c>
      <c r="J1187" t="e">
        <f t="shared" si="10"/>
        <v>#DIV/0!</v>
      </c>
      <c r="K1187" t="e">
        <f t="shared" si="11"/>
        <v>#DIV/0!</v>
      </c>
      <c r="M1187" t="s">
        <v>624</v>
      </c>
      <c r="O1187" t="s">
        <v>32</v>
      </c>
      <c r="P1187" t="s">
        <v>720</v>
      </c>
      <c r="R1187" t="s">
        <v>919</v>
      </c>
      <c r="S1187" t="s">
        <v>993</v>
      </c>
      <c r="T1187" t="s">
        <v>54</v>
      </c>
      <c r="U1187" t="s">
        <v>723</v>
      </c>
      <c r="V1187">
        <v>1</v>
      </c>
      <c r="W1187" t="s">
        <v>65</v>
      </c>
      <c r="AB1187" t="s">
        <v>1008</v>
      </c>
    </row>
    <row r="1188" spans="1:28" hidden="1" x14ac:dyDescent="0.2">
      <c r="A1188" s="4">
        <v>44489</v>
      </c>
      <c r="D1188" s="5">
        <v>0.85945601851851849</v>
      </c>
      <c r="E1188">
        <v>-76.655315000000002</v>
      </c>
      <c r="F1188">
        <v>3.3540833330000002</v>
      </c>
      <c r="G1188">
        <v>2558</v>
      </c>
      <c r="H1188" t="e">
        <f t="shared" si="9"/>
        <v>#DIV/0!</v>
      </c>
      <c r="I1188">
        <v>2021</v>
      </c>
      <c r="J1188" t="e">
        <f t="shared" si="10"/>
        <v>#DIV/0!</v>
      </c>
      <c r="K1188" t="e">
        <f t="shared" si="11"/>
        <v>#DIV/0!</v>
      </c>
      <c r="M1188" t="s">
        <v>624</v>
      </c>
      <c r="O1188" t="s">
        <v>32</v>
      </c>
      <c r="P1188" t="s">
        <v>720</v>
      </c>
      <c r="R1188" t="s">
        <v>919</v>
      </c>
      <c r="S1188" t="s">
        <v>994</v>
      </c>
      <c r="T1188" t="s">
        <v>54</v>
      </c>
      <c r="U1188" t="s">
        <v>925</v>
      </c>
      <c r="V1188">
        <v>1</v>
      </c>
      <c r="AB1188" t="s">
        <v>1008</v>
      </c>
    </row>
    <row r="1189" spans="1:28" hidden="1" x14ac:dyDescent="0.2">
      <c r="A1189" s="4">
        <v>44489</v>
      </c>
      <c r="D1189" s="5">
        <v>0.83137731481481481</v>
      </c>
      <c r="E1189">
        <v>-76.655685000000005</v>
      </c>
      <c r="F1189">
        <v>3.354263333</v>
      </c>
      <c r="G1189">
        <v>2562</v>
      </c>
      <c r="H1189" t="e">
        <f t="shared" si="9"/>
        <v>#DIV/0!</v>
      </c>
      <c r="I1189">
        <v>2021</v>
      </c>
      <c r="J1189" t="e">
        <f t="shared" si="10"/>
        <v>#DIV/0!</v>
      </c>
      <c r="K1189" t="e">
        <f t="shared" si="11"/>
        <v>#DIV/0!</v>
      </c>
      <c r="M1189" t="s">
        <v>624</v>
      </c>
      <c r="O1189" t="s">
        <v>32</v>
      </c>
      <c r="P1189" t="s">
        <v>720</v>
      </c>
      <c r="R1189" t="s">
        <v>919</v>
      </c>
      <c r="S1189" t="s">
        <v>994</v>
      </c>
      <c r="T1189" t="s">
        <v>54</v>
      </c>
      <c r="U1189" t="s">
        <v>238</v>
      </c>
      <c r="V1189">
        <v>1</v>
      </c>
      <c r="AB1189" t="s">
        <v>1008</v>
      </c>
    </row>
    <row r="1190" spans="1:28" hidden="1" x14ac:dyDescent="0.2">
      <c r="A1190" s="4">
        <v>44489</v>
      </c>
      <c r="D1190" s="5">
        <v>0.84846064814814814</v>
      </c>
      <c r="E1190">
        <v>-76.655421669999996</v>
      </c>
      <c r="F1190">
        <v>3.3541016670000001</v>
      </c>
      <c r="G1190">
        <v>2559</v>
      </c>
      <c r="H1190" t="e">
        <f t="shared" si="9"/>
        <v>#DIV/0!</v>
      </c>
      <c r="I1190">
        <v>2021</v>
      </c>
      <c r="J1190" t="e">
        <f t="shared" si="10"/>
        <v>#DIV/0!</v>
      </c>
      <c r="K1190" t="e">
        <f t="shared" si="11"/>
        <v>#DIV/0!</v>
      </c>
      <c r="M1190" t="s">
        <v>624</v>
      </c>
      <c r="O1190" t="s">
        <v>32</v>
      </c>
      <c r="P1190" t="s">
        <v>720</v>
      </c>
      <c r="R1190" t="s">
        <v>919</v>
      </c>
      <c r="S1190" t="s">
        <v>945</v>
      </c>
      <c r="T1190" t="s">
        <v>54</v>
      </c>
      <c r="U1190" t="s">
        <v>723</v>
      </c>
      <c r="V1190">
        <v>1</v>
      </c>
      <c r="AB1190" t="s">
        <v>1008</v>
      </c>
    </row>
    <row r="1191" spans="1:28" hidden="1" x14ac:dyDescent="0.2">
      <c r="A1191" s="4">
        <v>44489</v>
      </c>
      <c r="D1191" s="5">
        <v>0.84024305555555556</v>
      </c>
      <c r="E1191">
        <v>-76.655569999999997</v>
      </c>
      <c r="F1191">
        <v>3.3541716670000001</v>
      </c>
      <c r="G1191">
        <v>2569</v>
      </c>
      <c r="H1191" t="e">
        <f t="shared" si="9"/>
        <v>#DIV/0!</v>
      </c>
      <c r="I1191">
        <v>2021</v>
      </c>
      <c r="J1191" t="e">
        <f t="shared" si="10"/>
        <v>#DIV/0!</v>
      </c>
      <c r="K1191" t="e">
        <f t="shared" si="11"/>
        <v>#DIV/0!</v>
      </c>
      <c r="M1191" t="s">
        <v>624</v>
      </c>
      <c r="O1191" t="s">
        <v>32</v>
      </c>
      <c r="P1191" t="s">
        <v>720</v>
      </c>
      <c r="R1191" t="s">
        <v>919</v>
      </c>
      <c r="S1191" t="s">
        <v>993</v>
      </c>
      <c r="T1191" t="s">
        <v>54</v>
      </c>
      <c r="U1191" t="s">
        <v>238</v>
      </c>
      <c r="V1191">
        <v>1</v>
      </c>
      <c r="AB1191" t="s">
        <v>1008</v>
      </c>
    </row>
    <row r="1192" spans="1:28" hidden="1" x14ac:dyDescent="0.2">
      <c r="A1192" s="4">
        <v>44489</v>
      </c>
      <c r="D1192" s="5">
        <v>0.83572916666666663</v>
      </c>
      <c r="E1192">
        <v>-76.655661670000001</v>
      </c>
      <c r="F1192">
        <v>3.3541983329999998</v>
      </c>
      <c r="G1192">
        <v>2565</v>
      </c>
      <c r="H1192" t="e">
        <f t="shared" si="9"/>
        <v>#DIV/0!</v>
      </c>
      <c r="I1192">
        <v>2021</v>
      </c>
      <c r="J1192" t="e">
        <f t="shared" si="10"/>
        <v>#DIV/0!</v>
      </c>
      <c r="K1192" t="e">
        <f t="shared" si="11"/>
        <v>#DIV/0!</v>
      </c>
      <c r="M1192" t="s">
        <v>624</v>
      </c>
      <c r="O1192" t="s">
        <v>32</v>
      </c>
      <c r="P1192" t="s">
        <v>720</v>
      </c>
      <c r="R1192" t="s">
        <v>919</v>
      </c>
      <c r="S1192" t="s">
        <v>994</v>
      </c>
      <c r="T1192" t="s">
        <v>54</v>
      </c>
      <c r="U1192" t="s">
        <v>723</v>
      </c>
      <c r="V1192">
        <v>1</v>
      </c>
      <c r="AB1192" t="s">
        <v>1008</v>
      </c>
    </row>
    <row r="1193" spans="1:28" hidden="1" x14ac:dyDescent="0.2">
      <c r="A1193" s="4">
        <v>44489</v>
      </c>
      <c r="D1193" s="5">
        <v>0.83572916666666663</v>
      </c>
      <c r="E1193">
        <v>-76.655661670000001</v>
      </c>
      <c r="F1193">
        <v>3.3541983329999998</v>
      </c>
      <c r="G1193">
        <v>2565</v>
      </c>
      <c r="H1193" t="e">
        <f t="shared" si="9"/>
        <v>#DIV/0!</v>
      </c>
      <c r="I1193">
        <v>2021</v>
      </c>
      <c r="J1193" t="e">
        <f t="shared" si="10"/>
        <v>#DIV/0!</v>
      </c>
      <c r="K1193" t="e">
        <f t="shared" si="11"/>
        <v>#DIV/0!</v>
      </c>
      <c r="M1193" t="s">
        <v>624</v>
      </c>
      <c r="O1193" t="s">
        <v>32</v>
      </c>
      <c r="P1193" t="s">
        <v>720</v>
      </c>
      <c r="R1193" t="s">
        <v>919</v>
      </c>
      <c r="S1193" t="s">
        <v>993</v>
      </c>
      <c r="T1193" t="s">
        <v>54</v>
      </c>
      <c r="U1193" t="s">
        <v>723</v>
      </c>
      <c r="V1193">
        <v>1</v>
      </c>
      <c r="AB1193" t="s">
        <v>1008</v>
      </c>
    </row>
    <row r="1194" spans="1:28" hidden="1" x14ac:dyDescent="0.2">
      <c r="A1194" s="4">
        <v>44489</v>
      </c>
      <c r="D1194" s="5">
        <v>0.86572916666666666</v>
      </c>
      <c r="E1194">
        <v>-76.655243330000005</v>
      </c>
      <c r="F1194">
        <v>3.3539983329999998</v>
      </c>
      <c r="G1194">
        <v>2558</v>
      </c>
      <c r="H1194" t="e">
        <f t="shared" si="9"/>
        <v>#DIV/0!</v>
      </c>
      <c r="I1194">
        <v>2021</v>
      </c>
      <c r="J1194" t="e">
        <f t="shared" si="10"/>
        <v>#DIV/0!</v>
      </c>
      <c r="K1194" t="e">
        <f t="shared" si="11"/>
        <v>#DIV/0!</v>
      </c>
      <c r="M1194" t="s">
        <v>624</v>
      </c>
      <c r="O1194" t="s">
        <v>32</v>
      </c>
      <c r="P1194" t="s">
        <v>720</v>
      </c>
      <c r="R1194" t="s">
        <v>919</v>
      </c>
      <c r="S1194" t="s">
        <v>945</v>
      </c>
      <c r="T1194" t="s">
        <v>54</v>
      </c>
      <c r="U1194" t="s">
        <v>925</v>
      </c>
      <c r="V1194">
        <v>1</v>
      </c>
      <c r="AB1194" t="s">
        <v>1008</v>
      </c>
    </row>
    <row r="1195" spans="1:28" hidden="1" x14ac:dyDescent="0.2">
      <c r="A1195" s="4">
        <v>44489</v>
      </c>
      <c r="D1195" s="5">
        <v>0.86572916666666666</v>
      </c>
      <c r="E1195">
        <v>-76.655243330000005</v>
      </c>
      <c r="F1195">
        <v>3.3539983329999998</v>
      </c>
      <c r="G1195">
        <v>2558</v>
      </c>
      <c r="H1195" t="e">
        <f t="shared" si="9"/>
        <v>#DIV/0!</v>
      </c>
      <c r="I1195">
        <v>2021</v>
      </c>
      <c r="J1195" t="e">
        <f t="shared" si="10"/>
        <v>#DIV/0!</v>
      </c>
      <c r="K1195" t="e">
        <f t="shared" si="11"/>
        <v>#DIV/0!</v>
      </c>
      <c r="M1195" t="s">
        <v>624</v>
      </c>
      <c r="O1195" t="s">
        <v>32</v>
      </c>
      <c r="P1195" t="s">
        <v>720</v>
      </c>
      <c r="R1195" t="s">
        <v>919</v>
      </c>
      <c r="S1195" t="s">
        <v>945</v>
      </c>
      <c r="T1195" t="s">
        <v>54</v>
      </c>
      <c r="U1195" t="s">
        <v>929</v>
      </c>
      <c r="V1195">
        <v>1</v>
      </c>
      <c r="W1195" t="s">
        <v>1136</v>
      </c>
      <c r="AB1195" t="s">
        <v>1008</v>
      </c>
    </row>
    <row r="1196" spans="1:28" hidden="1" x14ac:dyDescent="0.2">
      <c r="A1196" s="4">
        <v>44489</v>
      </c>
      <c r="D1196" s="5">
        <v>0.84261574074074075</v>
      </c>
      <c r="E1196">
        <v>-76.655556669999996</v>
      </c>
      <c r="F1196">
        <v>3.3541099999999999</v>
      </c>
      <c r="G1196">
        <v>2564</v>
      </c>
      <c r="H1196" t="e">
        <f t="shared" si="9"/>
        <v>#DIV/0!</v>
      </c>
      <c r="I1196">
        <v>2021</v>
      </c>
      <c r="J1196" t="e">
        <f t="shared" si="10"/>
        <v>#DIV/0!</v>
      </c>
      <c r="K1196" t="e">
        <f t="shared" si="11"/>
        <v>#DIV/0!</v>
      </c>
      <c r="M1196" t="s">
        <v>624</v>
      </c>
      <c r="O1196" t="s">
        <v>32</v>
      </c>
      <c r="P1196" t="s">
        <v>720</v>
      </c>
      <c r="R1196" t="s">
        <v>919</v>
      </c>
      <c r="S1196" t="s">
        <v>945</v>
      </c>
      <c r="T1196" t="s">
        <v>54</v>
      </c>
      <c r="U1196" t="s">
        <v>723</v>
      </c>
      <c r="V1196">
        <v>1</v>
      </c>
      <c r="AB1196" t="s">
        <v>1008</v>
      </c>
    </row>
    <row r="1197" spans="1:28" hidden="1" x14ac:dyDescent="0.2">
      <c r="A1197" s="4">
        <v>44489</v>
      </c>
      <c r="D1197" s="5">
        <v>0.85263888888888884</v>
      </c>
      <c r="E1197">
        <v>-76.655416669999994</v>
      </c>
      <c r="F1197">
        <v>3.354085</v>
      </c>
      <c r="G1197">
        <v>2562</v>
      </c>
      <c r="H1197" t="e">
        <f t="shared" si="9"/>
        <v>#DIV/0!</v>
      </c>
      <c r="I1197">
        <v>2021</v>
      </c>
      <c r="J1197" t="e">
        <f t="shared" si="10"/>
        <v>#DIV/0!</v>
      </c>
      <c r="K1197" t="e">
        <f t="shared" si="11"/>
        <v>#DIV/0!</v>
      </c>
      <c r="M1197" t="s">
        <v>624</v>
      </c>
      <c r="O1197" t="s">
        <v>32</v>
      </c>
      <c r="P1197" t="s">
        <v>720</v>
      </c>
      <c r="R1197" t="s">
        <v>919</v>
      </c>
      <c r="S1197" t="s">
        <v>993</v>
      </c>
      <c r="T1197" t="s">
        <v>91</v>
      </c>
      <c r="U1197" t="s">
        <v>925</v>
      </c>
      <c r="V1197">
        <v>1</v>
      </c>
      <c r="AB1197" t="s">
        <v>1008</v>
      </c>
    </row>
    <row r="1198" spans="1:28" hidden="1" x14ac:dyDescent="0.2">
      <c r="A1198" s="4">
        <v>44489</v>
      </c>
      <c r="D1198" s="5">
        <v>0.88553240740740746</v>
      </c>
      <c r="E1198">
        <v>-76.653073329999998</v>
      </c>
      <c r="F1198">
        <v>3.353366667</v>
      </c>
      <c r="G1198">
        <v>2511</v>
      </c>
      <c r="H1198" t="e">
        <f t="shared" si="9"/>
        <v>#DIV/0!</v>
      </c>
      <c r="I1198">
        <v>2021</v>
      </c>
      <c r="J1198" t="e">
        <f t="shared" si="10"/>
        <v>#DIV/0!</v>
      </c>
      <c r="K1198" t="e">
        <f t="shared" si="11"/>
        <v>#DIV/0!</v>
      </c>
      <c r="M1198" t="s">
        <v>624</v>
      </c>
      <c r="O1198" t="s">
        <v>58</v>
      </c>
      <c r="P1198" t="s">
        <v>690</v>
      </c>
      <c r="R1198" t="s">
        <v>919</v>
      </c>
      <c r="S1198" t="s">
        <v>994</v>
      </c>
      <c r="T1198" t="s">
        <v>54</v>
      </c>
      <c r="U1198" t="s">
        <v>723</v>
      </c>
      <c r="V1198">
        <v>1</v>
      </c>
      <c r="AB1198" t="s">
        <v>1008</v>
      </c>
    </row>
    <row r="1199" spans="1:28" hidden="1" x14ac:dyDescent="0.2">
      <c r="A1199" s="4">
        <v>44489</v>
      </c>
      <c r="D1199" s="5">
        <v>0.89047453703703705</v>
      </c>
      <c r="E1199">
        <v>-76.652914999999993</v>
      </c>
      <c r="F1199">
        <v>3.353408333</v>
      </c>
      <c r="G1199">
        <v>2517</v>
      </c>
      <c r="H1199" t="e">
        <f t="shared" si="9"/>
        <v>#DIV/0!</v>
      </c>
      <c r="I1199">
        <v>2021</v>
      </c>
      <c r="J1199" t="e">
        <f t="shared" si="10"/>
        <v>#DIV/0!</v>
      </c>
      <c r="K1199" t="e">
        <f t="shared" si="11"/>
        <v>#DIV/0!</v>
      </c>
      <c r="M1199" t="s">
        <v>624</v>
      </c>
      <c r="O1199" t="s">
        <v>58</v>
      </c>
      <c r="P1199" t="s">
        <v>690</v>
      </c>
      <c r="R1199" t="s">
        <v>919</v>
      </c>
      <c r="S1199" t="s">
        <v>945</v>
      </c>
      <c r="T1199" t="s">
        <v>91</v>
      </c>
      <c r="U1199" t="s">
        <v>723</v>
      </c>
      <c r="V1199">
        <v>1</v>
      </c>
      <c r="AB1199" t="s">
        <v>1008</v>
      </c>
    </row>
    <row r="1200" spans="1:28" hidden="1" x14ac:dyDescent="0.2">
      <c r="A1200" s="4">
        <v>44489</v>
      </c>
      <c r="D1200" s="5">
        <v>0.78325231481481483</v>
      </c>
      <c r="E1200">
        <v>-76.656268330000003</v>
      </c>
      <c r="F1200">
        <v>3.3553266669999999</v>
      </c>
      <c r="H1200" t="e">
        <f t="shared" si="9"/>
        <v>#DIV/0!</v>
      </c>
      <c r="I1200">
        <v>2021</v>
      </c>
      <c r="J1200" t="e">
        <f t="shared" si="10"/>
        <v>#DIV/0!</v>
      </c>
      <c r="K1200" t="e">
        <f t="shared" si="11"/>
        <v>#DIV/0!</v>
      </c>
      <c r="M1200" t="s">
        <v>624</v>
      </c>
      <c r="O1200" t="s">
        <v>40</v>
      </c>
      <c r="P1200" t="s">
        <v>720</v>
      </c>
      <c r="U1200" t="s">
        <v>36</v>
      </c>
      <c r="V1200">
        <v>0</v>
      </c>
    </row>
    <row r="1201" spans="1:28" hidden="1" x14ac:dyDescent="0.2">
      <c r="A1201" s="4">
        <v>44489</v>
      </c>
      <c r="D1201" s="5">
        <v>0.92746527777777776</v>
      </c>
      <c r="E1201">
        <v>-76.649738330000005</v>
      </c>
      <c r="F1201">
        <v>3.3526633330000002</v>
      </c>
      <c r="G1201">
        <v>2488</v>
      </c>
      <c r="H1201" t="e">
        <f t="shared" si="9"/>
        <v>#DIV/0!</v>
      </c>
      <c r="I1201">
        <v>2021</v>
      </c>
      <c r="J1201" t="e">
        <f t="shared" si="10"/>
        <v>#DIV/0!</v>
      </c>
      <c r="K1201" t="e">
        <f t="shared" si="11"/>
        <v>#DIV/0!</v>
      </c>
      <c r="M1201" t="s">
        <v>624</v>
      </c>
      <c r="O1201" t="s">
        <v>40</v>
      </c>
      <c r="P1201" t="s">
        <v>690</v>
      </c>
      <c r="R1201" t="s">
        <v>919</v>
      </c>
      <c r="S1201" t="s">
        <v>945</v>
      </c>
      <c r="T1201" t="s">
        <v>91</v>
      </c>
      <c r="U1201" t="s">
        <v>238</v>
      </c>
      <c r="V1201">
        <v>1</v>
      </c>
      <c r="AB1201" t="s">
        <v>66</v>
      </c>
    </row>
    <row r="1202" spans="1:28" hidden="1" x14ac:dyDescent="0.2">
      <c r="A1202" s="4">
        <v>44489</v>
      </c>
      <c r="D1202" s="5">
        <v>0.82163194444444443</v>
      </c>
      <c r="E1202">
        <v>-76.655801670000002</v>
      </c>
      <c r="F1202">
        <v>3.354555</v>
      </c>
      <c r="G1202">
        <v>2556</v>
      </c>
      <c r="H1202" t="e">
        <f t="shared" si="9"/>
        <v>#DIV/0!</v>
      </c>
      <c r="I1202">
        <v>2021</v>
      </c>
      <c r="J1202" t="e">
        <f t="shared" si="10"/>
        <v>#DIV/0!</v>
      </c>
      <c r="K1202" t="e">
        <f t="shared" si="11"/>
        <v>#DIV/0!</v>
      </c>
      <c r="M1202" t="s">
        <v>624</v>
      </c>
      <c r="O1202" t="s">
        <v>38</v>
      </c>
      <c r="P1202" t="s">
        <v>720</v>
      </c>
      <c r="R1202" t="s">
        <v>919</v>
      </c>
      <c r="S1202" t="s">
        <v>945</v>
      </c>
      <c r="T1202" t="s">
        <v>54</v>
      </c>
      <c r="U1202" t="s">
        <v>723</v>
      </c>
      <c r="V1202">
        <v>2</v>
      </c>
      <c r="AB1202" t="s">
        <v>1008</v>
      </c>
    </row>
    <row r="1203" spans="1:28" hidden="1" x14ac:dyDescent="0.2">
      <c r="A1203" s="4">
        <v>44489</v>
      </c>
      <c r="D1203" s="5">
        <v>0.82163194444444443</v>
      </c>
      <c r="E1203">
        <v>-76.655801670000002</v>
      </c>
      <c r="F1203">
        <v>3.354555</v>
      </c>
      <c r="G1203">
        <v>2556</v>
      </c>
      <c r="H1203" t="e">
        <f t="shared" si="9"/>
        <v>#DIV/0!</v>
      </c>
      <c r="I1203">
        <v>2021</v>
      </c>
      <c r="J1203" t="e">
        <f t="shared" si="10"/>
        <v>#DIV/0!</v>
      </c>
      <c r="K1203" t="e">
        <f t="shared" si="11"/>
        <v>#DIV/0!</v>
      </c>
      <c r="M1203" t="s">
        <v>624</v>
      </c>
      <c r="O1203" t="s">
        <v>38</v>
      </c>
      <c r="P1203" t="s">
        <v>720</v>
      </c>
      <c r="R1203" t="s">
        <v>919</v>
      </c>
      <c r="S1203" t="s">
        <v>993</v>
      </c>
      <c r="T1203" t="s">
        <v>54</v>
      </c>
      <c r="U1203" t="s">
        <v>723</v>
      </c>
      <c r="V1203">
        <v>2</v>
      </c>
      <c r="AB1203" t="s">
        <v>1008</v>
      </c>
    </row>
    <row r="1204" spans="1:28" hidden="1" x14ac:dyDescent="0.2">
      <c r="A1204" s="4">
        <v>44489</v>
      </c>
      <c r="D1204" s="5">
        <v>0.79424768518518518</v>
      </c>
      <c r="E1204">
        <v>-76.656154999999998</v>
      </c>
      <c r="F1204">
        <v>3.3549150000000001</v>
      </c>
      <c r="G1204">
        <v>2556</v>
      </c>
      <c r="H1204" t="e">
        <f t="shared" si="9"/>
        <v>#DIV/0!</v>
      </c>
      <c r="I1204">
        <v>2021</v>
      </c>
      <c r="J1204" t="e">
        <f t="shared" si="10"/>
        <v>#DIV/0!</v>
      </c>
      <c r="K1204" t="e">
        <f t="shared" si="11"/>
        <v>#DIV/0!</v>
      </c>
      <c r="M1204" t="s">
        <v>624</v>
      </c>
      <c r="O1204" t="s">
        <v>38</v>
      </c>
      <c r="P1204" t="s">
        <v>720</v>
      </c>
      <c r="R1204" t="s">
        <v>919</v>
      </c>
      <c r="S1204" t="s">
        <v>945</v>
      </c>
      <c r="U1204" t="s">
        <v>238</v>
      </c>
      <c r="V1204">
        <v>1</v>
      </c>
      <c r="W1204" t="s">
        <v>1138</v>
      </c>
      <c r="AB1204" t="s">
        <v>66</v>
      </c>
    </row>
    <row r="1205" spans="1:28" hidden="1" x14ac:dyDescent="0.2">
      <c r="A1205" s="4">
        <v>44489</v>
      </c>
      <c r="D1205" s="5">
        <v>0.81226851851851856</v>
      </c>
      <c r="E1205">
        <v>-76.655851670000004</v>
      </c>
      <c r="F1205">
        <v>3.3546999999999998</v>
      </c>
      <c r="G1205">
        <v>2556</v>
      </c>
      <c r="H1205" t="e">
        <f t="shared" si="9"/>
        <v>#DIV/0!</v>
      </c>
      <c r="I1205">
        <v>2021</v>
      </c>
      <c r="J1205" t="e">
        <f t="shared" si="10"/>
        <v>#DIV/0!</v>
      </c>
      <c r="K1205" t="e">
        <f t="shared" si="11"/>
        <v>#DIV/0!</v>
      </c>
      <c r="M1205" t="s">
        <v>624</v>
      </c>
      <c r="O1205" t="s">
        <v>38</v>
      </c>
      <c r="P1205" t="s">
        <v>720</v>
      </c>
      <c r="R1205" t="s">
        <v>919</v>
      </c>
      <c r="S1205" t="s">
        <v>945</v>
      </c>
      <c r="T1205" t="s">
        <v>54</v>
      </c>
      <c r="U1205" t="s">
        <v>723</v>
      </c>
      <c r="V1205">
        <v>1</v>
      </c>
      <c r="AB1205" t="s">
        <v>1008</v>
      </c>
    </row>
    <row r="1206" spans="1:28" hidden="1" x14ac:dyDescent="0.2">
      <c r="A1206" s="4">
        <v>44489</v>
      </c>
      <c r="D1206" s="5">
        <v>0.93756944444444446</v>
      </c>
      <c r="E1206">
        <v>-76.649193330000003</v>
      </c>
      <c r="F1206">
        <v>3.35276</v>
      </c>
      <c r="G1206">
        <v>2470</v>
      </c>
      <c r="H1206" t="e">
        <f t="shared" si="9"/>
        <v>#DIV/0!</v>
      </c>
      <c r="I1206">
        <v>2021</v>
      </c>
      <c r="J1206" t="e">
        <f t="shared" si="10"/>
        <v>#DIV/0!</v>
      </c>
      <c r="K1206" t="e">
        <f t="shared" si="11"/>
        <v>#DIV/0!</v>
      </c>
      <c r="M1206" t="s">
        <v>624</v>
      </c>
      <c r="O1206" t="s">
        <v>38</v>
      </c>
      <c r="P1206" t="s">
        <v>690</v>
      </c>
      <c r="R1206" t="s">
        <v>919</v>
      </c>
      <c r="S1206" t="s">
        <v>945</v>
      </c>
      <c r="T1206" t="s">
        <v>42</v>
      </c>
      <c r="U1206" t="s">
        <v>238</v>
      </c>
      <c r="V1206">
        <v>1</v>
      </c>
      <c r="AB1206" t="s">
        <v>1008</v>
      </c>
    </row>
    <row r="1207" spans="1:28" hidden="1" x14ac:dyDescent="0.2">
      <c r="A1207" s="4">
        <v>44489</v>
      </c>
      <c r="D1207" s="5">
        <v>0.93383101851851846</v>
      </c>
      <c r="E1207">
        <v>-76.649418330000003</v>
      </c>
      <c r="F1207">
        <v>3.3525933330000002</v>
      </c>
      <c r="G1207">
        <v>2488</v>
      </c>
      <c r="H1207" t="e">
        <f t="shared" si="9"/>
        <v>#DIV/0!</v>
      </c>
      <c r="I1207">
        <v>2021</v>
      </c>
      <c r="J1207" t="e">
        <f t="shared" si="10"/>
        <v>#DIV/0!</v>
      </c>
      <c r="K1207" t="e">
        <f t="shared" si="11"/>
        <v>#DIV/0!</v>
      </c>
      <c r="M1207" t="s">
        <v>624</v>
      </c>
      <c r="O1207" t="s">
        <v>38</v>
      </c>
      <c r="P1207" t="s">
        <v>690</v>
      </c>
      <c r="R1207" t="s">
        <v>919</v>
      </c>
      <c r="S1207" t="s">
        <v>945</v>
      </c>
      <c r="T1207" t="s">
        <v>54</v>
      </c>
      <c r="U1207" t="s">
        <v>929</v>
      </c>
      <c r="V1207">
        <v>1</v>
      </c>
      <c r="W1207" t="s">
        <v>1136</v>
      </c>
      <c r="AB1207" t="s">
        <v>1008</v>
      </c>
    </row>
    <row r="1208" spans="1:28" hidden="1" x14ac:dyDescent="0.2">
      <c r="A1208" s="4">
        <v>44489</v>
      </c>
      <c r="D1208" s="5">
        <v>0.95208333333333328</v>
      </c>
      <c r="E1208">
        <v>-76.647988330000004</v>
      </c>
      <c r="F1208">
        <v>3.3522249999999998</v>
      </c>
      <c r="G1208">
        <v>2446</v>
      </c>
      <c r="H1208" t="e">
        <f t="shared" si="9"/>
        <v>#DIV/0!</v>
      </c>
      <c r="I1208">
        <v>2021</v>
      </c>
      <c r="J1208" t="e">
        <f t="shared" si="10"/>
        <v>#DIV/0!</v>
      </c>
      <c r="K1208" t="e">
        <f t="shared" si="11"/>
        <v>#DIV/0!</v>
      </c>
      <c r="M1208" t="s">
        <v>624</v>
      </c>
      <c r="O1208" t="s">
        <v>32</v>
      </c>
      <c r="P1208" t="s">
        <v>690</v>
      </c>
      <c r="R1208" t="s">
        <v>919</v>
      </c>
      <c r="S1208" t="s">
        <v>994</v>
      </c>
      <c r="T1208" t="s">
        <v>54</v>
      </c>
      <c r="U1208" t="s">
        <v>238</v>
      </c>
      <c r="V1208">
        <v>1</v>
      </c>
      <c r="AB1208" t="s">
        <v>1008</v>
      </c>
    </row>
    <row r="1209" spans="1:28" hidden="1" x14ac:dyDescent="0.2">
      <c r="A1209" s="4">
        <v>44489</v>
      </c>
      <c r="D1209" s="5">
        <v>0.96979166666666672</v>
      </c>
      <c r="E1209">
        <v>-76.647988330000004</v>
      </c>
      <c r="F1209">
        <v>3.3523499999999999</v>
      </c>
      <c r="G1209">
        <v>2460</v>
      </c>
      <c r="H1209" t="e">
        <f t="shared" si="9"/>
        <v>#DIV/0!</v>
      </c>
      <c r="I1209">
        <v>2021</v>
      </c>
      <c r="J1209" t="e">
        <f t="shared" si="10"/>
        <v>#DIV/0!</v>
      </c>
      <c r="K1209" t="e">
        <f t="shared" si="11"/>
        <v>#DIV/0!</v>
      </c>
      <c r="M1209" t="s">
        <v>624</v>
      </c>
      <c r="O1209" t="s">
        <v>32</v>
      </c>
      <c r="P1209" t="s">
        <v>690</v>
      </c>
      <c r="R1209" t="s">
        <v>919</v>
      </c>
      <c r="S1209" t="s">
        <v>945</v>
      </c>
      <c r="T1209" t="s">
        <v>54</v>
      </c>
      <c r="U1209" t="s">
        <v>929</v>
      </c>
      <c r="V1209">
        <v>1</v>
      </c>
      <c r="W1209" t="s">
        <v>1136</v>
      </c>
      <c r="AB1209" t="s">
        <v>1008</v>
      </c>
    </row>
    <row r="1210" spans="1:28" hidden="1" x14ac:dyDescent="0.2">
      <c r="A1210" s="4">
        <v>44517</v>
      </c>
      <c r="D1210" s="5">
        <v>0.83243055555555556</v>
      </c>
      <c r="E1210">
        <v>-76.725880000000004</v>
      </c>
      <c r="F1210">
        <v>3.499316667</v>
      </c>
      <c r="G1210">
        <v>1794</v>
      </c>
      <c r="H1210" t="e">
        <f t="shared" si="9"/>
        <v>#DIV/0!</v>
      </c>
      <c r="I1210">
        <v>2021</v>
      </c>
      <c r="J1210" t="e">
        <f t="shared" si="10"/>
        <v>#DIV/0!</v>
      </c>
      <c r="K1210" t="e">
        <f t="shared" si="11"/>
        <v>#DIV/0!</v>
      </c>
      <c r="M1210" t="s">
        <v>247</v>
      </c>
      <c r="O1210" t="s">
        <v>40</v>
      </c>
      <c r="P1210" t="s">
        <v>340</v>
      </c>
      <c r="U1210" t="s">
        <v>36</v>
      </c>
      <c r="V1210">
        <v>0</v>
      </c>
    </row>
    <row r="1211" spans="1:28" hidden="1" x14ac:dyDescent="0.2">
      <c r="A1211" s="4">
        <v>44517</v>
      </c>
      <c r="D1211" s="5">
        <v>0.83781249999999996</v>
      </c>
      <c r="E1211">
        <v>-76.726023330000004</v>
      </c>
      <c r="F1211">
        <v>3.4991466670000002</v>
      </c>
      <c r="G1211">
        <v>1790</v>
      </c>
      <c r="H1211" t="e">
        <f t="shared" si="9"/>
        <v>#DIV/0!</v>
      </c>
      <c r="I1211">
        <v>2021</v>
      </c>
      <c r="J1211" t="e">
        <f t="shared" si="10"/>
        <v>#DIV/0!</v>
      </c>
      <c r="K1211" t="e">
        <f t="shared" si="11"/>
        <v>#DIV/0!</v>
      </c>
      <c r="M1211" t="s">
        <v>247</v>
      </c>
      <c r="O1211" t="s">
        <v>38</v>
      </c>
      <c r="P1211" t="s">
        <v>340</v>
      </c>
      <c r="R1211" t="s">
        <v>919</v>
      </c>
      <c r="S1211" t="s">
        <v>945</v>
      </c>
      <c r="T1211" t="s">
        <v>91</v>
      </c>
      <c r="U1211" t="s">
        <v>68</v>
      </c>
      <c r="V1211">
        <v>4</v>
      </c>
      <c r="AB1211" t="s">
        <v>66</v>
      </c>
    </row>
    <row r="1212" spans="1:28" hidden="1" x14ac:dyDescent="0.2">
      <c r="A1212" s="4">
        <v>44517</v>
      </c>
      <c r="D1212" s="5">
        <v>0.84858796296296302</v>
      </c>
      <c r="E1212">
        <v>-76.726150000000004</v>
      </c>
      <c r="F1212">
        <v>3.4996333329999998</v>
      </c>
      <c r="G1212">
        <v>1790</v>
      </c>
      <c r="H1212" t="e">
        <f t="shared" si="9"/>
        <v>#DIV/0!</v>
      </c>
      <c r="I1212">
        <v>2021</v>
      </c>
      <c r="J1212" t="e">
        <f t="shared" si="10"/>
        <v>#DIV/0!</v>
      </c>
      <c r="K1212" t="e">
        <f t="shared" si="11"/>
        <v>#DIV/0!</v>
      </c>
      <c r="M1212" t="s">
        <v>247</v>
      </c>
      <c r="O1212" t="s">
        <v>38</v>
      </c>
      <c r="P1212" t="s">
        <v>340</v>
      </c>
      <c r="R1212" t="s">
        <v>919</v>
      </c>
      <c r="S1212" t="s">
        <v>945</v>
      </c>
      <c r="T1212" t="s">
        <v>91</v>
      </c>
      <c r="U1212" t="s">
        <v>68</v>
      </c>
      <c r="V1212">
        <v>2</v>
      </c>
      <c r="AB1212" t="s">
        <v>66</v>
      </c>
    </row>
    <row r="1213" spans="1:28" hidden="1" x14ac:dyDescent="0.2">
      <c r="A1213" s="4">
        <v>44517</v>
      </c>
      <c r="D1213" s="5">
        <v>0.86267361111111107</v>
      </c>
      <c r="E1213">
        <v>-76.726264999999998</v>
      </c>
      <c r="F1213">
        <v>3.499933333</v>
      </c>
      <c r="G1213">
        <v>1790</v>
      </c>
      <c r="H1213" t="e">
        <f t="shared" si="9"/>
        <v>#DIV/0!</v>
      </c>
      <c r="I1213">
        <v>2021</v>
      </c>
      <c r="J1213" t="e">
        <f t="shared" si="10"/>
        <v>#DIV/0!</v>
      </c>
      <c r="K1213" t="e">
        <f t="shared" si="11"/>
        <v>#DIV/0!</v>
      </c>
      <c r="M1213" t="s">
        <v>247</v>
      </c>
      <c r="O1213" t="s">
        <v>38</v>
      </c>
      <c r="P1213" t="s">
        <v>340</v>
      </c>
      <c r="R1213" t="s">
        <v>919</v>
      </c>
      <c r="S1213" t="s">
        <v>945</v>
      </c>
      <c r="T1213" t="s">
        <v>54</v>
      </c>
      <c r="U1213" t="s">
        <v>238</v>
      </c>
      <c r="V1213">
        <v>1</v>
      </c>
      <c r="AB1213" t="s">
        <v>1008</v>
      </c>
    </row>
    <row r="1214" spans="1:28" hidden="1" x14ac:dyDescent="0.2">
      <c r="A1214" s="4">
        <v>44517</v>
      </c>
      <c r="D1214" s="5">
        <v>0.87108796296296298</v>
      </c>
      <c r="E1214">
        <v>-76.726500000000001</v>
      </c>
      <c r="F1214">
        <v>3.5001600000000002</v>
      </c>
      <c r="G1214">
        <v>1790</v>
      </c>
      <c r="H1214" t="e">
        <f t="shared" si="9"/>
        <v>#DIV/0!</v>
      </c>
      <c r="I1214">
        <v>2021</v>
      </c>
      <c r="J1214" t="e">
        <f t="shared" si="10"/>
        <v>#DIV/0!</v>
      </c>
      <c r="K1214" t="e">
        <f t="shared" si="11"/>
        <v>#DIV/0!</v>
      </c>
      <c r="M1214" t="s">
        <v>916</v>
      </c>
      <c r="O1214" t="s">
        <v>38</v>
      </c>
      <c r="P1214" t="s">
        <v>1146</v>
      </c>
      <c r="R1214" t="s">
        <v>919</v>
      </c>
      <c r="S1214" t="s">
        <v>945</v>
      </c>
      <c r="T1214" t="s">
        <v>54</v>
      </c>
      <c r="U1214" t="s">
        <v>252</v>
      </c>
      <c r="V1214">
        <v>1</v>
      </c>
      <c r="AB1214" t="s">
        <v>1008</v>
      </c>
    </row>
    <row r="1215" spans="1:28" hidden="1" x14ac:dyDescent="0.2">
      <c r="A1215" s="4">
        <v>44518</v>
      </c>
      <c r="D1215" s="5">
        <v>0.5143981481481481</v>
      </c>
      <c r="E1215">
        <v>-76.723321670000004</v>
      </c>
      <c r="F1215">
        <v>3.4832299999999998</v>
      </c>
      <c r="H1215" t="e">
        <f t="shared" si="9"/>
        <v>#DIV/0!</v>
      </c>
      <c r="I1215">
        <v>2021</v>
      </c>
      <c r="J1215" t="e">
        <f t="shared" si="10"/>
        <v>#DIV/0!</v>
      </c>
      <c r="K1215" t="e">
        <f t="shared" si="11"/>
        <v>#DIV/0!</v>
      </c>
      <c r="M1215" t="s">
        <v>247</v>
      </c>
      <c r="O1215" t="s">
        <v>32</v>
      </c>
      <c r="P1215" t="s">
        <v>248</v>
      </c>
      <c r="U1215" t="s">
        <v>36</v>
      </c>
      <c r="V1215">
        <v>0</v>
      </c>
    </row>
    <row r="1216" spans="1:28" hidden="1" x14ac:dyDescent="0.2">
      <c r="A1216" s="4">
        <v>44518</v>
      </c>
      <c r="D1216" s="5">
        <v>0.47657407407407409</v>
      </c>
      <c r="E1216">
        <v>-76.723218329999995</v>
      </c>
      <c r="F1216">
        <v>3.4839983330000002</v>
      </c>
      <c r="H1216" t="e">
        <f t="shared" si="9"/>
        <v>#DIV/0!</v>
      </c>
      <c r="I1216">
        <v>2021</v>
      </c>
      <c r="J1216" t="e">
        <f t="shared" si="10"/>
        <v>#DIV/0!</v>
      </c>
      <c r="K1216" t="e">
        <f t="shared" si="11"/>
        <v>#DIV/0!</v>
      </c>
      <c r="M1216" t="s">
        <v>247</v>
      </c>
      <c r="O1216" t="s">
        <v>40</v>
      </c>
      <c r="P1216" t="s">
        <v>248</v>
      </c>
      <c r="U1216" t="s">
        <v>36</v>
      </c>
      <c r="V1216">
        <v>0</v>
      </c>
    </row>
    <row r="1217" spans="1:28" hidden="1" x14ac:dyDescent="0.2">
      <c r="A1217" s="4">
        <v>44518</v>
      </c>
      <c r="D1217" s="5">
        <v>0.47082175925925923</v>
      </c>
      <c r="E1217">
        <v>-76.722111670000004</v>
      </c>
      <c r="F1217">
        <v>3.4844650000000001</v>
      </c>
      <c r="G1217">
        <v>1986</v>
      </c>
      <c r="H1217" t="e">
        <f t="shared" si="9"/>
        <v>#DIV/0!</v>
      </c>
      <c r="I1217">
        <v>2021</v>
      </c>
      <c r="J1217" t="e">
        <f t="shared" si="10"/>
        <v>#DIV/0!</v>
      </c>
      <c r="K1217" t="e">
        <f t="shared" si="11"/>
        <v>#DIV/0!</v>
      </c>
      <c r="M1217" t="s">
        <v>247</v>
      </c>
      <c r="O1217" t="s">
        <v>47</v>
      </c>
      <c r="P1217" t="s">
        <v>248</v>
      </c>
      <c r="U1217" t="s">
        <v>36</v>
      </c>
      <c r="V1217">
        <v>0</v>
      </c>
    </row>
    <row r="1218" spans="1:28" hidden="1" x14ac:dyDescent="0.2">
      <c r="A1218" s="4">
        <v>44518</v>
      </c>
      <c r="D1218" s="5">
        <v>0.50951388888888893</v>
      </c>
      <c r="E1218">
        <v>-76.72368333</v>
      </c>
      <c r="F1218">
        <v>3.4834933330000002</v>
      </c>
      <c r="G1218">
        <v>2019</v>
      </c>
      <c r="H1218" t="e">
        <f t="shared" si="9"/>
        <v>#DIV/0!</v>
      </c>
      <c r="I1218">
        <v>2021</v>
      </c>
      <c r="J1218" t="e">
        <f t="shared" si="10"/>
        <v>#DIV/0!</v>
      </c>
      <c r="K1218" t="e">
        <f t="shared" si="11"/>
        <v>#DIV/0!</v>
      </c>
      <c r="M1218" t="s">
        <v>247</v>
      </c>
      <c r="O1218" t="s">
        <v>38</v>
      </c>
      <c r="P1218" t="s">
        <v>248</v>
      </c>
      <c r="R1218" t="s">
        <v>919</v>
      </c>
      <c r="S1218" t="s">
        <v>945</v>
      </c>
      <c r="T1218" t="s">
        <v>42</v>
      </c>
      <c r="U1218" t="s">
        <v>270</v>
      </c>
      <c r="V1218">
        <v>1</v>
      </c>
      <c r="AB1218" t="s">
        <v>1008</v>
      </c>
    </row>
    <row r="1219" spans="1:28" hidden="1" x14ac:dyDescent="0.2">
      <c r="A1219" s="4">
        <v>44517</v>
      </c>
      <c r="D1219" s="5">
        <v>0.47421296296296295</v>
      </c>
      <c r="E1219">
        <v>-76.714595000000003</v>
      </c>
      <c r="F1219">
        <v>3.4872366669999999</v>
      </c>
      <c r="G1219">
        <v>1841</v>
      </c>
      <c r="H1219" t="e">
        <f t="shared" si="9"/>
        <v>#DIV/0!</v>
      </c>
      <c r="I1219">
        <v>2021</v>
      </c>
      <c r="J1219" t="e">
        <f t="shared" si="10"/>
        <v>#DIV/0!</v>
      </c>
      <c r="K1219" t="e">
        <f t="shared" si="11"/>
        <v>#DIV/0!</v>
      </c>
      <c r="M1219" t="s">
        <v>247</v>
      </c>
      <c r="O1219" t="s">
        <v>38</v>
      </c>
      <c r="P1219" t="s">
        <v>672</v>
      </c>
      <c r="U1219" t="s">
        <v>36</v>
      </c>
      <c r="V1219">
        <v>0</v>
      </c>
    </row>
    <row r="1220" spans="1:28" hidden="1" x14ac:dyDescent="0.2">
      <c r="A1220" s="4">
        <v>44517</v>
      </c>
      <c r="D1220" s="5">
        <v>0.4538773148148148</v>
      </c>
      <c r="E1220">
        <v>-76.713825</v>
      </c>
      <c r="F1220">
        <v>3.487656667</v>
      </c>
      <c r="H1220" t="e">
        <f t="shared" si="9"/>
        <v>#DIV/0!</v>
      </c>
      <c r="I1220">
        <v>2021</v>
      </c>
      <c r="J1220" t="e">
        <f t="shared" si="10"/>
        <v>#DIV/0!</v>
      </c>
      <c r="K1220" t="e">
        <f t="shared" si="11"/>
        <v>#DIV/0!</v>
      </c>
      <c r="M1220" t="s">
        <v>247</v>
      </c>
      <c r="O1220" t="s">
        <v>32</v>
      </c>
      <c r="P1220" t="s">
        <v>672</v>
      </c>
      <c r="U1220" t="s">
        <v>36</v>
      </c>
      <c r="V1220">
        <v>0</v>
      </c>
    </row>
    <row r="1221" spans="1:28" hidden="1" x14ac:dyDescent="0.2">
      <c r="A1221" s="4">
        <v>44517</v>
      </c>
      <c r="D1221" s="5">
        <v>0.48021990740740739</v>
      </c>
      <c r="E1221">
        <v>-76.714714999999998</v>
      </c>
      <c r="F1221">
        <v>3.4870716669999999</v>
      </c>
      <c r="H1221" t="e">
        <f t="shared" si="9"/>
        <v>#DIV/0!</v>
      </c>
      <c r="I1221">
        <v>2021</v>
      </c>
      <c r="J1221" t="e">
        <f t="shared" si="10"/>
        <v>#DIV/0!</v>
      </c>
      <c r="K1221" t="e">
        <f t="shared" si="11"/>
        <v>#DIV/0!</v>
      </c>
      <c r="M1221" t="s">
        <v>247</v>
      </c>
      <c r="O1221" t="s">
        <v>40</v>
      </c>
      <c r="P1221" t="s">
        <v>672</v>
      </c>
      <c r="U1221" t="s">
        <v>36</v>
      </c>
      <c r="V1221">
        <v>0</v>
      </c>
    </row>
    <row r="1222" spans="1:28" hidden="1" x14ac:dyDescent="0.2">
      <c r="A1222" s="4">
        <v>44496</v>
      </c>
      <c r="D1222" s="5">
        <v>0.89247685185185188</v>
      </c>
      <c r="E1222">
        <v>-76.678449999999998</v>
      </c>
      <c r="F1222">
        <v>3.401878333</v>
      </c>
      <c r="G1222">
        <v>3017</v>
      </c>
      <c r="H1222" t="e">
        <f t="shared" si="9"/>
        <v>#DIV/0!</v>
      </c>
      <c r="I1222">
        <v>2021</v>
      </c>
      <c r="J1222" t="e">
        <f t="shared" si="10"/>
        <v>#DIV/0!</v>
      </c>
      <c r="K1222" t="e">
        <f t="shared" si="11"/>
        <v>#DIV/0!</v>
      </c>
      <c r="M1222" t="s">
        <v>916</v>
      </c>
      <c r="O1222" t="s">
        <v>32</v>
      </c>
      <c r="P1222" t="s">
        <v>1146</v>
      </c>
      <c r="R1222" t="s">
        <v>921</v>
      </c>
      <c r="S1222" t="s">
        <v>945</v>
      </c>
      <c r="T1222" t="s">
        <v>54</v>
      </c>
      <c r="U1222" t="s">
        <v>915</v>
      </c>
      <c r="V1222">
        <v>1</v>
      </c>
      <c r="AB1222" t="s">
        <v>1008</v>
      </c>
    </row>
    <row r="1223" spans="1:28" hidden="1" x14ac:dyDescent="0.2">
      <c r="A1223" s="4">
        <v>44496</v>
      </c>
      <c r="D1223" s="5">
        <v>0.89894675925925926</v>
      </c>
      <c r="E1223">
        <v>-76.678078330000005</v>
      </c>
      <c r="F1223">
        <v>3.4023783330000001</v>
      </c>
      <c r="G1223">
        <v>3029</v>
      </c>
      <c r="H1223" t="e">
        <f t="shared" si="9"/>
        <v>#DIV/0!</v>
      </c>
      <c r="I1223">
        <v>2021</v>
      </c>
      <c r="J1223" t="e">
        <f t="shared" si="10"/>
        <v>#DIV/0!</v>
      </c>
      <c r="K1223" t="e">
        <f t="shared" si="11"/>
        <v>#DIV/0!</v>
      </c>
      <c r="M1223" t="s">
        <v>916</v>
      </c>
      <c r="O1223" t="s">
        <v>32</v>
      </c>
      <c r="P1223" t="s">
        <v>1146</v>
      </c>
      <c r="R1223" t="s">
        <v>921</v>
      </c>
      <c r="S1223" t="s">
        <v>995</v>
      </c>
      <c r="T1223" t="s">
        <v>54</v>
      </c>
      <c r="U1223" t="s">
        <v>915</v>
      </c>
      <c r="V1223">
        <v>1</v>
      </c>
      <c r="AB1223" t="s">
        <v>1008</v>
      </c>
    </row>
    <row r="1224" spans="1:28" hidden="1" x14ac:dyDescent="0.2">
      <c r="A1224" s="4">
        <v>44496</v>
      </c>
      <c r="D1224" s="5">
        <v>0.82188657407407406</v>
      </c>
      <c r="E1224">
        <v>-76.680458329999993</v>
      </c>
      <c r="F1224">
        <v>3.4013100000000001</v>
      </c>
      <c r="G1224">
        <v>3033</v>
      </c>
      <c r="H1224" t="e">
        <f t="shared" si="9"/>
        <v>#DIV/0!</v>
      </c>
      <c r="I1224">
        <v>2021</v>
      </c>
      <c r="J1224" t="e">
        <f t="shared" si="10"/>
        <v>#DIV/0!</v>
      </c>
      <c r="K1224" t="e">
        <f t="shared" si="11"/>
        <v>#DIV/0!</v>
      </c>
      <c r="M1224" t="s">
        <v>916</v>
      </c>
      <c r="O1224" t="s">
        <v>32</v>
      </c>
      <c r="P1224" t="s">
        <v>913</v>
      </c>
      <c r="R1224" t="s">
        <v>921</v>
      </c>
      <c r="S1224" t="s">
        <v>945</v>
      </c>
      <c r="T1224" t="s">
        <v>504</v>
      </c>
      <c r="U1224" t="s">
        <v>940</v>
      </c>
      <c r="V1224">
        <v>1</v>
      </c>
      <c r="AB1224" t="s">
        <v>66</v>
      </c>
    </row>
    <row r="1225" spans="1:28" hidden="1" x14ac:dyDescent="0.2">
      <c r="A1225" s="4">
        <v>44496</v>
      </c>
      <c r="D1225" s="5">
        <v>0.81138888888888894</v>
      </c>
      <c r="E1225">
        <v>-76.680390000000003</v>
      </c>
      <c r="F1225">
        <v>3.4012199999999999</v>
      </c>
      <c r="G1225">
        <v>3033</v>
      </c>
      <c r="H1225" t="e">
        <f t="shared" si="9"/>
        <v>#DIV/0!</v>
      </c>
      <c r="I1225">
        <v>2021</v>
      </c>
      <c r="J1225" t="e">
        <f t="shared" si="10"/>
        <v>#DIV/0!</v>
      </c>
      <c r="K1225" t="e">
        <f t="shared" si="11"/>
        <v>#DIV/0!</v>
      </c>
      <c r="M1225" t="s">
        <v>916</v>
      </c>
      <c r="O1225" t="s">
        <v>32</v>
      </c>
      <c r="P1225" t="s">
        <v>913</v>
      </c>
      <c r="R1225" t="s">
        <v>921</v>
      </c>
      <c r="S1225" t="s">
        <v>945</v>
      </c>
      <c r="T1225" t="s">
        <v>54</v>
      </c>
      <c r="U1225" t="s">
        <v>925</v>
      </c>
      <c r="V1225">
        <v>1</v>
      </c>
      <c r="AB1225" t="s">
        <v>1008</v>
      </c>
    </row>
    <row r="1226" spans="1:28" hidden="1" x14ac:dyDescent="0.2">
      <c r="A1226" s="4">
        <v>44496</v>
      </c>
      <c r="D1226" s="5">
        <v>0.82719907407407411</v>
      </c>
      <c r="E1226">
        <v>-76.680329999999998</v>
      </c>
      <c r="F1226">
        <v>3.4011049999999998</v>
      </c>
      <c r="G1226">
        <v>3037</v>
      </c>
      <c r="H1226" t="e">
        <f t="shared" si="9"/>
        <v>#DIV/0!</v>
      </c>
      <c r="I1226">
        <v>2021</v>
      </c>
      <c r="J1226" t="e">
        <f t="shared" si="10"/>
        <v>#DIV/0!</v>
      </c>
      <c r="K1226" t="e">
        <f t="shared" si="11"/>
        <v>#DIV/0!</v>
      </c>
      <c r="M1226" t="s">
        <v>916</v>
      </c>
      <c r="O1226" t="s">
        <v>32</v>
      </c>
      <c r="P1226" t="s">
        <v>913</v>
      </c>
      <c r="R1226" t="s">
        <v>921</v>
      </c>
      <c r="S1226" t="s">
        <v>995</v>
      </c>
      <c r="T1226" t="s">
        <v>42</v>
      </c>
      <c r="U1226" t="s">
        <v>927</v>
      </c>
      <c r="V1226">
        <v>1</v>
      </c>
      <c r="AB1226" t="s">
        <v>1008</v>
      </c>
    </row>
    <row r="1227" spans="1:28" hidden="1" x14ac:dyDescent="0.2">
      <c r="A1227" s="4">
        <v>44496</v>
      </c>
      <c r="D1227" s="5">
        <v>0.82719907407407411</v>
      </c>
      <c r="E1227">
        <v>-76.680329999999998</v>
      </c>
      <c r="F1227">
        <v>3.4011049999999998</v>
      </c>
      <c r="G1227">
        <v>3037</v>
      </c>
      <c r="H1227" t="e">
        <f t="shared" si="9"/>
        <v>#DIV/0!</v>
      </c>
      <c r="I1227">
        <v>2021</v>
      </c>
      <c r="J1227" t="e">
        <f t="shared" si="10"/>
        <v>#DIV/0!</v>
      </c>
      <c r="K1227" t="e">
        <f t="shared" si="11"/>
        <v>#DIV/0!</v>
      </c>
      <c r="M1227" t="s">
        <v>916</v>
      </c>
      <c r="O1227" t="s">
        <v>32</v>
      </c>
      <c r="P1227" t="s">
        <v>913</v>
      </c>
      <c r="R1227" t="s">
        <v>921</v>
      </c>
      <c r="S1227" t="s">
        <v>995</v>
      </c>
      <c r="T1227" t="s">
        <v>54</v>
      </c>
      <c r="U1227" t="s">
        <v>927</v>
      </c>
      <c r="V1227">
        <v>1</v>
      </c>
      <c r="AB1227" t="s">
        <v>1008</v>
      </c>
    </row>
    <row r="1228" spans="1:28" hidden="1" x14ac:dyDescent="0.2">
      <c r="A1228" s="4">
        <v>44496</v>
      </c>
      <c r="D1228" s="5">
        <v>0.86635416666666665</v>
      </c>
      <c r="E1228">
        <v>-76.678974999999994</v>
      </c>
      <c r="F1228">
        <v>3.4006916669999998</v>
      </c>
      <c r="G1228">
        <v>3004</v>
      </c>
      <c r="H1228" t="e">
        <f t="shared" si="9"/>
        <v>#DIV/0!</v>
      </c>
      <c r="I1228">
        <v>2021</v>
      </c>
      <c r="J1228" t="e">
        <f t="shared" si="10"/>
        <v>#DIV/0!</v>
      </c>
      <c r="K1228" t="e">
        <f t="shared" si="11"/>
        <v>#DIV/0!</v>
      </c>
      <c r="M1228" t="s">
        <v>916</v>
      </c>
      <c r="O1228" t="s">
        <v>40</v>
      </c>
      <c r="P1228" t="s">
        <v>913</v>
      </c>
      <c r="R1228" t="s">
        <v>921</v>
      </c>
      <c r="S1228" t="s">
        <v>995</v>
      </c>
      <c r="T1228" t="s">
        <v>54</v>
      </c>
      <c r="U1228" t="s">
        <v>940</v>
      </c>
      <c r="V1228">
        <v>2</v>
      </c>
      <c r="AB1228" t="s">
        <v>1008</v>
      </c>
    </row>
    <row r="1229" spans="1:28" hidden="1" x14ac:dyDescent="0.2">
      <c r="A1229" s="4">
        <v>44496</v>
      </c>
      <c r="D1229" s="5">
        <v>0.88577546296296295</v>
      </c>
      <c r="E1229">
        <v>-76.678711669999998</v>
      </c>
      <c r="F1229">
        <v>3.4011816669999999</v>
      </c>
      <c r="G1229">
        <v>3004</v>
      </c>
      <c r="H1229" t="e">
        <f t="shared" si="9"/>
        <v>#DIV/0!</v>
      </c>
      <c r="I1229">
        <v>2021</v>
      </c>
      <c r="J1229" t="e">
        <f t="shared" si="10"/>
        <v>#DIV/0!</v>
      </c>
      <c r="K1229" t="e">
        <f t="shared" si="11"/>
        <v>#DIV/0!</v>
      </c>
      <c r="M1229" t="s">
        <v>916</v>
      </c>
      <c r="O1229" t="s">
        <v>40</v>
      </c>
      <c r="P1229" t="s">
        <v>913</v>
      </c>
      <c r="R1229" t="s">
        <v>921</v>
      </c>
      <c r="S1229" t="s">
        <v>995</v>
      </c>
      <c r="T1229" t="s">
        <v>54</v>
      </c>
      <c r="U1229" t="s">
        <v>915</v>
      </c>
      <c r="V1229">
        <v>1</v>
      </c>
      <c r="W1229" t="s">
        <v>1139</v>
      </c>
      <c r="AB1229" t="s">
        <v>1008</v>
      </c>
    </row>
    <row r="1230" spans="1:28" hidden="1" x14ac:dyDescent="0.2">
      <c r="A1230" s="4">
        <v>44496</v>
      </c>
      <c r="D1230" s="5">
        <v>0.8396527777777778</v>
      </c>
      <c r="E1230">
        <v>-76.679869999999994</v>
      </c>
      <c r="F1230">
        <v>3.400658333</v>
      </c>
      <c r="G1230">
        <v>3033</v>
      </c>
      <c r="H1230" t="e">
        <f t="shared" si="9"/>
        <v>#DIV/0!</v>
      </c>
      <c r="I1230">
        <v>2021</v>
      </c>
      <c r="J1230" t="e">
        <f t="shared" si="10"/>
        <v>#DIV/0!</v>
      </c>
      <c r="K1230" t="e">
        <f t="shared" si="11"/>
        <v>#DIV/0!</v>
      </c>
      <c r="M1230" t="s">
        <v>916</v>
      </c>
      <c r="O1230" t="s">
        <v>38</v>
      </c>
      <c r="P1230" t="s">
        <v>913</v>
      </c>
      <c r="R1230" t="s">
        <v>921</v>
      </c>
      <c r="S1230" t="s">
        <v>945</v>
      </c>
      <c r="T1230" t="s">
        <v>54</v>
      </c>
      <c r="U1230" t="s">
        <v>915</v>
      </c>
      <c r="V1230">
        <v>1</v>
      </c>
      <c r="AB1230" t="s">
        <v>1008</v>
      </c>
    </row>
    <row r="1231" spans="1:28" hidden="1" x14ac:dyDescent="0.2">
      <c r="A1231" s="4">
        <v>44496</v>
      </c>
      <c r="D1231" s="5">
        <v>0.84420138888888885</v>
      </c>
      <c r="E1231">
        <v>-76.679834999999997</v>
      </c>
      <c r="F1231">
        <v>3.4008883330000002</v>
      </c>
      <c r="G1231">
        <v>3009</v>
      </c>
      <c r="H1231" t="e">
        <f t="shared" si="9"/>
        <v>#DIV/0!</v>
      </c>
      <c r="I1231">
        <v>2021</v>
      </c>
      <c r="J1231" t="e">
        <f t="shared" si="10"/>
        <v>#DIV/0!</v>
      </c>
      <c r="K1231" t="e">
        <f t="shared" si="11"/>
        <v>#DIV/0!</v>
      </c>
      <c r="M1231" t="s">
        <v>916</v>
      </c>
      <c r="O1231" t="s">
        <v>38</v>
      </c>
      <c r="P1231" t="s">
        <v>913</v>
      </c>
      <c r="R1231" t="s">
        <v>921</v>
      </c>
      <c r="S1231" t="s">
        <v>995</v>
      </c>
      <c r="T1231" t="s">
        <v>54</v>
      </c>
      <c r="U1231" t="s">
        <v>925</v>
      </c>
      <c r="V1231">
        <v>2</v>
      </c>
      <c r="AB1231" t="s">
        <v>1008</v>
      </c>
    </row>
    <row r="1232" spans="1:28" hidden="1" x14ac:dyDescent="0.2">
      <c r="A1232" s="4">
        <v>44496</v>
      </c>
      <c r="D1232" s="5">
        <v>0.85269675925925925</v>
      </c>
      <c r="E1232">
        <v>-76.679318330000001</v>
      </c>
      <c r="F1232">
        <v>3.4008099999999999</v>
      </c>
      <c r="G1232">
        <v>3007</v>
      </c>
      <c r="H1232" t="e">
        <f t="shared" si="9"/>
        <v>#DIV/0!</v>
      </c>
      <c r="I1232">
        <v>2021</v>
      </c>
      <c r="J1232" t="e">
        <f t="shared" si="10"/>
        <v>#DIV/0!</v>
      </c>
      <c r="K1232" t="e">
        <f t="shared" si="11"/>
        <v>#DIV/0!</v>
      </c>
      <c r="M1232" t="s">
        <v>916</v>
      </c>
      <c r="O1232" t="s">
        <v>38</v>
      </c>
      <c r="P1232" t="s">
        <v>913</v>
      </c>
      <c r="R1232" t="s">
        <v>921</v>
      </c>
      <c r="S1232" t="s">
        <v>945</v>
      </c>
      <c r="T1232" t="s">
        <v>54</v>
      </c>
      <c r="U1232" t="s">
        <v>915</v>
      </c>
      <c r="V1232">
        <v>1</v>
      </c>
      <c r="AB1232" t="s">
        <v>1008</v>
      </c>
    </row>
    <row r="1233" spans="1:28" hidden="1" x14ac:dyDescent="0.2">
      <c r="A1233" s="4">
        <v>44496</v>
      </c>
      <c r="D1233" s="5">
        <v>0.85269675925925925</v>
      </c>
      <c r="E1233">
        <v>-76.679318330000001</v>
      </c>
      <c r="F1233">
        <v>3.4008099999999999</v>
      </c>
      <c r="G1233">
        <v>3007</v>
      </c>
      <c r="H1233" t="e">
        <f t="shared" si="9"/>
        <v>#DIV/0!</v>
      </c>
      <c r="I1233">
        <v>2021</v>
      </c>
      <c r="J1233" t="e">
        <f t="shared" si="10"/>
        <v>#DIV/0!</v>
      </c>
      <c r="K1233" t="e">
        <f t="shared" si="11"/>
        <v>#DIV/0!</v>
      </c>
      <c r="M1233" t="s">
        <v>916</v>
      </c>
      <c r="O1233" t="s">
        <v>38</v>
      </c>
      <c r="P1233" t="s">
        <v>913</v>
      </c>
      <c r="R1233" t="s">
        <v>921</v>
      </c>
      <c r="S1233" t="s">
        <v>995</v>
      </c>
      <c r="T1233" t="s">
        <v>54</v>
      </c>
      <c r="U1233" t="s">
        <v>915</v>
      </c>
      <c r="V1233">
        <v>1</v>
      </c>
      <c r="AB1233" t="s">
        <v>1008</v>
      </c>
    </row>
    <row r="1234" spans="1:28" hidden="1" x14ac:dyDescent="0.2">
      <c r="A1234" s="4">
        <v>44496</v>
      </c>
      <c r="D1234" s="5">
        <v>0.90221064814814811</v>
      </c>
      <c r="E1234">
        <v>-76.67788333</v>
      </c>
      <c r="F1234">
        <v>3.4025150000000002</v>
      </c>
      <c r="G1234">
        <v>3032</v>
      </c>
      <c r="H1234" t="e">
        <f t="shared" si="9"/>
        <v>#DIV/0!</v>
      </c>
      <c r="I1234">
        <v>2021</v>
      </c>
      <c r="J1234" t="e">
        <f t="shared" si="10"/>
        <v>#DIV/0!</v>
      </c>
      <c r="K1234" t="e">
        <f t="shared" si="11"/>
        <v>#DIV/0!</v>
      </c>
      <c r="M1234" t="s">
        <v>916</v>
      </c>
      <c r="O1234" t="s">
        <v>38</v>
      </c>
      <c r="P1234" t="s">
        <v>1146</v>
      </c>
      <c r="R1234" t="s">
        <v>921</v>
      </c>
      <c r="S1234" t="s">
        <v>995</v>
      </c>
      <c r="T1234" t="s">
        <v>91</v>
      </c>
      <c r="U1234" t="s">
        <v>915</v>
      </c>
      <c r="V1234">
        <v>1</v>
      </c>
      <c r="AB1234" t="s">
        <v>1008</v>
      </c>
    </row>
    <row r="1235" spans="1:28" hidden="1" x14ac:dyDescent="0.2">
      <c r="A1235" s="4">
        <v>44496</v>
      </c>
      <c r="D1235" s="5">
        <v>0.91848379629629628</v>
      </c>
      <c r="E1235">
        <v>-76.676271670000006</v>
      </c>
      <c r="F1235">
        <v>3.4021083330000002</v>
      </c>
      <c r="G1235">
        <v>2987</v>
      </c>
      <c r="H1235" t="e">
        <f t="shared" si="9"/>
        <v>#DIV/0!</v>
      </c>
      <c r="I1235">
        <v>2021</v>
      </c>
      <c r="J1235" t="e">
        <f t="shared" si="10"/>
        <v>#DIV/0!</v>
      </c>
      <c r="K1235" t="e">
        <f t="shared" si="11"/>
        <v>#DIV/0!</v>
      </c>
      <c r="M1235" t="s">
        <v>916</v>
      </c>
      <c r="O1235" t="s">
        <v>40</v>
      </c>
      <c r="P1235" t="s">
        <v>1146</v>
      </c>
      <c r="R1235" t="s">
        <v>921</v>
      </c>
      <c r="S1235" t="s">
        <v>995</v>
      </c>
      <c r="T1235" t="s">
        <v>54</v>
      </c>
      <c r="U1235" t="s">
        <v>925</v>
      </c>
      <c r="V1235">
        <v>1</v>
      </c>
      <c r="AB1235" t="s">
        <v>1008</v>
      </c>
    </row>
    <row r="1236" spans="1:28" hidden="1" x14ac:dyDescent="0.2">
      <c r="A1236" s="4">
        <v>44490</v>
      </c>
      <c r="D1236" s="5">
        <v>0.85724537037037041</v>
      </c>
      <c r="E1236">
        <v>-76.643213329999995</v>
      </c>
      <c r="F1236">
        <v>3.3496233329999998</v>
      </c>
      <c r="G1236">
        <v>2375</v>
      </c>
      <c r="H1236" t="e">
        <f t="shared" si="9"/>
        <v>#DIV/0!</v>
      </c>
      <c r="I1236">
        <v>2021</v>
      </c>
      <c r="J1236" t="e">
        <f t="shared" si="10"/>
        <v>#DIV/0!</v>
      </c>
      <c r="K1236" t="e">
        <f t="shared" si="11"/>
        <v>#DIV/0!</v>
      </c>
      <c r="M1236" t="s">
        <v>624</v>
      </c>
      <c r="O1236" t="s">
        <v>38</v>
      </c>
      <c r="P1236" t="s">
        <v>625</v>
      </c>
      <c r="R1236" t="s">
        <v>921</v>
      </c>
      <c r="U1236" t="s">
        <v>36</v>
      </c>
      <c r="V1236">
        <v>0</v>
      </c>
    </row>
    <row r="1237" spans="1:28" hidden="1" x14ac:dyDescent="0.2">
      <c r="A1237" s="4">
        <v>44490</v>
      </c>
      <c r="D1237" s="5">
        <v>0.81622685185185184</v>
      </c>
      <c r="E1237">
        <v>-76.642165000000006</v>
      </c>
      <c r="F1237">
        <v>3.349681667</v>
      </c>
      <c r="G1237">
        <v>2315</v>
      </c>
      <c r="H1237" t="e">
        <f t="shared" si="9"/>
        <v>#DIV/0!</v>
      </c>
      <c r="I1237">
        <v>2021</v>
      </c>
      <c r="J1237" t="e">
        <f t="shared" si="10"/>
        <v>#DIV/0!</v>
      </c>
      <c r="K1237" t="e">
        <f t="shared" si="11"/>
        <v>#DIV/0!</v>
      </c>
      <c r="M1237" t="s">
        <v>624</v>
      </c>
      <c r="O1237" t="s">
        <v>32</v>
      </c>
      <c r="P1237" t="s">
        <v>734</v>
      </c>
      <c r="R1237" t="s">
        <v>921</v>
      </c>
      <c r="S1237" t="s">
        <v>945</v>
      </c>
      <c r="T1237" t="s">
        <v>54</v>
      </c>
      <c r="U1237" t="s">
        <v>238</v>
      </c>
      <c r="V1237">
        <v>1</v>
      </c>
      <c r="AB1237" t="s">
        <v>1008</v>
      </c>
    </row>
    <row r="1238" spans="1:28" hidden="1" x14ac:dyDescent="0.2">
      <c r="A1238" s="4">
        <v>44490</v>
      </c>
      <c r="D1238" s="5">
        <v>0.80651620370370369</v>
      </c>
      <c r="E1238">
        <v>-76.641554999999997</v>
      </c>
      <c r="F1238">
        <v>3.3497783330000002</v>
      </c>
      <c r="G1238">
        <v>2344</v>
      </c>
      <c r="H1238" t="e">
        <f t="shared" si="9"/>
        <v>#DIV/0!</v>
      </c>
      <c r="I1238">
        <v>2021</v>
      </c>
      <c r="J1238" t="e">
        <f t="shared" si="10"/>
        <v>#DIV/0!</v>
      </c>
      <c r="K1238" t="e">
        <f t="shared" si="11"/>
        <v>#DIV/0!</v>
      </c>
      <c r="M1238" t="s">
        <v>624</v>
      </c>
      <c r="O1238" t="s">
        <v>32</v>
      </c>
      <c r="P1238" t="s">
        <v>734</v>
      </c>
      <c r="R1238" t="s">
        <v>921</v>
      </c>
      <c r="S1238" t="s">
        <v>994</v>
      </c>
      <c r="T1238" t="s">
        <v>54</v>
      </c>
      <c r="U1238" t="s">
        <v>238</v>
      </c>
      <c r="V1238">
        <v>1</v>
      </c>
      <c r="AB1238" t="s">
        <v>1008</v>
      </c>
    </row>
    <row r="1239" spans="1:28" hidden="1" x14ac:dyDescent="0.2">
      <c r="A1239" s="4">
        <v>44490</v>
      </c>
      <c r="D1239" s="5">
        <v>0.81024305555555554</v>
      </c>
      <c r="E1239">
        <v>-76.641706670000005</v>
      </c>
      <c r="F1239">
        <v>3.3496933329999998</v>
      </c>
      <c r="G1239">
        <v>2334</v>
      </c>
      <c r="H1239" t="e">
        <f t="shared" si="9"/>
        <v>#DIV/0!</v>
      </c>
      <c r="I1239">
        <v>2021</v>
      </c>
      <c r="J1239" t="e">
        <f t="shared" si="10"/>
        <v>#DIV/0!</v>
      </c>
      <c r="K1239" t="e">
        <f t="shared" si="11"/>
        <v>#DIV/0!</v>
      </c>
      <c r="M1239" t="s">
        <v>624</v>
      </c>
      <c r="O1239" t="s">
        <v>32</v>
      </c>
      <c r="P1239" t="s">
        <v>734</v>
      </c>
      <c r="R1239" t="s">
        <v>921</v>
      </c>
      <c r="S1239" t="s">
        <v>945</v>
      </c>
      <c r="T1239" t="s">
        <v>54</v>
      </c>
      <c r="U1239" t="s">
        <v>238</v>
      </c>
      <c r="V1239">
        <v>1</v>
      </c>
      <c r="AB1239" t="s">
        <v>1008</v>
      </c>
    </row>
    <row r="1240" spans="1:28" hidden="1" x14ac:dyDescent="0.2">
      <c r="A1240" s="4">
        <v>44490</v>
      </c>
      <c r="D1240" s="5">
        <v>0.8041666666666667</v>
      </c>
      <c r="E1240">
        <v>-76.641445000000004</v>
      </c>
      <c r="F1240">
        <v>3.3498716669999999</v>
      </c>
      <c r="G1240">
        <v>2340</v>
      </c>
      <c r="H1240" t="e">
        <f t="shared" si="9"/>
        <v>#DIV/0!</v>
      </c>
      <c r="I1240">
        <v>2021</v>
      </c>
      <c r="J1240" t="e">
        <f t="shared" si="10"/>
        <v>#DIV/0!</v>
      </c>
      <c r="K1240" t="e">
        <f t="shared" si="11"/>
        <v>#DIV/0!</v>
      </c>
      <c r="M1240" t="s">
        <v>624</v>
      </c>
      <c r="O1240" t="s">
        <v>32</v>
      </c>
      <c r="P1240" t="s">
        <v>734</v>
      </c>
      <c r="R1240" t="s">
        <v>921</v>
      </c>
      <c r="S1240" t="s">
        <v>945</v>
      </c>
      <c r="T1240" t="s">
        <v>54</v>
      </c>
      <c r="U1240" t="s">
        <v>238</v>
      </c>
      <c r="V1240">
        <v>1</v>
      </c>
      <c r="AB1240" t="s">
        <v>1008</v>
      </c>
    </row>
    <row r="1241" spans="1:28" hidden="1" x14ac:dyDescent="0.2">
      <c r="A1241" s="4">
        <v>44490</v>
      </c>
      <c r="D1241" s="5">
        <v>0.82618055555555558</v>
      </c>
      <c r="E1241">
        <v>-76.642523330000003</v>
      </c>
      <c r="F1241">
        <v>3.349373333</v>
      </c>
      <c r="G1241">
        <v>2324</v>
      </c>
      <c r="H1241" t="e">
        <f t="shared" si="9"/>
        <v>#DIV/0!</v>
      </c>
      <c r="I1241">
        <v>2021</v>
      </c>
      <c r="J1241" t="e">
        <f t="shared" si="10"/>
        <v>#DIV/0!</v>
      </c>
      <c r="K1241" t="e">
        <f t="shared" si="11"/>
        <v>#DIV/0!</v>
      </c>
      <c r="M1241" t="s">
        <v>624</v>
      </c>
      <c r="O1241" t="s">
        <v>40</v>
      </c>
      <c r="P1241" t="s">
        <v>625</v>
      </c>
      <c r="R1241" t="s">
        <v>921</v>
      </c>
      <c r="S1241" t="s">
        <v>994</v>
      </c>
      <c r="T1241" t="s">
        <v>91</v>
      </c>
      <c r="U1241" t="s">
        <v>238</v>
      </c>
      <c r="V1241">
        <v>1</v>
      </c>
      <c r="AB1241" t="s">
        <v>1008</v>
      </c>
    </row>
    <row r="1242" spans="1:28" hidden="1" x14ac:dyDescent="0.2">
      <c r="A1242" s="4">
        <v>44490</v>
      </c>
      <c r="D1242" s="5">
        <v>0.8300925925925926</v>
      </c>
      <c r="E1242">
        <v>-76.642473330000001</v>
      </c>
      <c r="F1242">
        <v>3.3491616670000002</v>
      </c>
      <c r="G1242">
        <v>2334</v>
      </c>
      <c r="H1242" t="e">
        <f t="shared" si="9"/>
        <v>#DIV/0!</v>
      </c>
      <c r="I1242">
        <v>2021</v>
      </c>
      <c r="J1242" t="e">
        <f t="shared" si="10"/>
        <v>#DIV/0!</v>
      </c>
      <c r="K1242" t="e">
        <f t="shared" si="11"/>
        <v>#DIV/0!</v>
      </c>
      <c r="M1242" t="s">
        <v>624</v>
      </c>
      <c r="O1242" t="s">
        <v>40</v>
      </c>
      <c r="P1242" t="s">
        <v>625</v>
      </c>
      <c r="R1242" t="s">
        <v>921</v>
      </c>
      <c r="S1242" t="s">
        <v>994</v>
      </c>
      <c r="T1242" t="s">
        <v>54</v>
      </c>
      <c r="U1242" t="s">
        <v>238</v>
      </c>
      <c r="V1242">
        <v>1</v>
      </c>
      <c r="AB1242" t="s">
        <v>1008</v>
      </c>
    </row>
    <row r="1243" spans="1:28" hidden="1" x14ac:dyDescent="0.2">
      <c r="A1243" s="4">
        <v>44490</v>
      </c>
      <c r="D1243" s="5">
        <v>0.79200231481481487</v>
      </c>
      <c r="E1243">
        <v>-76.64076</v>
      </c>
      <c r="F1243">
        <v>3.3500700000000001</v>
      </c>
      <c r="G1243">
        <v>2339</v>
      </c>
      <c r="H1243" t="e">
        <f t="shared" si="9"/>
        <v>#DIV/0!</v>
      </c>
      <c r="I1243">
        <v>2021</v>
      </c>
      <c r="J1243" t="e">
        <f t="shared" si="10"/>
        <v>#DIV/0!</v>
      </c>
      <c r="K1243" t="e">
        <f t="shared" si="11"/>
        <v>#DIV/0!</v>
      </c>
      <c r="M1243" t="s">
        <v>624</v>
      </c>
      <c r="O1243" t="s">
        <v>38</v>
      </c>
      <c r="P1243" t="s">
        <v>734</v>
      </c>
      <c r="R1243" t="s">
        <v>921</v>
      </c>
      <c r="S1243" t="s">
        <v>945</v>
      </c>
      <c r="T1243" t="s">
        <v>54</v>
      </c>
      <c r="U1243" t="s">
        <v>238</v>
      </c>
      <c r="V1243">
        <v>1</v>
      </c>
      <c r="AB1243" t="s">
        <v>1008</v>
      </c>
    </row>
    <row r="1244" spans="1:28" hidden="1" x14ac:dyDescent="0.2">
      <c r="A1244" s="4">
        <v>44490</v>
      </c>
      <c r="D1244" s="5">
        <v>0.92461805555555554</v>
      </c>
      <c r="E1244">
        <v>-76.646711670000002</v>
      </c>
      <c r="F1244">
        <v>3.3497650000000001</v>
      </c>
      <c r="G1244">
        <v>2403</v>
      </c>
      <c r="H1244" t="e">
        <f t="shared" si="9"/>
        <v>#DIV/0!</v>
      </c>
      <c r="I1244">
        <v>2021</v>
      </c>
      <c r="J1244" t="e">
        <f t="shared" si="10"/>
        <v>#DIV/0!</v>
      </c>
      <c r="K1244" t="e">
        <f t="shared" si="11"/>
        <v>#DIV/0!</v>
      </c>
      <c r="M1244" t="s">
        <v>624</v>
      </c>
      <c r="O1244" t="s">
        <v>40</v>
      </c>
      <c r="P1244" t="s">
        <v>643</v>
      </c>
      <c r="U1244" t="s">
        <v>36</v>
      </c>
      <c r="V1244">
        <v>0</v>
      </c>
    </row>
    <row r="1245" spans="1:28" hidden="1" x14ac:dyDescent="0.2">
      <c r="A1245" s="4">
        <v>44490</v>
      </c>
      <c r="D1245" s="5">
        <v>0.77702546296296293</v>
      </c>
      <c r="E1245">
        <v>-76.639696670000006</v>
      </c>
      <c r="F1245">
        <v>3.3507766669999999</v>
      </c>
      <c r="G1245">
        <v>2349</v>
      </c>
      <c r="H1245" t="e">
        <f t="shared" ref="H1245:H1255" si="12">AVERAGE(Z1245,AE1245)</f>
        <v>#DIV/0!</v>
      </c>
      <c r="I1245">
        <v>2021</v>
      </c>
      <c r="J1245" t="e">
        <f t="shared" ref="J1245:J1255" si="13">AVERAGE(AD1245,AI1245)</f>
        <v>#DIV/0!</v>
      </c>
      <c r="K1245" t="e">
        <f t="shared" ref="K1245:K1255" si="14">AVERAGE(AA1245,AF1245)</f>
        <v>#DIV/0!</v>
      </c>
      <c r="M1245" t="s">
        <v>624</v>
      </c>
      <c r="O1245" t="s">
        <v>40</v>
      </c>
      <c r="P1245" t="s">
        <v>734</v>
      </c>
      <c r="R1245" t="s">
        <v>921</v>
      </c>
      <c r="S1245" t="s">
        <v>945</v>
      </c>
      <c r="T1245" t="s">
        <v>54</v>
      </c>
      <c r="U1245" t="s">
        <v>929</v>
      </c>
      <c r="V1245">
        <v>1</v>
      </c>
      <c r="W1245" t="s">
        <v>1136</v>
      </c>
      <c r="AB1245" t="s">
        <v>1008</v>
      </c>
    </row>
    <row r="1246" spans="1:28" hidden="1" x14ac:dyDescent="0.2">
      <c r="A1246" s="4">
        <v>44490</v>
      </c>
      <c r="D1246" s="5">
        <v>0.78506944444444449</v>
      </c>
      <c r="E1246">
        <v>-76.640253329999993</v>
      </c>
      <c r="F1246">
        <v>3.3506100000000001</v>
      </c>
      <c r="G1246">
        <v>2340</v>
      </c>
      <c r="H1246" t="e">
        <f t="shared" si="12"/>
        <v>#DIV/0!</v>
      </c>
      <c r="I1246">
        <v>2021</v>
      </c>
      <c r="J1246" t="e">
        <f t="shared" si="13"/>
        <v>#DIV/0!</v>
      </c>
      <c r="K1246" t="e">
        <f t="shared" si="14"/>
        <v>#DIV/0!</v>
      </c>
      <c r="M1246" t="s">
        <v>624</v>
      </c>
      <c r="O1246" t="s">
        <v>40</v>
      </c>
      <c r="P1246" t="s">
        <v>734</v>
      </c>
      <c r="R1246" t="s">
        <v>921</v>
      </c>
      <c r="S1246" t="s">
        <v>994</v>
      </c>
      <c r="T1246" t="s">
        <v>54</v>
      </c>
      <c r="U1246" t="s">
        <v>238</v>
      </c>
      <c r="V1246">
        <v>1</v>
      </c>
      <c r="AB1246" t="s">
        <v>1008</v>
      </c>
    </row>
    <row r="1247" spans="1:28" hidden="1" x14ac:dyDescent="0.2">
      <c r="A1247" s="4">
        <v>44490</v>
      </c>
      <c r="D1247" s="5">
        <v>0.7740393518518518</v>
      </c>
      <c r="E1247">
        <v>-76.639403329999993</v>
      </c>
      <c r="F1247">
        <v>3.3507799999999999</v>
      </c>
      <c r="G1247">
        <v>2346</v>
      </c>
      <c r="H1247" t="e">
        <f t="shared" si="12"/>
        <v>#DIV/0!</v>
      </c>
      <c r="I1247">
        <v>2021</v>
      </c>
      <c r="J1247" t="e">
        <f t="shared" si="13"/>
        <v>#DIV/0!</v>
      </c>
      <c r="K1247" t="e">
        <f t="shared" si="14"/>
        <v>#DIV/0!</v>
      </c>
      <c r="M1247" t="s">
        <v>624</v>
      </c>
      <c r="O1247" t="s">
        <v>40</v>
      </c>
      <c r="P1247" t="s">
        <v>734</v>
      </c>
      <c r="R1247" t="s">
        <v>921</v>
      </c>
      <c r="S1247" t="s">
        <v>945</v>
      </c>
      <c r="T1247" t="s">
        <v>54</v>
      </c>
      <c r="U1247" t="s">
        <v>238</v>
      </c>
      <c r="V1247">
        <v>1</v>
      </c>
      <c r="AB1247" t="s">
        <v>1008</v>
      </c>
    </row>
    <row r="1248" spans="1:28" hidden="1" x14ac:dyDescent="0.2">
      <c r="A1248" s="4">
        <v>44490</v>
      </c>
      <c r="D1248" s="5">
        <v>0.91521990740740744</v>
      </c>
      <c r="E1248">
        <v>-76.645433330000003</v>
      </c>
      <c r="F1248">
        <v>3.349675</v>
      </c>
      <c r="G1248">
        <v>2435</v>
      </c>
      <c r="H1248" t="e">
        <f t="shared" si="12"/>
        <v>#DIV/0!</v>
      </c>
      <c r="I1248">
        <v>2021</v>
      </c>
      <c r="J1248" t="e">
        <f t="shared" si="13"/>
        <v>#DIV/0!</v>
      </c>
      <c r="K1248" t="e">
        <f t="shared" si="14"/>
        <v>#DIV/0!</v>
      </c>
      <c r="M1248" t="s">
        <v>624</v>
      </c>
      <c r="O1248" t="s">
        <v>47</v>
      </c>
      <c r="P1248" t="s">
        <v>643</v>
      </c>
      <c r="R1248" t="s">
        <v>258</v>
      </c>
      <c r="S1248" t="s">
        <v>945</v>
      </c>
      <c r="T1248" t="s">
        <v>54</v>
      </c>
      <c r="U1248" t="s">
        <v>252</v>
      </c>
      <c r="V1248">
        <v>1</v>
      </c>
      <c r="AB1248" t="s">
        <v>66</v>
      </c>
    </row>
    <row r="1249" spans="1:28" hidden="1" x14ac:dyDescent="0.2">
      <c r="A1249" s="4">
        <v>44490</v>
      </c>
      <c r="D1249" s="5">
        <v>0.90069444444444446</v>
      </c>
      <c r="E1249">
        <v>-76.643691669999995</v>
      </c>
      <c r="F1249">
        <v>3.3495599999999999</v>
      </c>
      <c r="G1249">
        <v>2447</v>
      </c>
      <c r="H1249" t="e">
        <f t="shared" si="12"/>
        <v>#DIV/0!</v>
      </c>
      <c r="I1249">
        <v>2021</v>
      </c>
      <c r="J1249" t="e">
        <f t="shared" si="13"/>
        <v>#DIV/0!</v>
      </c>
      <c r="K1249" t="e">
        <f t="shared" si="14"/>
        <v>#DIV/0!</v>
      </c>
      <c r="M1249" t="s">
        <v>624</v>
      </c>
      <c r="O1249" t="s">
        <v>32</v>
      </c>
      <c r="P1249" t="s">
        <v>625</v>
      </c>
      <c r="R1249" t="s">
        <v>921</v>
      </c>
      <c r="S1249" t="s">
        <v>945</v>
      </c>
      <c r="T1249" t="s">
        <v>54</v>
      </c>
      <c r="U1249" t="s">
        <v>238</v>
      </c>
      <c r="V1249">
        <v>1</v>
      </c>
      <c r="AB1249" t="s">
        <v>1008</v>
      </c>
    </row>
    <row r="1250" spans="1:28" hidden="1" x14ac:dyDescent="0.2">
      <c r="A1250" s="4">
        <v>44490</v>
      </c>
      <c r="D1250" s="5">
        <v>0.88982638888888888</v>
      </c>
      <c r="E1250">
        <v>-76.643649999999994</v>
      </c>
      <c r="F1250">
        <v>3.3494833329999998</v>
      </c>
      <c r="G1250">
        <v>2444</v>
      </c>
      <c r="H1250" t="e">
        <f t="shared" si="12"/>
        <v>#DIV/0!</v>
      </c>
      <c r="I1250">
        <v>2021</v>
      </c>
      <c r="J1250" t="e">
        <f t="shared" si="13"/>
        <v>#DIV/0!</v>
      </c>
      <c r="K1250" t="e">
        <f t="shared" si="14"/>
        <v>#DIV/0!</v>
      </c>
      <c r="M1250" t="s">
        <v>624</v>
      </c>
      <c r="O1250" t="s">
        <v>32</v>
      </c>
      <c r="P1250" t="s">
        <v>625</v>
      </c>
      <c r="R1250" t="s">
        <v>921</v>
      </c>
      <c r="S1250" t="s">
        <v>945</v>
      </c>
      <c r="T1250" t="s">
        <v>54</v>
      </c>
      <c r="U1250" t="s">
        <v>316</v>
      </c>
      <c r="V1250">
        <v>1</v>
      </c>
      <c r="AB1250" t="s">
        <v>1008</v>
      </c>
    </row>
    <row r="1251" spans="1:28" hidden="1" x14ac:dyDescent="0.2">
      <c r="A1251" s="4">
        <v>44490</v>
      </c>
      <c r="D1251" s="5">
        <v>0.88982638888888888</v>
      </c>
      <c r="E1251">
        <v>-76.643649999999994</v>
      </c>
      <c r="F1251">
        <v>3.3494833329999998</v>
      </c>
      <c r="G1251">
        <v>2444</v>
      </c>
      <c r="H1251" t="e">
        <f t="shared" si="12"/>
        <v>#DIV/0!</v>
      </c>
      <c r="I1251">
        <v>2021</v>
      </c>
      <c r="J1251" t="e">
        <f t="shared" si="13"/>
        <v>#DIV/0!</v>
      </c>
      <c r="K1251" t="e">
        <f t="shared" si="14"/>
        <v>#DIV/0!</v>
      </c>
      <c r="M1251" t="s">
        <v>624</v>
      </c>
      <c r="O1251" t="s">
        <v>32</v>
      </c>
      <c r="P1251" t="s">
        <v>625</v>
      </c>
      <c r="R1251" t="s">
        <v>921</v>
      </c>
      <c r="S1251" t="s">
        <v>945</v>
      </c>
      <c r="T1251" t="s">
        <v>91</v>
      </c>
      <c r="U1251" t="s">
        <v>929</v>
      </c>
      <c r="V1251">
        <v>1</v>
      </c>
      <c r="W1251" t="s">
        <v>1136</v>
      </c>
      <c r="AB1251" t="s">
        <v>1008</v>
      </c>
    </row>
    <row r="1252" spans="1:28" hidden="1" x14ac:dyDescent="0.2">
      <c r="A1252" s="4">
        <v>44490</v>
      </c>
      <c r="D1252" s="5">
        <v>0.89835648148148151</v>
      </c>
      <c r="E1252">
        <v>-76.643743330000007</v>
      </c>
      <c r="F1252">
        <v>3.3496266669999999</v>
      </c>
      <c r="G1252">
        <v>2446</v>
      </c>
      <c r="H1252" t="e">
        <f t="shared" si="12"/>
        <v>#DIV/0!</v>
      </c>
      <c r="I1252">
        <v>2021</v>
      </c>
      <c r="J1252" t="e">
        <f t="shared" si="13"/>
        <v>#DIV/0!</v>
      </c>
      <c r="K1252" t="e">
        <f t="shared" si="14"/>
        <v>#DIV/0!</v>
      </c>
      <c r="M1252" t="s">
        <v>624</v>
      </c>
      <c r="O1252" t="s">
        <v>32</v>
      </c>
      <c r="P1252" t="s">
        <v>625</v>
      </c>
      <c r="R1252" t="s">
        <v>921</v>
      </c>
      <c r="S1252" t="s">
        <v>994</v>
      </c>
      <c r="T1252" t="s">
        <v>54</v>
      </c>
      <c r="U1252" t="s">
        <v>238</v>
      </c>
      <c r="V1252">
        <v>1</v>
      </c>
      <c r="AB1252" t="s">
        <v>1008</v>
      </c>
    </row>
    <row r="1253" spans="1:28" hidden="1" x14ac:dyDescent="0.2">
      <c r="A1253" s="4">
        <v>44488</v>
      </c>
      <c r="D1253" s="5">
        <v>0.83791666666666664</v>
      </c>
      <c r="E1253">
        <v>-76.647133330000003</v>
      </c>
      <c r="F1253">
        <v>3.3495750000000002</v>
      </c>
      <c r="G1253">
        <v>2394</v>
      </c>
      <c r="H1253" t="e">
        <f t="shared" si="12"/>
        <v>#DIV/0!</v>
      </c>
      <c r="I1253">
        <v>2021</v>
      </c>
      <c r="J1253" t="e">
        <f t="shared" si="13"/>
        <v>#DIV/0!</v>
      </c>
      <c r="K1253" t="e">
        <f t="shared" si="14"/>
        <v>#DIV/0!</v>
      </c>
      <c r="M1253" t="s">
        <v>624</v>
      </c>
      <c r="O1253" t="s">
        <v>38</v>
      </c>
      <c r="P1253" t="s">
        <v>643</v>
      </c>
      <c r="R1253" t="s">
        <v>922</v>
      </c>
      <c r="S1253" t="s">
        <v>945</v>
      </c>
      <c r="T1253" t="s">
        <v>54</v>
      </c>
      <c r="U1253" t="s">
        <v>371</v>
      </c>
      <c r="V1253">
        <v>1</v>
      </c>
      <c r="W1253" t="s">
        <v>65</v>
      </c>
      <c r="AB1253" t="s">
        <v>1008</v>
      </c>
    </row>
    <row r="1254" spans="1:28" hidden="1" x14ac:dyDescent="0.2">
      <c r="A1254" s="4">
        <v>44488</v>
      </c>
      <c r="D1254" s="5">
        <v>0.83791666666666664</v>
      </c>
      <c r="E1254">
        <v>-76.647133330000003</v>
      </c>
      <c r="F1254">
        <v>3.3495750000000002</v>
      </c>
      <c r="G1254">
        <v>2394</v>
      </c>
      <c r="H1254" t="e">
        <f t="shared" si="12"/>
        <v>#DIV/0!</v>
      </c>
      <c r="I1254">
        <v>2021</v>
      </c>
      <c r="J1254" t="e">
        <f t="shared" si="13"/>
        <v>#DIV/0!</v>
      </c>
      <c r="K1254" t="e">
        <f t="shared" si="14"/>
        <v>#DIV/0!</v>
      </c>
      <c r="M1254" t="s">
        <v>624</v>
      </c>
      <c r="O1254" t="s">
        <v>38</v>
      </c>
      <c r="P1254" t="s">
        <v>643</v>
      </c>
      <c r="R1254" t="s">
        <v>922</v>
      </c>
      <c r="S1254" t="s">
        <v>945</v>
      </c>
      <c r="T1254" t="s">
        <v>54</v>
      </c>
      <c r="U1254" t="s">
        <v>252</v>
      </c>
      <c r="V1254">
        <v>1</v>
      </c>
      <c r="W1254" t="s">
        <v>160</v>
      </c>
      <c r="AB1254" t="s">
        <v>1008</v>
      </c>
    </row>
    <row r="1255" spans="1:28" hidden="1" x14ac:dyDescent="0.2">
      <c r="A1255" s="4">
        <v>44488</v>
      </c>
      <c r="D1255" s="5">
        <v>0.87254629629629632</v>
      </c>
      <c r="E1255">
        <v>-76.647544999999994</v>
      </c>
      <c r="F1255">
        <v>3.3481666670000001</v>
      </c>
      <c r="H1255" t="e">
        <f t="shared" si="12"/>
        <v>#DIV/0!</v>
      </c>
      <c r="I1255">
        <v>2021</v>
      </c>
      <c r="J1255" t="e">
        <f t="shared" si="13"/>
        <v>#DIV/0!</v>
      </c>
      <c r="K1255" t="e">
        <f t="shared" si="14"/>
        <v>#DIV/0!</v>
      </c>
      <c r="M1255" t="s">
        <v>624</v>
      </c>
      <c r="O1255" t="s">
        <v>32</v>
      </c>
      <c r="P1255" t="s">
        <v>643</v>
      </c>
      <c r="U1255" t="s">
        <v>36</v>
      </c>
      <c r="V1255">
        <v>0</v>
      </c>
    </row>
    <row r="1256" spans="1:28" hidden="1" x14ac:dyDescent="0.2">
      <c r="A1256" s="1">
        <v>44908</v>
      </c>
      <c r="D1256" s="5">
        <v>0.70988425925925924</v>
      </c>
      <c r="E1256">
        <v>-76.880313330000007</v>
      </c>
      <c r="F1256">
        <v>3.5793683330000001</v>
      </c>
      <c r="G1256">
        <v>630</v>
      </c>
      <c r="H1256" t="e">
        <f>AVERAGE(Z1256,AE1256)</f>
        <v>#DIV/0!</v>
      </c>
      <c r="I1256">
        <v>2022</v>
      </c>
      <c r="J1256" t="e">
        <f>AVERAGE(AD1256,AI1256)</f>
        <v>#DIV/0!</v>
      </c>
      <c r="K1256" t="e">
        <f>AVERAGE(AA1256,AF1256)</f>
        <v>#DIV/0!</v>
      </c>
      <c r="M1256" t="s">
        <v>30</v>
      </c>
      <c r="O1256" t="s">
        <v>47</v>
      </c>
      <c r="P1256" t="s">
        <v>98</v>
      </c>
      <c r="R1256" t="s">
        <v>921</v>
      </c>
      <c r="S1256" t="s">
        <v>996</v>
      </c>
      <c r="T1256" t="s">
        <v>42</v>
      </c>
      <c r="U1256" t="s">
        <v>43</v>
      </c>
      <c r="V1256">
        <v>1</v>
      </c>
      <c r="AB1256" t="s">
        <v>66</v>
      </c>
    </row>
    <row r="1257" spans="1:28" hidden="1" x14ac:dyDescent="0.2">
      <c r="A1257" s="1">
        <v>44908</v>
      </c>
      <c r="D1257" s="5">
        <v>0.70230324074074069</v>
      </c>
      <c r="E1257">
        <v>-76.880463329999998</v>
      </c>
      <c r="F1257">
        <v>3.578906667</v>
      </c>
      <c r="G1257">
        <v>620</v>
      </c>
      <c r="H1257" t="e">
        <f t="shared" ref="H1257:H1320" si="15">AVERAGE(Z1257,AE1257)</f>
        <v>#DIV/0!</v>
      </c>
      <c r="I1257">
        <v>2022</v>
      </c>
      <c r="J1257" t="e">
        <f t="shared" ref="J1257:J1320" si="16">AVERAGE(AD1257,AI1257)</f>
        <v>#DIV/0!</v>
      </c>
      <c r="K1257" t="e">
        <f t="shared" ref="K1257:K1320" si="17">AVERAGE(AA1257,AF1257)</f>
        <v>#DIV/0!</v>
      </c>
      <c r="M1257" t="s">
        <v>30</v>
      </c>
      <c r="O1257" t="s">
        <v>47</v>
      </c>
      <c r="P1257" t="s">
        <v>98</v>
      </c>
      <c r="R1257" t="s">
        <v>921</v>
      </c>
      <c r="S1257" t="s">
        <v>997</v>
      </c>
      <c r="T1257" t="s">
        <v>42</v>
      </c>
      <c r="U1257" t="s">
        <v>43</v>
      </c>
      <c r="V1257">
        <v>1</v>
      </c>
      <c r="AB1257" t="s">
        <v>1008</v>
      </c>
    </row>
    <row r="1258" spans="1:28" hidden="1" x14ac:dyDescent="0.2">
      <c r="A1258" s="1">
        <v>44908</v>
      </c>
      <c r="D1258" s="5">
        <v>0.72038194444444448</v>
      </c>
      <c r="E1258">
        <v>-76.880448329999993</v>
      </c>
      <c r="F1258">
        <v>3.579681667</v>
      </c>
      <c r="G1258">
        <v>620</v>
      </c>
      <c r="H1258" t="e">
        <f t="shared" si="15"/>
        <v>#DIV/0!</v>
      </c>
      <c r="I1258">
        <v>2022</v>
      </c>
      <c r="J1258" t="e">
        <f t="shared" si="16"/>
        <v>#DIV/0!</v>
      </c>
      <c r="K1258" t="e">
        <f t="shared" si="17"/>
        <v>#DIV/0!</v>
      </c>
      <c r="M1258" t="s">
        <v>30</v>
      </c>
      <c r="O1258" t="s">
        <v>47</v>
      </c>
      <c r="P1258" t="s">
        <v>98</v>
      </c>
      <c r="R1258" t="s">
        <v>921</v>
      </c>
      <c r="S1258" t="s">
        <v>945</v>
      </c>
      <c r="T1258" t="s">
        <v>42</v>
      </c>
      <c r="U1258" t="s">
        <v>43</v>
      </c>
      <c r="V1258">
        <v>2</v>
      </c>
      <c r="AB1258" t="s">
        <v>66</v>
      </c>
    </row>
    <row r="1259" spans="1:28" hidden="1" x14ac:dyDescent="0.2">
      <c r="A1259" s="1">
        <v>44869</v>
      </c>
      <c r="D1259" s="5">
        <v>0.7996064814814815</v>
      </c>
      <c r="E1259">
        <v>-76.689008329999993</v>
      </c>
      <c r="F1259">
        <v>3.4076616670000002</v>
      </c>
      <c r="H1259" t="e">
        <f t="shared" si="15"/>
        <v>#DIV/0!</v>
      </c>
      <c r="I1259">
        <v>2022</v>
      </c>
      <c r="J1259" t="e">
        <f t="shared" si="16"/>
        <v>#DIV/0!</v>
      </c>
      <c r="K1259" t="e">
        <f t="shared" si="17"/>
        <v>#DIV/0!</v>
      </c>
      <c r="M1259" t="s">
        <v>916</v>
      </c>
      <c r="O1259" t="s">
        <v>38</v>
      </c>
      <c r="P1259" t="s">
        <v>1152</v>
      </c>
      <c r="S1259" t="s">
        <v>947</v>
      </c>
      <c r="U1259" t="s">
        <v>36</v>
      </c>
      <c r="V1259">
        <v>0</v>
      </c>
    </row>
    <row r="1260" spans="1:28" hidden="1" x14ac:dyDescent="0.2">
      <c r="A1260" s="1">
        <v>44869</v>
      </c>
      <c r="D1260" s="5">
        <v>0.80417824074074074</v>
      </c>
      <c r="E1260">
        <v>-76.688731669999996</v>
      </c>
      <c r="F1260">
        <v>3.4073883330000001</v>
      </c>
      <c r="G1260">
        <v>3383</v>
      </c>
      <c r="H1260" t="e">
        <f t="shared" si="15"/>
        <v>#DIV/0!</v>
      </c>
      <c r="I1260">
        <v>2022</v>
      </c>
      <c r="J1260" t="e">
        <f t="shared" si="16"/>
        <v>#DIV/0!</v>
      </c>
      <c r="K1260" t="e">
        <f t="shared" si="17"/>
        <v>#DIV/0!</v>
      </c>
      <c r="M1260" t="s">
        <v>916</v>
      </c>
      <c r="O1260" t="s">
        <v>32</v>
      </c>
      <c r="P1260" t="s">
        <v>1152</v>
      </c>
      <c r="R1260" t="s">
        <v>921</v>
      </c>
      <c r="S1260" t="s">
        <v>947</v>
      </c>
      <c r="T1260" t="s">
        <v>42</v>
      </c>
      <c r="U1260" t="s">
        <v>927</v>
      </c>
      <c r="V1260">
        <v>2</v>
      </c>
      <c r="AB1260" t="s">
        <v>66</v>
      </c>
    </row>
    <row r="1261" spans="1:28" hidden="1" x14ac:dyDescent="0.2">
      <c r="A1261" s="1">
        <v>44869</v>
      </c>
      <c r="D1261" s="5">
        <v>0.76616898148148149</v>
      </c>
      <c r="E1261">
        <v>-76.690686670000005</v>
      </c>
      <c r="F1261">
        <v>3.4061883329999998</v>
      </c>
      <c r="G1261">
        <v>3383</v>
      </c>
      <c r="H1261" t="e">
        <f t="shared" si="15"/>
        <v>#DIV/0!</v>
      </c>
      <c r="I1261">
        <v>2022</v>
      </c>
      <c r="J1261" t="e">
        <f t="shared" si="16"/>
        <v>#DIV/0!</v>
      </c>
      <c r="K1261" t="e">
        <f t="shared" si="17"/>
        <v>#DIV/0!</v>
      </c>
      <c r="M1261" t="s">
        <v>916</v>
      </c>
      <c r="O1261" t="s">
        <v>47</v>
      </c>
      <c r="P1261" t="s">
        <v>1152</v>
      </c>
      <c r="R1261" t="s">
        <v>258</v>
      </c>
      <c r="S1261" t="s">
        <v>947</v>
      </c>
      <c r="T1261" t="s">
        <v>54</v>
      </c>
      <c r="U1261" t="s">
        <v>924</v>
      </c>
      <c r="V1261">
        <v>3</v>
      </c>
      <c r="AB1261" t="s">
        <v>1008</v>
      </c>
    </row>
    <row r="1262" spans="1:28" hidden="1" x14ac:dyDescent="0.2">
      <c r="A1262" s="1">
        <v>44869</v>
      </c>
      <c r="D1262" s="5">
        <v>0.77351851851851849</v>
      </c>
      <c r="E1262">
        <v>-76.690645000000004</v>
      </c>
      <c r="F1262">
        <v>3.4063050000000001</v>
      </c>
      <c r="H1262" t="e">
        <f t="shared" si="15"/>
        <v>#DIV/0!</v>
      </c>
      <c r="I1262">
        <v>2022</v>
      </c>
      <c r="J1262" t="e">
        <f t="shared" si="16"/>
        <v>#DIV/0!</v>
      </c>
      <c r="K1262" t="e">
        <f t="shared" si="17"/>
        <v>#DIV/0!</v>
      </c>
      <c r="M1262" t="s">
        <v>916</v>
      </c>
      <c r="O1262" t="s">
        <v>47</v>
      </c>
      <c r="P1262" t="s">
        <v>1152</v>
      </c>
      <c r="R1262" t="s">
        <v>258</v>
      </c>
      <c r="S1262" t="s">
        <v>947</v>
      </c>
      <c r="T1262" t="s">
        <v>54</v>
      </c>
      <c r="U1262" t="s">
        <v>924</v>
      </c>
      <c r="V1262">
        <v>1</v>
      </c>
      <c r="AB1262" t="s">
        <v>1008</v>
      </c>
    </row>
    <row r="1263" spans="1:28" hidden="1" x14ac:dyDescent="0.2">
      <c r="A1263" s="1">
        <v>44869</v>
      </c>
      <c r="D1263" s="5">
        <v>0.77351851851851849</v>
      </c>
      <c r="E1263">
        <v>-76.690645000000004</v>
      </c>
      <c r="F1263">
        <v>3.4063050000000001</v>
      </c>
      <c r="G1263">
        <v>3383</v>
      </c>
      <c r="H1263" t="e">
        <f t="shared" si="15"/>
        <v>#DIV/0!</v>
      </c>
      <c r="I1263">
        <v>2022</v>
      </c>
      <c r="J1263" t="e">
        <f t="shared" si="16"/>
        <v>#DIV/0!</v>
      </c>
      <c r="K1263" t="e">
        <f t="shared" si="17"/>
        <v>#DIV/0!</v>
      </c>
      <c r="M1263" t="s">
        <v>916</v>
      </c>
      <c r="O1263" t="s">
        <v>47</v>
      </c>
      <c r="P1263" t="s">
        <v>1152</v>
      </c>
      <c r="R1263" t="s">
        <v>258</v>
      </c>
      <c r="S1263" t="s">
        <v>947</v>
      </c>
      <c r="T1263" t="s">
        <v>54</v>
      </c>
      <c r="U1263" t="s">
        <v>927</v>
      </c>
      <c r="V1263">
        <v>1</v>
      </c>
      <c r="AB1263" t="s">
        <v>66</v>
      </c>
    </row>
    <row r="1264" spans="1:28" hidden="1" x14ac:dyDescent="0.2">
      <c r="A1264" s="1">
        <v>44869</v>
      </c>
      <c r="D1264" s="5">
        <v>0.78135416666666668</v>
      </c>
      <c r="E1264">
        <v>-76.690578329999994</v>
      </c>
      <c r="F1264">
        <v>3.406463333</v>
      </c>
      <c r="G1264">
        <v>3383</v>
      </c>
      <c r="H1264" t="e">
        <f t="shared" si="15"/>
        <v>#DIV/0!</v>
      </c>
      <c r="I1264">
        <v>2022</v>
      </c>
      <c r="J1264" t="e">
        <f t="shared" si="16"/>
        <v>#DIV/0!</v>
      </c>
      <c r="K1264" t="e">
        <f t="shared" si="17"/>
        <v>#DIV/0!</v>
      </c>
      <c r="M1264" t="s">
        <v>916</v>
      </c>
      <c r="O1264" t="s">
        <v>47</v>
      </c>
      <c r="P1264" t="s">
        <v>1152</v>
      </c>
      <c r="R1264" t="s">
        <v>258</v>
      </c>
      <c r="S1264" t="s">
        <v>947</v>
      </c>
      <c r="T1264" t="s">
        <v>54</v>
      </c>
      <c r="U1264" t="s">
        <v>924</v>
      </c>
      <c r="V1264">
        <v>3</v>
      </c>
      <c r="AB1264" t="s">
        <v>66</v>
      </c>
    </row>
    <row r="1265" spans="1:28" hidden="1" x14ac:dyDescent="0.2">
      <c r="A1265" s="1">
        <v>44869</v>
      </c>
      <c r="D1265" s="5">
        <v>0.78775462962962961</v>
      </c>
      <c r="E1265">
        <v>-76.690568330000005</v>
      </c>
      <c r="F1265">
        <v>3.406656667</v>
      </c>
      <c r="G1265">
        <v>3383</v>
      </c>
      <c r="H1265" t="e">
        <f t="shared" si="15"/>
        <v>#DIV/0!</v>
      </c>
      <c r="I1265">
        <v>2022</v>
      </c>
      <c r="J1265" t="e">
        <f t="shared" si="16"/>
        <v>#DIV/0!</v>
      </c>
      <c r="K1265" t="e">
        <f t="shared" si="17"/>
        <v>#DIV/0!</v>
      </c>
      <c r="M1265" t="s">
        <v>916</v>
      </c>
      <c r="O1265" t="s">
        <v>40</v>
      </c>
      <c r="P1265" t="s">
        <v>1152</v>
      </c>
      <c r="R1265" t="s">
        <v>921</v>
      </c>
      <c r="S1265" t="s">
        <v>947</v>
      </c>
      <c r="T1265" t="s">
        <v>42</v>
      </c>
      <c r="U1265" t="s">
        <v>927</v>
      </c>
      <c r="V1265">
        <v>1</v>
      </c>
      <c r="AB1265" t="s">
        <v>66</v>
      </c>
    </row>
    <row r="1266" spans="1:28" hidden="1" x14ac:dyDescent="0.2">
      <c r="A1266" s="1">
        <v>44898</v>
      </c>
      <c r="D1266" s="5">
        <v>0.81870370370370371</v>
      </c>
      <c r="E1266">
        <v>-76.722443330000004</v>
      </c>
      <c r="F1266">
        <v>3.4774366670000001</v>
      </c>
      <c r="H1266" t="e">
        <f t="shared" si="15"/>
        <v>#DIV/0!</v>
      </c>
      <c r="I1266">
        <v>2022</v>
      </c>
      <c r="J1266" t="e">
        <f t="shared" si="16"/>
        <v>#DIV/0!</v>
      </c>
      <c r="K1266" t="e">
        <f t="shared" si="17"/>
        <v>#DIV/0!</v>
      </c>
      <c r="M1266" t="s">
        <v>247</v>
      </c>
      <c r="O1266" t="s">
        <v>38</v>
      </c>
      <c r="P1266" t="s">
        <v>280</v>
      </c>
      <c r="R1266" t="s">
        <v>921</v>
      </c>
      <c r="S1266" t="s">
        <v>945</v>
      </c>
      <c r="T1266" t="s">
        <v>54</v>
      </c>
      <c r="U1266" t="s">
        <v>296</v>
      </c>
      <c r="V1266">
        <v>1</v>
      </c>
      <c r="AB1266" t="s">
        <v>1008</v>
      </c>
    </row>
    <row r="1267" spans="1:28" hidden="1" x14ac:dyDescent="0.2">
      <c r="A1267" s="1">
        <v>44898</v>
      </c>
      <c r="D1267" s="5">
        <v>0.81870370370370371</v>
      </c>
      <c r="E1267">
        <v>-76.722443330000004</v>
      </c>
      <c r="F1267">
        <v>3.4774366670000001</v>
      </c>
      <c r="H1267" t="e">
        <f t="shared" si="15"/>
        <v>#DIV/0!</v>
      </c>
      <c r="I1267">
        <v>2022</v>
      </c>
      <c r="J1267" t="e">
        <f t="shared" si="16"/>
        <v>#DIV/0!</v>
      </c>
      <c r="K1267" t="e">
        <f t="shared" si="17"/>
        <v>#DIV/0!</v>
      </c>
      <c r="M1267" t="s">
        <v>247</v>
      </c>
      <c r="O1267" t="s">
        <v>38</v>
      </c>
      <c r="P1267" t="s">
        <v>280</v>
      </c>
      <c r="R1267" t="s">
        <v>921</v>
      </c>
      <c r="S1267" t="s">
        <v>946</v>
      </c>
      <c r="T1267" t="s">
        <v>54</v>
      </c>
      <c r="U1267" t="s">
        <v>316</v>
      </c>
      <c r="V1267">
        <v>1</v>
      </c>
      <c r="AB1267" t="s">
        <v>1008</v>
      </c>
    </row>
    <row r="1268" spans="1:28" hidden="1" x14ac:dyDescent="0.2">
      <c r="A1268" s="1">
        <v>44898</v>
      </c>
      <c r="D1268" s="5">
        <v>0.83151620370370372</v>
      </c>
      <c r="E1268">
        <v>-76.722478330000001</v>
      </c>
      <c r="F1268">
        <v>3.4775450000000001</v>
      </c>
      <c r="G1268">
        <v>2100</v>
      </c>
      <c r="H1268" t="e">
        <f t="shared" si="15"/>
        <v>#DIV/0!</v>
      </c>
      <c r="I1268">
        <v>2022</v>
      </c>
      <c r="J1268" t="e">
        <f t="shared" si="16"/>
        <v>#DIV/0!</v>
      </c>
      <c r="K1268" t="e">
        <f t="shared" si="17"/>
        <v>#DIV/0!</v>
      </c>
      <c r="M1268" t="s">
        <v>247</v>
      </c>
      <c r="O1268" t="s">
        <v>38</v>
      </c>
      <c r="P1268" t="s">
        <v>280</v>
      </c>
      <c r="R1268" t="s">
        <v>921</v>
      </c>
      <c r="T1268" t="s">
        <v>54</v>
      </c>
      <c r="U1268" t="s">
        <v>296</v>
      </c>
      <c r="V1268">
        <v>1</v>
      </c>
      <c r="AB1268" t="s">
        <v>1008</v>
      </c>
    </row>
    <row r="1269" spans="1:28" hidden="1" x14ac:dyDescent="0.2">
      <c r="A1269" s="1">
        <v>44898</v>
      </c>
      <c r="D1269" s="5">
        <v>0.82885416666666667</v>
      </c>
      <c r="E1269">
        <v>-76.722498329999993</v>
      </c>
      <c r="F1269">
        <v>3.4775466669999999</v>
      </c>
      <c r="G1269">
        <v>2100</v>
      </c>
      <c r="H1269" t="e">
        <f t="shared" si="15"/>
        <v>#DIV/0!</v>
      </c>
      <c r="I1269">
        <v>2022</v>
      </c>
      <c r="J1269" t="e">
        <f t="shared" si="16"/>
        <v>#DIV/0!</v>
      </c>
      <c r="K1269" t="e">
        <f t="shared" si="17"/>
        <v>#DIV/0!</v>
      </c>
      <c r="M1269" t="s">
        <v>247</v>
      </c>
      <c r="O1269" t="s">
        <v>38</v>
      </c>
      <c r="P1269" t="s">
        <v>280</v>
      </c>
      <c r="R1269" t="s">
        <v>921</v>
      </c>
      <c r="S1269" t="s">
        <v>947</v>
      </c>
      <c r="T1269" t="s">
        <v>54</v>
      </c>
      <c r="U1269" t="s">
        <v>88</v>
      </c>
      <c r="V1269">
        <v>1</v>
      </c>
      <c r="AB1269" t="s">
        <v>1008</v>
      </c>
    </row>
    <row r="1270" spans="1:28" hidden="1" x14ac:dyDescent="0.2">
      <c r="A1270" s="1">
        <v>44898</v>
      </c>
      <c r="D1270" s="5">
        <v>0.83849537037037036</v>
      </c>
      <c r="E1270">
        <v>-76.722656670000006</v>
      </c>
      <c r="F1270">
        <v>3.4776850000000001</v>
      </c>
      <c r="G1270">
        <v>2100</v>
      </c>
      <c r="H1270" t="e">
        <f t="shared" si="15"/>
        <v>#DIV/0!</v>
      </c>
      <c r="I1270">
        <v>2022</v>
      </c>
      <c r="J1270" t="e">
        <f t="shared" si="16"/>
        <v>#DIV/0!</v>
      </c>
      <c r="K1270" t="e">
        <f t="shared" si="17"/>
        <v>#DIV/0!</v>
      </c>
      <c r="M1270" t="s">
        <v>247</v>
      </c>
      <c r="O1270" t="s">
        <v>38</v>
      </c>
      <c r="P1270" t="s">
        <v>280</v>
      </c>
      <c r="R1270" t="s">
        <v>921</v>
      </c>
      <c r="S1270" t="s">
        <v>945</v>
      </c>
      <c r="T1270" t="s">
        <v>54</v>
      </c>
      <c r="U1270" t="s">
        <v>316</v>
      </c>
      <c r="V1270">
        <v>2</v>
      </c>
      <c r="AB1270" t="s">
        <v>1008</v>
      </c>
    </row>
    <row r="1271" spans="1:28" hidden="1" x14ac:dyDescent="0.2">
      <c r="A1271" s="1">
        <v>44898</v>
      </c>
      <c r="D1271" s="5">
        <v>0.8465625</v>
      </c>
      <c r="E1271">
        <v>-76.722831670000005</v>
      </c>
      <c r="F1271">
        <v>3.4779966670000002</v>
      </c>
      <c r="G1271">
        <v>2100</v>
      </c>
      <c r="H1271" t="e">
        <f t="shared" si="15"/>
        <v>#DIV/0!</v>
      </c>
      <c r="I1271">
        <v>2022</v>
      </c>
      <c r="J1271" t="e">
        <f t="shared" si="16"/>
        <v>#DIV/0!</v>
      </c>
      <c r="K1271" t="e">
        <f t="shared" si="17"/>
        <v>#DIV/0!</v>
      </c>
      <c r="M1271" t="s">
        <v>247</v>
      </c>
      <c r="O1271" t="s">
        <v>38</v>
      </c>
      <c r="P1271" t="s">
        <v>280</v>
      </c>
      <c r="R1271" t="s">
        <v>921</v>
      </c>
      <c r="S1271" t="s">
        <v>947</v>
      </c>
      <c r="T1271" t="s">
        <v>54</v>
      </c>
      <c r="U1271" t="s">
        <v>88</v>
      </c>
      <c r="V1271">
        <v>2</v>
      </c>
      <c r="AB1271" t="s">
        <v>1008</v>
      </c>
    </row>
    <row r="1272" spans="1:28" hidden="1" x14ac:dyDescent="0.2">
      <c r="A1272" s="1">
        <v>44898</v>
      </c>
      <c r="D1272" s="5">
        <v>0.83474537037037033</v>
      </c>
      <c r="E1272">
        <v>-76.722539999999995</v>
      </c>
      <c r="F1272">
        <v>3.477668333</v>
      </c>
      <c r="G1272">
        <v>2100</v>
      </c>
      <c r="H1272" t="e">
        <f t="shared" si="15"/>
        <v>#DIV/0!</v>
      </c>
      <c r="I1272">
        <v>2022</v>
      </c>
      <c r="J1272" t="e">
        <f t="shared" si="16"/>
        <v>#DIV/0!</v>
      </c>
      <c r="K1272" t="e">
        <f t="shared" si="17"/>
        <v>#DIV/0!</v>
      </c>
      <c r="M1272" t="s">
        <v>247</v>
      </c>
      <c r="O1272" t="s">
        <v>38</v>
      </c>
      <c r="P1272" t="s">
        <v>280</v>
      </c>
      <c r="R1272" t="s">
        <v>921</v>
      </c>
      <c r="T1272" t="s">
        <v>54</v>
      </c>
      <c r="U1272" t="s">
        <v>296</v>
      </c>
      <c r="V1272">
        <v>1</v>
      </c>
      <c r="AB1272" t="s">
        <v>1008</v>
      </c>
    </row>
    <row r="1273" spans="1:28" hidden="1" x14ac:dyDescent="0.2">
      <c r="A1273" s="1">
        <v>44898</v>
      </c>
      <c r="D1273" s="5">
        <v>0.82805555555555554</v>
      </c>
      <c r="E1273">
        <v>-76.722498329999993</v>
      </c>
      <c r="F1273">
        <v>3.4775466669999999</v>
      </c>
      <c r="H1273" t="e">
        <f t="shared" si="15"/>
        <v>#DIV/0!</v>
      </c>
      <c r="I1273">
        <v>2022</v>
      </c>
      <c r="J1273" t="e">
        <f t="shared" si="16"/>
        <v>#DIV/0!</v>
      </c>
      <c r="K1273" t="e">
        <f t="shared" si="17"/>
        <v>#DIV/0!</v>
      </c>
      <c r="M1273" t="s">
        <v>247</v>
      </c>
      <c r="O1273" t="s">
        <v>38</v>
      </c>
      <c r="P1273" t="s">
        <v>280</v>
      </c>
      <c r="R1273" t="s">
        <v>921</v>
      </c>
      <c r="S1273" t="s">
        <v>947</v>
      </c>
      <c r="T1273" t="s">
        <v>54</v>
      </c>
      <c r="U1273" t="s">
        <v>316</v>
      </c>
      <c r="V1273">
        <v>2</v>
      </c>
      <c r="AB1273" t="s">
        <v>1008</v>
      </c>
    </row>
    <row r="1274" spans="1:28" hidden="1" x14ac:dyDescent="0.2">
      <c r="A1274" s="1">
        <v>44898</v>
      </c>
      <c r="D1274" s="5">
        <v>0.82805555555555554</v>
      </c>
      <c r="E1274">
        <v>-76.722498329999993</v>
      </c>
      <c r="F1274">
        <v>3.4775466669999999</v>
      </c>
      <c r="H1274" t="e">
        <f t="shared" si="15"/>
        <v>#DIV/0!</v>
      </c>
      <c r="I1274">
        <v>2022</v>
      </c>
      <c r="J1274" t="e">
        <f t="shared" si="16"/>
        <v>#DIV/0!</v>
      </c>
      <c r="K1274" t="e">
        <f t="shared" si="17"/>
        <v>#DIV/0!</v>
      </c>
      <c r="M1274" t="s">
        <v>247</v>
      </c>
      <c r="O1274" t="s">
        <v>38</v>
      </c>
      <c r="P1274" t="s">
        <v>280</v>
      </c>
      <c r="R1274" t="s">
        <v>921</v>
      </c>
      <c r="T1274" t="s">
        <v>54</v>
      </c>
      <c r="U1274" t="s">
        <v>296</v>
      </c>
      <c r="V1274">
        <v>2</v>
      </c>
      <c r="AB1274" t="s">
        <v>66</v>
      </c>
    </row>
    <row r="1275" spans="1:28" hidden="1" x14ac:dyDescent="0.2">
      <c r="A1275" s="1">
        <v>44898</v>
      </c>
      <c r="D1275" s="5">
        <v>0.81980324074074074</v>
      </c>
      <c r="E1275">
        <v>-76.722431670000006</v>
      </c>
      <c r="F1275">
        <v>3.4774383329999998</v>
      </c>
      <c r="G1275">
        <v>2100</v>
      </c>
      <c r="H1275" t="e">
        <f t="shared" si="15"/>
        <v>#DIV/0!</v>
      </c>
      <c r="I1275">
        <v>2022</v>
      </c>
      <c r="J1275" t="e">
        <f t="shared" si="16"/>
        <v>#DIV/0!</v>
      </c>
      <c r="K1275" t="e">
        <f t="shared" si="17"/>
        <v>#DIV/0!</v>
      </c>
      <c r="M1275" t="s">
        <v>247</v>
      </c>
      <c r="O1275" t="s">
        <v>38</v>
      </c>
      <c r="P1275" t="s">
        <v>280</v>
      </c>
      <c r="R1275" t="s">
        <v>921</v>
      </c>
      <c r="S1275" t="s">
        <v>946</v>
      </c>
      <c r="T1275" t="s">
        <v>54</v>
      </c>
      <c r="U1275" t="s">
        <v>316</v>
      </c>
      <c r="V1275">
        <v>1</v>
      </c>
      <c r="AB1275" t="s">
        <v>1008</v>
      </c>
    </row>
    <row r="1276" spans="1:28" hidden="1" x14ac:dyDescent="0.2">
      <c r="A1276" s="1">
        <v>44898</v>
      </c>
      <c r="D1276" s="5">
        <v>0.87084490740740739</v>
      </c>
      <c r="E1276">
        <v>-76.72286167</v>
      </c>
      <c r="F1276">
        <v>3.478411667</v>
      </c>
      <c r="G1276">
        <v>2100</v>
      </c>
      <c r="H1276" t="e">
        <f t="shared" si="15"/>
        <v>#DIV/0!</v>
      </c>
      <c r="I1276">
        <v>2022</v>
      </c>
      <c r="J1276" t="e">
        <f t="shared" si="16"/>
        <v>#DIV/0!</v>
      </c>
      <c r="K1276" t="e">
        <f t="shared" si="17"/>
        <v>#DIV/0!</v>
      </c>
      <c r="M1276" t="s">
        <v>247</v>
      </c>
      <c r="O1276" t="s">
        <v>40</v>
      </c>
      <c r="P1276" t="s">
        <v>280</v>
      </c>
      <c r="R1276" t="s">
        <v>921</v>
      </c>
      <c r="S1276" t="s">
        <v>947</v>
      </c>
      <c r="T1276" t="s">
        <v>54</v>
      </c>
      <c r="U1276" t="s">
        <v>313</v>
      </c>
      <c r="V1276">
        <v>1</v>
      </c>
      <c r="AB1276" t="s">
        <v>1008</v>
      </c>
    </row>
    <row r="1277" spans="1:28" hidden="1" x14ac:dyDescent="0.2">
      <c r="A1277" s="1">
        <v>44898</v>
      </c>
      <c r="D1277" s="5">
        <v>0.90173611111111107</v>
      </c>
      <c r="E1277">
        <v>-76.722813329999994</v>
      </c>
      <c r="F1277">
        <v>3.4785033329999999</v>
      </c>
      <c r="G1277">
        <v>2100</v>
      </c>
      <c r="H1277" t="e">
        <f t="shared" si="15"/>
        <v>#DIV/0!</v>
      </c>
      <c r="I1277">
        <v>2022</v>
      </c>
      <c r="J1277" t="e">
        <f t="shared" si="16"/>
        <v>#DIV/0!</v>
      </c>
      <c r="K1277" t="e">
        <f t="shared" si="17"/>
        <v>#DIV/0!</v>
      </c>
      <c r="M1277" t="s">
        <v>247</v>
      </c>
      <c r="O1277" t="s">
        <v>40</v>
      </c>
      <c r="P1277" t="s">
        <v>280</v>
      </c>
      <c r="R1277" t="s">
        <v>921</v>
      </c>
      <c r="S1277" t="s">
        <v>947</v>
      </c>
      <c r="T1277" t="s">
        <v>42</v>
      </c>
      <c r="U1277" t="s">
        <v>270</v>
      </c>
      <c r="V1277">
        <v>1</v>
      </c>
      <c r="AB1277" t="s">
        <v>66</v>
      </c>
    </row>
    <row r="1278" spans="1:28" hidden="1" x14ac:dyDescent="0.2">
      <c r="A1278" s="1">
        <v>44898</v>
      </c>
      <c r="D1278" s="5">
        <v>0.88687499999999997</v>
      </c>
      <c r="E1278">
        <v>-76.722825</v>
      </c>
      <c r="F1278">
        <v>3.4785466669999998</v>
      </c>
      <c r="G1278">
        <v>2100</v>
      </c>
      <c r="H1278" t="e">
        <f t="shared" si="15"/>
        <v>#DIV/0!</v>
      </c>
      <c r="I1278">
        <v>2022</v>
      </c>
      <c r="J1278" t="e">
        <f t="shared" si="16"/>
        <v>#DIV/0!</v>
      </c>
      <c r="K1278" t="e">
        <f t="shared" si="17"/>
        <v>#DIV/0!</v>
      </c>
      <c r="M1278" t="s">
        <v>247</v>
      </c>
      <c r="O1278" t="s">
        <v>40</v>
      </c>
      <c r="P1278" t="s">
        <v>280</v>
      </c>
      <c r="R1278" t="s">
        <v>921</v>
      </c>
      <c r="S1278" t="s">
        <v>945</v>
      </c>
      <c r="T1278" t="s">
        <v>42</v>
      </c>
      <c r="U1278" t="s">
        <v>937</v>
      </c>
      <c r="V1278">
        <v>1</v>
      </c>
      <c r="AB1278" t="s">
        <v>1008</v>
      </c>
    </row>
    <row r="1279" spans="1:28" hidden="1" x14ac:dyDescent="0.2">
      <c r="A1279" s="1">
        <v>44898</v>
      </c>
      <c r="D1279" s="5">
        <v>0.86818287037037034</v>
      </c>
      <c r="E1279">
        <v>-76.722803330000005</v>
      </c>
      <c r="F1279">
        <v>3.4783183329999998</v>
      </c>
      <c r="G1279">
        <v>2100</v>
      </c>
      <c r="H1279" t="e">
        <f t="shared" si="15"/>
        <v>#DIV/0!</v>
      </c>
      <c r="I1279">
        <v>2022</v>
      </c>
      <c r="J1279" t="e">
        <f t="shared" si="16"/>
        <v>#DIV/0!</v>
      </c>
      <c r="K1279" t="e">
        <f t="shared" si="17"/>
        <v>#DIV/0!</v>
      </c>
      <c r="M1279" t="s">
        <v>247</v>
      </c>
      <c r="O1279" t="s">
        <v>40</v>
      </c>
      <c r="P1279" t="s">
        <v>280</v>
      </c>
      <c r="R1279" t="s">
        <v>921</v>
      </c>
      <c r="S1279" t="s">
        <v>947</v>
      </c>
      <c r="T1279" t="s">
        <v>42</v>
      </c>
      <c r="U1279" t="s">
        <v>270</v>
      </c>
      <c r="V1279">
        <v>1</v>
      </c>
      <c r="AB1279" t="s">
        <v>66</v>
      </c>
    </row>
    <row r="1280" spans="1:28" hidden="1" x14ac:dyDescent="0.2">
      <c r="A1280" s="1">
        <v>44898</v>
      </c>
      <c r="D1280" s="5">
        <v>0.86818287037037034</v>
      </c>
      <c r="E1280">
        <v>-76.722803330000005</v>
      </c>
      <c r="F1280">
        <v>3.4783183329999998</v>
      </c>
      <c r="G1280">
        <v>2100</v>
      </c>
      <c r="H1280" t="e">
        <f t="shared" si="15"/>
        <v>#DIV/0!</v>
      </c>
      <c r="I1280">
        <v>2022</v>
      </c>
      <c r="J1280" t="e">
        <f t="shared" si="16"/>
        <v>#DIV/0!</v>
      </c>
      <c r="K1280" t="e">
        <f t="shared" si="17"/>
        <v>#DIV/0!</v>
      </c>
      <c r="M1280" t="s">
        <v>247</v>
      </c>
      <c r="O1280" t="s">
        <v>40</v>
      </c>
      <c r="P1280" t="s">
        <v>280</v>
      </c>
      <c r="R1280" t="s">
        <v>921</v>
      </c>
      <c r="S1280" t="s">
        <v>945</v>
      </c>
      <c r="T1280" t="s">
        <v>54</v>
      </c>
      <c r="U1280" t="s">
        <v>936</v>
      </c>
      <c r="V1280">
        <v>2</v>
      </c>
      <c r="AB1280" t="s">
        <v>66</v>
      </c>
    </row>
    <row r="1281" spans="1:28" hidden="1" x14ac:dyDescent="0.2">
      <c r="A1281" s="1">
        <v>44898</v>
      </c>
      <c r="D1281" s="5">
        <v>0.85643518518518513</v>
      </c>
      <c r="E1281">
        <v>-76.72277167</v>
      </c>
      <c r="F1281">
        <v>3.4781200000000001</v>
      </c>
      <c r="G1281">
        <v>2100</v>
      </c>
      <c r="H1281" t="e">
        <f t="shared" si="15"/>
        <v>#DIV/0!</v>
      </c>
      <c r="I1281">
        <v>2022</v>
      </c>
      <c r="J1281" t="e">
        <f t="shared" si="16"/>
        <v>#DIV/0!</v>
      </c>
      <c r="K1281" t="e">
        <f t="shared" si="17"/>
        <v>#DIV/0!</v>
      </c>
      <c r="M1281" t="s">
        <v>247</v>
      </c>
      <c r="O1281" t="s">
        <v>40</v>
      </c>
      <c r="P1281" t="s">
        <v>280</v>
      </c>
      <c r="R1281" t="s">
        <v>921</v>
      </c>
      <c r="S1281" t="s">
        <v>946</v>
      </c>
      <c r="T1281" t="s">
        <v>91</v>
      </c>
      <c r="U1281" t="s">
        <v>296</v>
      </c>
      <c r="V1281">
        <v>1</v>
      </c>
      <c r="AB1281" t="s">
        <v>1008</v>
      </c>
    </row>
    <row r="1282" spans="1:28" hidden="1" x14ac:dyDescent="0.2">
      <c r="A1282" s="1">
        <v>44898</v>
      </c>
      <c r="D1282" s="5">
        <v>0.8575694444444445</v>
      </c>
      <c r="E1282">
        <v>-76.722755000000006</v>
      </c>
      <c r="F1282">
        <v>3.4779849999999999</v>
      </c>
      <c r="G1282">
        <v>2100</v>
      </c>
      <c r="H1282" t="e">
        <f t="shared" si="15"/>
        <v>#DIV/0!</v>
      </c>
      <c r="I1282">
        <v>2022</v>
      </c>
      <c r="J1282" t="e">
        <f t="shared" si="16"/>
        <v>#DIV/0!</v>
      </c>
      <c r="K1282" t="e">
        <f t="shared" si="17"/>
        <v>#DIV/0!</v>
      </c>
      <c r="M1282" t="s">
        <v>247</v>
      </c>
      <c r="O1282" t="s">
        <v>40</v>
      </c>
      <c r="P1282" t="s">
        <v>280</v>
      </c>
      <c r="R1282" t="s">
        <v>921</v>
      </c>
      <c r="S1282" t="s">
        <v>947</v>
      </c>
      <c r="T1282" t="s">
        <v>54</v>
      </c>
      <c r="U1282" t="s">
        <v>88</v>
      </c>
      <c r="V1282">
        <v>1</v>
      </c>
      <c r="AB1282" t="s">
        <v>1008</v>
      </c>
    </row>
    <row r="1283" spans="1:28" hidden="1" x14ac:dyDescent="0.2">
      <c r="A1283" s="1">
        <v>44898</v>
      </c>
      <c r="D1283" s="5">
        <v>0.88465277777777773</v>
      </c>
      <c r="E1283">
        <v>-76.722876670000005</v>
      </c>
      <c r="F1283">
        <v>3.478443333</v>
      </c>
      <c r="G1283">
        <v>2100</v>
      </c>
      <c r="H1283" t="e">
        <f t="shared" si="15"/>
        <v>#DIV/0!</v>
      </c>
      <c r="I1283">
        <v>2022</v>
      </c>
      <c r="J1283" t="e">
        <f t="shared" si="16"/>
        <v>#DIV/0!</v>
      </c>
      <c r="K1283" t="e">
        <f t="shared" si="17"/>
        <v>#DIV/0!</v>
      </c>
      <c r="M1283" t="s">
        <v>247</v>
      </c>
      <c r="O1283" t="s">
        <v>40</v>
      </c>
      <c r="P1283" t="s">
        <v>280</v>
      </c>
      <c r="R1283" t="s">
        <v>921</v>
      </c>
      <c r="S1283" t="s">
        <v>945</v>
      </c>
      <c r="T1283" t="s">
        <v>54</v>
      </c>
      <c r="U1283" t="s">
        <v>936</v>
      </c>
      <c r="V1283">
        <v>1</v>
      </c>
      <c r="AB1283" t="s">
        <v>1008</v>
      </c>
    </row>
    <row r="1284" spans="1:28" hidden="1" x14ac:dyDescent="0.2">
      <c r="A1284" s="1">
        <v>44898</v>
      </c>
      <c r="D1284" s="5">
        <v>0.91380787037037037</v>
      </c>
      <c r="E1284">
        <v>-76.722841669999994</v>
      </c>
      <c r="F1284">
        <v>3.4785499999999998</v>
      </c>
      <c r="G1284">
        <v>2100</v>
      </c>
      <c r="H1284" t="e">
        <f t="shared" si="15"/>
        <v>#DIV/0!</v>
      </c>
      <c r="I1284">
        <v>2022</v>
      </c>
      <c r="J1284" t="e">
        <f t="shared" si="16"/>
        <v>#DIV/0!</v>
      </c>
      <c r="K1284" t="e">
        <f t="shared" si="17"/>
        <v>#DIV/0!</v>
      </c>
      <c r="M1284" t="s">
        <v>247</v>
      </c>
      <c r="O1284" t="s">
        <v>40</v>
      </c>
      <c r="P1284" t="s">
        <v>280</v>
      </c>
      <c r="R1284" t="s">
        <v>921</v>
      </c>
      <c r="S1284" t="s">
        <v>946</v>
      </c>
      <c r="T1284" t="s">
        <v>54</v>
      </c>
      <c r="U1284" t="s">
        <v>88</v>
      </c>
      <c r="V1284">
        <v>1</v>
      </c>
      <c r="AB1284" t="s">
        <v>1008</v>
      </c>
    </row>
    <row r="1285" spans="1:28" hidden="1" x14ac:dyDescent="0.2">
      <c r="A1285" s="1">
        <v>44898</v>
      </c>
      <c r="D1285" s="5">
        <v>0.96666666666666667</v>
      </c>
      <c r="E1285">
        <v>-76.723218329999995</v>
      </c>
      <c r="F1285">
        <v>3.4831249999999998</v>
      </c>
      <c r="G1285">
        <v>2100</v>
      </c>
      <c r="H1285" t="e">
        <f t="shared" si="15"/>
        <v>#DIV/0!</v>
      </c>
      <c r="I1285">
        <v>2022</v>
      </c>
      <c r="J1285" t="e">
        <f t="shared" si="16"/>
        <v>#DIV/0!</v>
      </c>
      <c r="K1285" t="e">
        <f t="shared" si="17"/>
        <v>#DIV/0!</v>
      </c>
      <c r="M1285" t="s">
        <v>247</v>
      </c>
      <c r="O1285" t="s">
        <v>32</v>
      </c>
      <c r="P1285" t="s">
        <v>248</v>
      </c>
      <c r="R1285" t="s">
        <v>919</v>
      </c>
      <c r="S1285" t="s">
        <v>946</v>
      </c>
      <c r="T1285" t="s">
        <v>54</v>
      </c>
      <c r="U1285" t="s">
        <v>238</v>
      </c>
      <c r="V1285">
        <v>1</v>
      </c>
      <c r="AB1285" t="s">
        <v>1008</v>
      </c>
    </row>
    <row r="1286" spans="1:28" hidden="1" x14ac:dyDescent="0.2">
      <c r="A1286" s="1">
        <v>44898</v>
      </c>
      <c r="D1286" s="5">
        <v>0.96370370370370373</v>
      </c>
      <c r="E1286">
        <v>-76.723050000000001</v>
      </c>
      <c r="F1286">
        <v>3.4828749999999999</v>
      </c>
      <c r="G1286">
        <v>2100</v>
      </c>
      <c r="H1286" t="e">
        <f t="shared" si="15"/>
        <v>#DIV/0!</v>
      </c>
      <c r="I1286">
        <v>2022</v>
      </c>
      <c r="J1286" t="e">
        <f t="shared" si="16"/>
        <v>#DIV/0!</v>
      </c>
      <c r="K1286" t="e">
        <f t="shared" si="17"/>
        <v>#DIV/0!</v>
      </c>
      <c r="M1286" t="s">
        <v>247</v>
      </c>
      <c r="O1286" t="s">
        <v>32</v>
      </c>
      <c r="P1286" t="s">
        <v>248</v>
      </c>
      <c r="R1286" t="s">
        <v>919</v>
      </c>
      <c r="S1286" t="s">
        <v>946</v>
      </c>
      <c r="T1286" t="s">
        <v>54</v>
      </c>
      <c r="U1286" t="s">
        <v>238</v>
      </c>
      <c r="V1286">
        <v>2</v>
      </c>
      <c r="AB1286" t="s">
        <v>1008</v>
      </c>
    </row>
    <row r="1287" spans="1:28" hidden="1" x14ac:dyDescent="0.2">
      <c r="A1287" s="1">
        <v>44898</v>
      </c>
      <c r="D1287" s="5">
        <v>0.96370370370370373</v>
      </c>
      <c r="E1287">
        <v>-76.723050000000001</v>
      </c>
      <c r="F1287">
        <v>3.4828749999999999</v>
      </c>
      <c r="G1287">
        <v>2100</v>
      </c>
      <c r="H1287" t="e">
        <f t="shared" si="15"/>
        <v>#DIV/0!</v>
      </c>
      <c r="I1287">
        <v>2022</v>
      </c>
      <c r="J1287" t="e">
        <f t="shared" si="16"/>
        <v>#DIV/0!</v>
      </c>
      <c r="K1287" t="e">
        <f t="shared" si="17"/>
        <v>#DIV/0!</v>
      </c>
      <c r="M1287" t="s">
        <v>247</v>
      </c>
      <c r="O1287" t="s">
        <v>32</v>
      </c>
      <c r="P1287" t="s">
        <v>248</v>
      </c>
      <c r="R1287" t="s">
        <v>919</v>
      </c>
      <c r="S1287" t="s">
        <v>945</v>
      </c>
      <c r="T1287" t="s">
        <v>54</v>
      </c>
      <c r="U1287" t="s">
        <v>238</v>
      </c>
      <c r="V1287">
        <v>1</v>
      </c>
      <c r="AB1287" t="s">
        <v>1008</v>
      </c>
    </row>
    <row r="1288" spans="1:28" hidden="1" x14ac:dyDescent="0.2">
      <c r="A1288" s="1">
        <v>44898</v>
      </c>
      <c r="D1288" s="5">
        <v>0.96998842592592593</v>
      </c>
      <c r="E1288">
        <v>-76.723496670000003</v>
      </c>
      <c r="F1288">
        <v>3.48339</v>
      </c>
      <c r="G1288">
        <v>2100</v>
      </c>
      <c r="H1288" t="e">
        <f t="shared" si="15"/>
        <v>#DIV/0!</v>
      </c>
      <c r="I1288">
        <v>2022</v>
      </c>
      <c r="J1288" t="e">
        <f t="shared" si="16"/>
        <v>#DIV/0!</v>
      </c>
      <c r="K1288" t="e">
        <f t="shared" si="17"/>
        <v>#DIV/0!</v>
      </c>
      <c r="M1288" t="s">
        <v>247</v>
      </c>
      <c r="O1288" t="s">
        <v>32</v>
      </c>
      <c r="P1288" t="s">
        <v>248</v>
      </c>
      <c r="R1288" t="s">
        <v>919</v>
      </c>
      <c r="S1288" t="s">
        <v>947</v>
      </c>
      <c r="T1288" t="s">
        <v>54</v>
      </c>
      <c r="U1288" t="s">
        <v>238</v>
      </c>
      <c r="V1288">
        <v>1</v>
      </c>
      <c r="AB1288" t="s">
        <v>1008</v>
      </c>
    </row>
    <row r="1289" spans="1:28" hidden="1" x14ac:dyDescent="0.2">
      <c r="A1289" s="1">
        <v>44898</v>
      </c>
      <c r="D1289" s="5">
        <v>0.96554398148148146</v>
      </c>
      <c r="E1289">
        <v>-76.723159999999993</v>
      </c>
      <c r="F1289">
        <v>3.4830333329999998</v>
      </c>
      <c r="G1289">
        <v>2100</v>
      </c>
      <c r="H1289" t="e">
        <f t="shared" si="15"/>
        <v>#DIV/0!</v>
      </c>
      <c r="I1289">
        <v>2022</v>
      </c>
      <c r="J1289" t="e">
        <f t="shared" si="16"/>
        <v>#DIV/0!</v>
      </c>
      <c r="K1289" t="e">
        <f t="shared" si="17"/>
        <v>#DIV/0!</v>
      </c>
      <c r="M1289" t="s">
        <v>247</v>
      </c>
      <c r="O1289" t="s">
        <v>32</v>
      </c>
      <c r="P1289" t="s">
        <v>248</v>
      </c>
      <c r="R1289" t="s">
        <v>919</v>
      </c>
      <c r="S1289" t="s">
        <v>947</v>
      </c>
      <c r="T1289" t="s">
        <v>54</v>
      </c>
      <c r="U1289" t="s">
        <v>238</v>
      </c>
      <c r="V1289">
        <v>1</v>
      </c>
      <c r="AB1289" t="s">
        <v>1008</v>
      </c>
    </row>
    <row r="1290" spans="1:28" hidden="1" x14ac:dyDescent="0.2">
      <c r="A1290" s="1">
        <v>44898</v>
      </c>
      <c r="D1290" s="5">
        <v>0.9797569444444445</v>
      </c>
      <c r="E1290">
        <v>-76.72363833</v>
      </c>
      <c r="F1290">
        <v>3.484343333</v>
      </c>
      <c r="H1290" t="e">
        <f t="shared" si="15"/>
        <v>#DIV/0!</v>
      </c>
      <c r="I1290">
        <v>2022</v>
      </c>
      <c r="J1290" t="e">
        <f t="shared" si="16"/>
        <v>#DIV/0!</v>
      </c>
      <c r="K1290" t="e">
        <f t="shared" si="17"/>
        <v>#DIV/0!</v>
      </c>
      <c r="M1290" t="s">
        <v>247</v>
      </c>
      <c r="O1290" t="s">
        <v>40</v>
      </c>
      <c r="P1290" t="s">
        <v>248</v>
      </c>
      <c r="S1290" t="s">
        <v>947</v>
      </c>
      <c r="U1290" t="s">
        <v>36</v>
      </c>
      <c r="V1290">
        <v>0</v>
      </c>
    </row>
    <row r="1291" spans="1:28" hidden="1" x14ac:dyDescent="0.2">
      <c r="A1291" s="1">
        <v>44898</v>
      </c>
      <c r="D1291" s="5">
        <v>0.94459490740740737</v>
      </c>
      <c r="E1291">
        <v>-76.723198330000002</v>
      </c>
      <c r="F1291">
        <v>3.4810266670000001</v>
      </c>
      <c r="G1291">
        <v>2100</v>
      </c>
      <c r="H1291" t="e">
        <f t="shared" si="15"/>
        <v>#DIV/0!</v>
      </c>
      <c r="I1291">
        <v>2022</v>
      </c>
      <c r="J1291" t="e">
        <f t="shared" si="16"/>
        <v>#DIV/0!</v>
      </c>
      <c r="K1291" t="e">
        <f t="shared" si="17"/>
        <v>#DIV/0!</v>
      </c>
      <c r="M1291" t="s">
        <v>247</v>
      </c>
      <c r="O1291" t="s">
        <v>58</v>
      </c>
      <c r="P1291" t="s">
        <v>280</v>
      </c>
      <c r="R1291" t="s">
        <v>921</v>
      </c>
      <c r="S1291" t="s">
        <v>947</v>
      </c>
      <c r="T1291" t="s">
        <v>54</v>
      </c>
      <c r="U1291" t="s">
        <v>88</v>
      </c>
      <c r="V1291">
        <v>1</v>
      </c>
      <c r="AB1291" t="s">
        <v>1008</v>
      </c>
    </row>
    <row r="1292" spans="1:28" hidden="1" x14ac:dyDescent="0.2">
      <c r="A1292" s="1">
        <v>44898</v>
      </c>
      <c r="D1292" s="5">
        <v>0.94070601851851854</v>
      </c>
      <c r="E1292">
        <v>-76.723325000000003</v>
      </c>
      <c r="F1292">
        <v>3.4808783330000002</v>
      </c>
      <c r="G1292">
        <v>2100</v>
      </c>
      <c r="H1292" t="e">
        <f t="shared" si="15"/>
        <v>#DIV/0!</v>
      </c>
      <c r="I1292">
        <v>2022</v>
      </c>
      <c r="J1292" t="e">
        <f t="shared" si="16"/>
        <v>#DIV/0!</v>
      </c>
      <c r="K1292" t="e">
        <f t="shared" si="17"/>
        <v>#DIV/0!</v>
      </c>
      <c r="M1292" t="s">
        <v>247</v>
      </c>
      <c r="O1292" t="s">
        <v>58</v>
      </c>
      <c r="P1292" t="s">
        <v>280</v>
      </c>
      <c r="R1292" t="s">
        <v>921</v>
      </c>
      <c r="S1292" t="s">
        <v>947</v>
      </c>
      <c r="T1292" t="s">
        <v>54</v>
      </c>
      <c r="U1292" t="s">
        <v>88</v>
      </c>
      <c r="V1292">
        <v>1</v>
      </c>
      <c r="AB1292" t="s">
        <v>1008</v>
      </c>
    </row>
    <row r="1293" spans="1:28" hidden="1" x14ac:dyDescent="0.2">
      <c r="A1293" s="1">
        <v>44898</v>
      </c>
      <c r="D1293" s="5">
        <v>0.94267361111111114</v>
      </c>
      <c r="E1293">
        <v>-76.723150000000004</v>
      </c>
      <c r="F1293">
        <v>3.480823333</v>
      </c>
      <c r="G1293">
        <v>2100</v>
      </c>
      <c r="H1293" t="e">
        <f t="shared" si="15"/>
        <v>#DIV/0!</v>
      </c>
      <c r="I1293">
        <v>2022</v>
      </c>
      <c r="J1293" t="e">
        <f t="shared" si="16"/>
        <v>#DIV/0!</v>
      </c>
      <c r="K1293" t="e">
        <f t="shared" si="17"/>
        <v>#DIV/0!</v>
      </c>
      <c r="M1293" t="s">
        <v>247</v>
      </c>
      <c r="O1293" t="s">
        <v>58</v>
      </c>
      <c r="P1293" t="s">
        <v>280</v>
      </c>
      <c r="R1293" t="s">
        <v>921</v>
      </c>
      <c r="S1293" t="s">
        <v>947</v>
      </c>
      <c r="T1293" t="s">
        <v>54</v>
      </c>
      <c r="U1293" t="s">
        <v>88</v>
      </c>
      <c r="V1293">
        <v>1</v>
      </c>
      <c r="AB1293" t="s">
        <v>1008</v>
      </c>
    </row>
    <row r="1294" spans="1:28" hidden="1" x14ac:dyDescent="0.2">
      <c r="A1294" s="1">
        <v>44898</v>
      </c>
      <c r="D1294" s="5">
        <v>0.93425925925925923</v>
      </c>
      <c r="E1294">
        <v>-76.723183329999998</v>
      </c>
      <c r="F1294">
        <v>3.4803483329999998</v>
      </c>
      <c r="G1294">
        <v>2100</v>
      </c>
      <c r="H1294" t="e">
        <f t="shared" si="15"/>
        <v>#DIV/0!</v>
      </c>
      <c r="I1294">
        <v>2022</v>
      </c>
      <c r="J1294" t="e">
        <f t="shared" si="16"/>
        <v>#DIV/0!</v>
      </c>
      <c r="K1294" t="e">
        <f t="shared" si="17"/>
        <v>#DIV/0!</v>
      </c>
      <c r="M1294" t="s">
        <v>247</v>
      </c>
      <c r="O1294" t="s">
        <v>58</v>
      </c>
      <c r="P1294" t="s">
        <v>280</v>
      </c>
      <c r="R1294" t="s">
        <v>921</v>
      </c>
      <c r="S1294" t="s">
        <v>947</v>
      </c>
      <c r="T1294" t="s">
        <v>42</v>
      </c>
      <c r="U1294" t="s">
        <v>270</v>
      </c>
      <c r="V1294">
        <v>1</v>
      </c>
      <c r="AB1294" t="s">
        <v>66</v>
      </c>
    </row>
    <row r="1295" spans="1:28" hidden="1" x14ac:dyDescent="0.2">
      <c r="A1295" s="1">
        <v>44898</v>
      </c>
      <c r="D1295" s="5">
        <v>0.93425925925925923</v>
      </c>
      <c r="E1295">
        <v>-76.723183329999998</v>
      </c>
      <c r="F1295">
        <v>3.4803483329999998</v>
      </c>
      <c r="G1295">
        <v>2100</v>
      </c>
      <c r="H1295" t="e">
        <f t="shared" si="15"/>
        <v>#DIV/0!</v>
      </c>
      <c r="I1295">
        <v>2022</v>
      </c>
      <c r="J1295" t="e">
        <f t="shared" si="16"/>
        <v>#DIV/0!</v>
      </c>
      <c r="K1295" t="e">
        <f t="shared" si="17"/>
        <v>#DIV/0!</v>
      </c>
      <c r="M1295" t="s">
        <v>247</v>
      </c>
      <c r="O1295" t="s">
        <v>58</v>
      </c>
      <c r="P1295" t="s">
        <v>280</v>
      </c>
      <c r="R1295" t="s">
        <v>921</v>
      </c>
      <c r="S1295" t="s">
        <v>945</v>
      </c>
      <c r="T1295" t="s">
        <v>54</v>
      </c>
      <c r="U1295" t="s">
        <v>936</v>
      </c>
      <c r="V1295">
        <v>3</v>
      </c>
      <c r="AB1295" t="s">
        <v>66</v>
      </c>
    </row>
    <row r="1296" spans="1:28" hidden="1" x14ac:dyDescent="0.2">
      <c r="A1296" s="1">
        <v>44898</v>
      </c>
      <c r="D1296" s="5">
        <v>0.93782407407407409</v>
      </c>
      <c r="E1296">
        <v>-76.723238330000001</v>
      </c>
      <c r="F1296">
        <v>3.48062</v>
      </c>
      <c r="H1296" t="e">
        <f t="shared" si="15"/>
        <v>#DIV/0!</v>
      </c>
      <c r="I1296">
        <v>2022</v>
      </c>
      <c r="J1296" t="e">
        <f t="shared" si="16"/>
        <v>#DIV/0!</v>
      </c>
      <c r="K1296" t="e">
        <f t="shared" si="17"/>
        <v>#DIV/0!</v>
      </c>
      <c r="M1296" t="s">
        <v>247</v>
      </c>
      <c r="O1296" t="s">
        <v>58</v>
      </c>
      <c r="P1296" t="s">
        <v>280</v>
      </c>
      <c r="R1296" t="s">
        <v>921</v>
      </c>
      <c r="S1296" t="s">
        <v>945</v>
      </c>
      <c r="T1296" t="s">
        <v>42</v>
      </c>
      <c r="U1296" t="s">
        <v>270</v>
      </c>
      <c r="V1296">
        <v>1</v>
      </c>
      <c r="AB1296" t="s">
        <v>1008</v>
      </c>
    </row>
    <row r="1297" spans="1:28" hidden="1" x14ac:dyDescent="0.2">
      <c r="A1297" s="1">
        <v>44898</v>
      </c>
      <c r="D1297" s="5">
        <v>0.92159722222222218</v>
      </c>
      <c r="E1297">
        <v>-76.723048329999997</v>
      </c>
      <c r="F1297">
        <v>3.4791949999999998</v>
      </c>
      <c r="G1297">
        <v>2100</v>
      </c>
      <c r="H1297" t="e">
        <f t="shared" si="15"/>
        <v>#DIV/0!</v>
      </c>
      <c r="I1297">
        <v>2022</v>
      </c>
      <c r="J1297" t="e">
        <f t="shared" si="16"/>
        <v>#DIV/0!</v>
      </c>
      <c r="K1297" t="e">
        <f t="shared" si="17"/>
        <v>#DIV/0!</v>
      </c>
      <c r="M1297" t="s">
        <v>247</v>
      </c>
      <c r="O1297" t="s">
        <v>47</v>
      </c>
      <c r="P1297" t="s">
        <v>280</v>
      </c>
      <c r="R1297" t="s">
        <v>921</v>
      </c>
      <c r="S1297" t="s">
        <v>946</v>
      </c>
      <c r="T1297" t="s">
        <v>54</v>
      </c>
      <c r="U1297" t="s">
        <v>88</v>
      </c>
      <c r="V1297">
        <v>1</v>
      </c>
      <c r="AB1297" t="s">
        <v>1008</v>
      </c>
    </row>
    <row r="1298" spans="1:28" hidden="1" x14ac:dyDescent="0.2">
      <c r="A1298" s="1">
        <v>44898</v>
      </c>
      <c r="D1298" s="5">
        <v>0.9271759259259259</v>
      </c>
      <c r="E1298">
        <v>-76.723073330000005</v>
      </c>
      <c r="F1298">
        <v>3.4795466670000001</v>
      </c>
      <c r="G1298">
        <v>2100</v>
      </c>
      <c r="H1298" t="e">
        <f t="shared" si="15"/>
        <v>#DIV/0!</v>
      </c>
      <c r="I1298">
        <v>2022</v>
      </c>
      <c r="J1298" t="e">
        <f t="shared" si="16"/>
        <v>#DIV/0!</v>
      </c>
      <c r="K1298" t="e">
        <f t="shared" si="17"/>
        <v>#DIV/0!</v>
      </c>
      <c r="M1298" t="s">
        <v>247</v>
      </c>
      <c r="O1298" t="s">
        <v>47</v>
      </c>
      <c r="P1298" t="s">
        <v>280</v>
      </c>
      <c r="R1298" t="s">
        <v>921</v>
      </c>
      <c r="S1298" t="s">
        <v>947</v>
      </c>
      <c r="T1298" t="s">
        <v>54</v>
      </c>
      <c r="U1298" t="s">
        <v>88</v>
      </c>
      <c r="V1298">
        <v>1</v>
      </c>
      <c r="AB1298" t="s">
        <v>1008</v>
      </c>
    </row>
    <row r="1299" spans="1:28" hidden="1" x14ac:dyDescent="0.2">
      <c r="A1299" s="1">
        <v>44898</v>
      </c>
      <c r="D1299" s="5">
        <v>0.9271759259259259</v>
      </c>
      <c r="E1299">
        <v>-76.723073330000005</v>
      </c>
      <c r="F1299">
        <v>3.4795466670000001</v>
      </c>
      <c r="G1299">
        <v>2100</v>
      </c>
      <c r="H1299" t="e">
        <f t="shared" si="15"/>
        <v>#DIV/0!</v>
      </c>
      <c r="I1299">
        <v>2022</v>
      </c>
      <c r="J1299" t="e">
        <f t="shared" si="16"/>
        <v>#DIV/0!</v>
      </c>
      <c r="K1299" t="e">
        <f t="shared" si="17"/>
        <v>#DIV/0!</v>
      </c>
      <c r="M1299" t="s">
        <v>247</v>
      </c>
      <c r="O1299" t="s">
        <v>47</v>
      </c>
      <c r="P1299" t="s">
        <v>280</v>
      </c>
      <c r="R1299" t="s">
        <v>921</v>
      </c>
      <c r="S1299" t="s">
        <v>945</v>
      </c>
      <c r="T1299" t="s">
        <v>54</v>
      </c>
      <c r="U1299" t="s">
        <v>88</v>
      </c>
      <c r="V1299">
        <v>1</v>
      </c>
      <c r="AB1299" t="s">
        <v>1008</v>
      </c>
    </row>
    <row r="1300" spans="1:28" hidden="1" x14ac:dyDescent="0.2">
      <c r="A1300" s="1">
        <v>44898</v>
      </c>
      <c r="D1300" s="5">
        <v>0.97346064814814814</v>
      </c>
      <c r="E1300">
        <v>-76.72345833</v>
      </c>
      <c r="F1300">
        <v>3.483691667</v>
      </c>
      <c r="H1300" t="e">
        <f t="shared" si="15"/>
        <v>#DIV/0!</v>
      </c>
      <c r="I1300">
        <v>2022</v>
      </c>
      <c r="J1300" t="e">
        <f t="shared" si="16"/>
        <v>#DIV/0!</v>
      </c>
      <c r="K1300" t="e">
        <f t="shared" si="17"/>
        <v>#DIV/0!</v>
      </c>
      <c r="M1300" t="s">
        <v>247</v>
      </c>
      <c r="O1300" t="s">
        <v>38</v>
      </c>
      <c r="P1300" t="s">
        <v>248</v>
      </c>
      <c r="R1300" t="s">
        <v>919</v>
      </c>
      <c r="T1300" t="s">
        <v>54</v>
      </c>
      <c r="U1300" t="s">
        <v>238</v>
      </c>
      <c r="V1300">
        <v>1</v>
      </c>
      <c r="AB1300" t="s">
        <v>1008</v>
      </c>
    </row>
    <row r="1301" spans="1:28" hidden="1" x14ac:dyDescent="0.2">
      <c r="A1301" s="1">
        <v>44882</v>
      </c>
      <c r="D1301" s="5">
        <v>0.87718750000000001</v>
      </c>
      <c r="E1301">
        <v>-76.643013330000002</v>
      </c>
      <c r="F1301">
        <v>3.3496083329999999</v>
      </c>
      <c r="G1301">
        <v>2369</v>
      </c>
      <c r="H1301" t="e">
        <f t="shared" si="15"/>
        <v>#DIV/0!</v>
      </c>
      <c r="I1301">
        <v>2022</v>
      </c>
      <c r="J1301" t="e">
        <f t="shared" si="16"/>
        <v>#DIV/0!</v>
      </c>
      <c r="K1301" t="e">
        <f t="shared" si="17"/>
        <v>#DIV/0!</v>
      </c>
      <c r="M1301" t="s">
        <v>624</v>
      </c>
      <c r="O1301" t="s">
        <v>38</v>
      </c>
      <c r="P1301" t="s">
        <v>625</v>
      </c>
      <c r="R1301" t="s">
        <v>921</v>
      </c>
      <c r="S1301" t="s">
        <v>998</v>
      </c>
      <c r="T1301" t="s">
        <v>54</v>
      </c>
      <c r="U1301" t="s">
        <v>238</v>
      </c>
      <c r="V1301">
        <v>1</v>
      </c>
      <c r="AB1301" t="s">
        <v>1008</v>
      </c>
    </row>
    <row r="1302" spans="1:28" hidden="1" x14ac:dyDescent="0.2">
      <c r="A1302" s="1">
        <v>44882</v>
      </c>
      <c r="D1302" s="5">
        <v>0.87418981481481484</v>
      </c>
      <c r="E1302">
        <v>-76.642908329999997</v>
      </c>
      <c r="F1302">
        <v>3.3493283329999999</v>
      </c>
      <c r="G1302">
        <v>2369</v>
      </c>
      <c r="H1302" t="e">
        <f t="shared" si="15"/>
        <v>#DIV/0!</v>
      </c>
      <c r="I1302">
        <v>2022</v>
      </c>
      <c r="J1302" t="e">
        <f t="shared" si="16"/>
        <v>#DIV/0!</v>
      </c>
      <c r="K1302" t="e">
        <f t="shared" si="17"/>
        <v>#DIV/0!</v>
      </c>
      <c r="M1302" t="s">
        <v>624</v>
      </c>
      <c r="O1302" t="s">
        <v>38</v>
      </c>
      <c r="P1302" t="s">
        <v>625</v>
      </c>
      <c r="R1302" t="s">
        <v>921</v>
      </c>
      <c r="S1302" t="s">
        <v>999</v>
      </c>
      <c r="T1302" t="s">
        <v>54</v>
      </c>
      <c r="U1302" t="s">
        <v>238</v>
      </c>
      <c r="V1302">
        <v>1</v>
      </c>
      <c r="AB1302" t="s">
        <v>1008</v>
      </c>
    </row>
    <row r="1303" spans="1:28" hidden="1" x14ac:dyDescent="0.2">
      <c r="A1303" s="1">
        <v>44882</v>
      </c>
      <c r="D1303" s="5">
        <v>0.88339120370370372</v>
      </c>
      <c r="E1303">
        <v>-76.643021669999996</v>
      </c>
      <c r="F1303">
        <v>3.3496166669999998</v>
      </c>
      <c r="G1303">
        <v>2369</v>
      </c>
      <c r="H1303" t="e">
        <f t="shared" si="15"/>
        <v>#DIV/0!</v>
      </c>
      <c r="I1303">
        <v>2022</v>
      </c>
      <c r="J1303" t="e">
        <f t="shared" si="16"/>
        <v>#DIV/0!</v>
      </c>
      <c r="K1303" t="e">
        <f t="shared" si="17"/>
        <v>#DIV/0!</v>
      </c>
      <c r="M1303" t="s">
        <v>624</v>
      </c>
      <c r="O1303" t="s">
        <v>38</v>
      </c>
      <c r="P1303" t="s">
        <v>625</v>
      </c>
      <c r="R1303" t="s">
        <v>921</v>
      </c>
      <c r="S1303" t="s">
        <v>998</v>
      </c>
      <c r="T1303" t="s">
        <v>54</v>
      </c>
      <c r="U1303" t="s">
        <v>238</v>
      </c>
      <c r="V1303">
        <v>2</v>
      </c>
      <c r="AB1303" t="s">
        <v>1008</v>
      </c>
    </row>
    <row r="1304" spans="1:28" hidden="1" x14ac:dyDescent="0.2">
      <c r="A1304" s="1">
        <v>44882</v>
      </c>
      <c r="D1304" s="5">
        <v>0.8860069444444445</v>
      </c>
      <c r="E1304">
        <v>-76.642705000000007</v>
      </c>
      <c r="F1304">
        <v>3.34931</v>
      </c>
      <c r="G1304">
        <v>2369</v>
      </c>
      <c r="H1304" t="e">
        <f t="shared" si="15"/>
        <v>#DIV/0!</v>
      </c>
      <c r="I1304">
        <v>2022</v>
      </c>
      <c r="J1304" t="e">
        <f t="shared" si="16"/>
        <v>#DIV/0!</v>
      </c>
      <c r="K1304" t="e">
        <f t="shared" si="17"/>
        <v>#DIV/0!</v>
      </c>
      <c r="M1304" t="s">
        <v>624</v>
      </c>
      <c r="O1304" t="s">
        <v>38</v>
      </c>
      <c r="P1304" t="s">
        <v>625</v>
      </c>
      <c r="R1304" t="s">
        <v>921</v>
      </c>
      <c r="S1304" t="s">
        <v>945</v>
      </c>
      <c r="T1304" t="s">
        <v>54</v>
      </c>
      <c r="U1304" t="s">
        <v>238</v>
      </c>
      <c r="V1304">
        <v>1</v>
      </c>
      <c r="AB1304" t="s">
        <v>1008</v>
      </c>
    </row>
    <row r="1305" spans="1:28" hidden="1" x14ac:dyDescent="0.2">
      <c r="A1305" s="1">
        <v>44882</v>
      </c>
      <c r="D1305" s="5">
        <v>0.88148148148148153</v>
      </c>
      <c r="E1305">
        <v>-76.643036670000001</v>
      </c>
      <c r="F1305">
        <v>3.3495783330000002</v>
      </c>
      <c r="G1305">
        <v>2369</v>
      </c>
      <c r="H1305" t="e">
        <f t="shared" si="15"/>
        <v>#DIV/0!</v>
      </c>
      <c r="I1305">
        <v>2022</v>
      </c>
      <c r="J1305" t="e">
        <f t="shared" si="16"/>
        <v>#DIV/0!</v>
      </c>
      <c r="K1305" t="e">
        <f t="shared" si="17"/>
        <v>#DIV/0!</v>
      </c>
      <c r="M1305" t="s">
        <v>624</v>
      </c>
      <c r="O1305" t="s">
        <v>38</v>
      </c>
      <c r="P1305" t="s">
        <v>625</v>
      </c>
      <c r="R1305" t="s">
        <v>921</v>
      </c>
      <c r="S1305" t="s">
        <v>999</v>
      </c>
      <c r="T1305" t="s">
        <v>54</v>
      </c>
      <c r="U1305" t="s">
        <v>929</v>
      </c>
      <c r="V1305">
        <v>1</v>
      </c>
      <c r="Z1305" t="s">
        <v>1013</v>
      </c>
      <c r="AB1305" t="s">
        <v>1008</v>
      </c>
    </row>
    <row r="1306" spans="1:28" hidden="1" x14ac:dyDescent="0.2">
      <c r="A1306" s="1">
        <v>44882</v>
      </c>
      <c r="D1306" s="5">
        <v>0.83174768518518516</v>
      </c>
      <c r="E1306">
        <v>-76.642153329999999</v>
      </c>
      <c r="F1306">
        <v>3.3496766670000002</v>
      </c>
      <c r="G1306">
        <v>2369</v>
      </c>
      <c r="H1306" t="e">
        <f t="shared" si="15"/>
        <v>#DIV/0!</v>
      </c>
      <c r="I1306">
        <v>2022</v>
      </c>
      <c r="J1306" t="e">
        <f t="shared" si="16"/>
        <v>#DIV/0!</v>
      </c>
      <c r="K1306" t="e">
        <f t="shared" si="17"/>
        <v>#DIV/0!</v>
      </c>
      <c r="M1306" t="s">
        <v>624</v>
      </c>
      <c r="O1306" t="s">
        <v>32</v>
      </c>
      <c r="P1306" t="s">
        <v>734</v>
      </c>
      <c r="R1306" t="s">
        <v>921</v>
      </c>
      <c r="S1306" t="s">
        <v>999</v>
      </c>
      <c r="T1306" t="s">
        <v>42</v>
      </c>
      <c r="U1306" t="s">
        <v>238</v>
      </c>
      <c r="V1306">
        <v>1</v>
      </c>
      <c r="AB1306" t="s">
        <v>1008</v>
      </c>
    </row>
    <row r="1307" spans="1:28" hidden="1" x14ac:dyDescent="0.2">
      <c r="A1307" s="1">
        <v>44882</v>
      </c>
      <c r="D1307" s="5">
        <v>0.81657407407407412</v>
      </c>
      <c r="E1307">
        <v>-76.641151669999999</v>
      </c>
      <c r="F1307">
        <v>3.3498549999999998</v>
      </c>
      <c r="G1307">
        <v>2369</v>
      </c>
      <c r="H1307" t="e">
        <f t="shared" si="15"/>
        <v>#DIV/0!</v>
      </c>
      <c r="I1307">
        <v>2022</v>
      </c>
      <c r="J1307" t="e">
        <f t="shared" si="16"/>
        <v>#DIV/0!</v>
      </c>
      <c r="K1307" t="e">
        <f t="shared" si="17"/>
        <v>#DIV/0!</v>
      </c>
      <c r="M1307" t="s">
        <v>624</v>
      </c>
      <c r="O1307" t="s">
        <v>32</v>
      </c>
      <c r="P1307" t="s">
        <v>734</v>
      </c>
      <c r="R1307" t="s">
        <v>921</v>
      </c>
      <c r="S1307" t="s">
        <v>945</v>
      </c>
      <c r="T1307" t="s">
        <v>54</v>
      </c>
      <c r="U1307" t="s">
        <v>238</v>
      </c>
      <c r="V1307">
        <v>1</v>
      </c>
      <c r="AB1307" t="s">
        <v>1008</v>
      </c>
    </row>
    <row r="1308" spans="1:28" hidden="1" x14ac:dyDescent="0.2">
      <c r="A1308" s="1">
        <v>44882</v>
      </c>
      <c r="D1308" s="5">
        <v>0.8235069444444445</v>
      </c>
      <c r="E1308">
        <v>-76.641673330000003</v>
      </c>
      <c r="F1308">
        <v>3.3497599999999998</v>
      </c>
      <c r="G1308">
        <v>2369</v>
      </c>
      <c r="H1308" t="e">
        <f t="shared" si="15"/>
        <v>#DIV/0!</v>
      </c>
      <c r="I1308">
        <v>2022</v>
      </c>
      <c r="J1308" t="e">
        <f t="shared" si="16"/>
        <v>#DIV/0!</v>
      </c>
      <c r="K1308" t="e">
        <f t="shared" si="17"/>
        <v>#DIV/0!</v>
      </c>
      <c r="M1308" t="s">
        <v>624</v>
      </c>
      <c r="O1308" t="s">
        <v>32</v>
      </c>
      <c r="P1308" t="s">
        <v>734</v>
      </c>
      <c r="R1308" t="s">
        <v>921</v>
      </c>
      <c r="S1308" t="s">
        <v>998</v>
      </c>
      <c r="T1308" t="s">
        <v>54</v>
      </c>
      <c r="U1308" t="s">
        <v>238</v>
      </c>
      <c r="V1308">
        <v>1</v>
      </c>
      <c r="AB1308" t="s">
        <v>1008</v>
      </c>
    </row>
    <row r="1309" spans="1:28" hidden="1" x14ac:dyDescent="0.2">
      <c r="A1309" s="1">
        <v>44882</v>
      </c>
      <c r="D1309" s="5">
        <v>0.81545138888888891</v>
      </c>
      <c r="E1309">
        <v>-76.641183330000004</v>
      </c>
      <c r="F1309">
        <v>3.3499099999999999</v>
      </c>
      <c r="G1309">
        <v>2369</v>
      </c>
      <c r="H1309" t="e">
        <f t="shared" si="15"/>
        <v>#DIV/0!</v>
      </c>
      <c r="I1309">
        <v>2022</v>
      </c>
      <c r="J1309" t="e">
        <f t="shared" si="16"/>
        <v>#DIV/0!</v>
      </c>
      <c r="K1309" t="e">
        <f t="shared" si="17"/>
        <v>#DIV/0!</v>
      </c>
      <c r="M1309" t="s">
        <v>624</v>
      </c>
      <c r="O1309" t="s">
        <v>32</v>
      </c>
      <c r="P1309" t="s">
        <v>734</v>
      </c>
      <c r="R1309" t="s">
        <v>921</v>
      </c>
      <c r="S1309" t="s">
        <v>998</v>
      </c>
      <c r="T1309" t="s">
        <v>54</v>
      </c>
      <c r="U1309" t="s">
        <v>238</v>
      </c>
      <c r="V1309">
        <v>1</v>
      </c>
      <c r="AB1309" t="s">
        <v>1008</v>
      </c>
    </row>
    <row r="1310" spans="1:28" hidden="1" x14ac:dyDescent="0.2">
      <c r="A1310" s="1">
        <v>44882</v>
      </c>
      <c r="D1310" s="5">
        <v>0.82765046296296296</v>
      </c>
      <c r="E1310">
        <v>-76.642004999999997</v>
      </c>
      <c r="F1310">
        <v>3.3495983329999999</v>
      </c>
      <c r="G1310">
        <v>2369</v>
      </c>
      <c r="H1310" t="e">
        <f t="shared" si="15"/>
        <v>#DIV/0!</v>
      </c>
      <c r="I1310">
        <v>2022</v>
      </c>
      <c r="J1310" t="e">
        <f t="shared" si="16"/>
        <v>#DIV/0!</v>
      </c>
      <c r="K1310" t="e">
        <f t="shared" si="17"/>
        <v>#DIV/0!</v>
      </c>
      <c r="M1310" t="s">
        <v>624</v>
      </c>
      <c r="O1310" t="s">
        <v>32</v>
      </c>
      <c r="P1310" t="s">
        <v>734</v>
      </c>
      <c r="R1310" t="s">
        <v>921</v>
      </c>
      <c r="S1310" t="s">
        <v>945</v>
      </c>
      <c r="T1310" t="s">
        <v>54</v>
      </c>
      <c r="U1310" t="s">
        <v>371</v>
      </c>
      <c r="V1310">
        <v>1</v>
      </c>
      <c r="AB1310" t="s">
        <v>1008</v>
      </c>
    </row>
    <row r="1311" spans="1:28" hidden="1" x14ac:dyDescent="0.2">
      <c r="A1311" s="1">
        <v>44882</v>
      </c>
      <c r="D1311" s="5">
        <v>0.84591435185185182</v>
      </c>
      <c r="E1311">
        <v>-76.642256669999995</v>
      </c>
      <c r="F1311">
        <v>3.3494799999999998</v>
      </c>
      <c r="G1311">
        <v>2369</v>
      </c>
      <c r="H1311" t="e">
        <f t="shared" si="15"/>
        <v>#DIV/0!</v>
      </c>
      <c r="I1311">
        <v>2022</v>
      </c>
      <c r="J1311" t="e">
        <f t="shared" si="16"/>
        <v>#DIV/0!</v>
      </c>
      <c r="K1311" t="e">
        <f t="shared" si="17"/>
        <v>#DIV/0!</v>
      </c>
      <c r="M1311" t="s">
        <v>624</v>
      </c>
      <c r="O1311" t="s">
        <v>40</v>
      </c>
      <c r="P1311" t="s">
        <v>625</v>
      </c>
      <c r="R1311" t="s">
        <v>921</v>
      </c>
      <c r="S1311" t="s">
        <v>998</v>
      </c>
      <c r="T1311" t="s">
        <v>54</v>
      </c>
      <c r="U1311" t="s">
        <v>238</v>
      </c>
      <c r="V1311">
        <v>1</v>
      </c>
      <c r="AB1311" t="s">
        <v>1008</v>
      </c>
    </row>
    <row r="1312" spans="1:28" hidden="1" x14ac:dyDescent="0.2">
      <c r="A1312" s="1">
        <v>44882</v>
      </c>
      <c r="D1312" s="5">
        <v>0.866724537037037</v>
      </c>
      <c r="E1312">
        <v>-76.642690000000002</v>
      </c>
      <c r="F1312">
        <v>3.3491399999999998</v>
      </c>
      <c r="H1312" t="e">
        <f t="shared" si="15"/>
        <v>#DIV/0!</v>
      </c>
      <c r="I1312">
        <v>2022</v>
      </c>
      <c r="J1312" t="e">
        <f t="shared" si="16"/>
        <v>#DIV/0!</v>
      </c>
      <c r="K1312" t="e">
        <f t="shared" si="17"/>
        <v>#DIV/0!</v>
      </c>
      <c r="M1312" t="s">
        <v>624</v>
      </c>
      <c r="O1312" t="s">
        <v>40</v>
      </c>
      <c r="P1312" t="s">
        <v>625</v>
      </c>
      <c r="R1312" t="s">
        <v>921</v>
      </c>
      <c r="S1312" t="s">
        <v>998</v>
      </c>
      <c r="T1312" t="s">
        <v>54</v>
      </c>
      <c r="U1312" t="s">
        <v>915</v>
      </c>
      <c r="V1312">
        <v>2</v>
      </c>
      <c r="AB1312" t="s">
        <v>1008</v>
      </c>
    </row>
    <row r="1313" spans="1:28" hidden="1" x14ac:dyDescent="0.2">
      <c r="A1313" s="1">
        <v>44882</v>
      </c>
      <c r="D1313" s="5">
        <v>0.84539351851851852</v>
      </c>
      <c r="E1313">
        <v>-76.642210000000006</v>
      </c>
      <c r="F1313">
        <v>3.3495266670000001</v>
      </c>
      <c r="G1313">
        <v>2369</v>
      </c>
      <c r="H1313" t="e">
        <f t="shared" si="15"/>
        <v>#DIV/0!</v>
      </c>
      <c r="I1313">
        <v>2022</v>
      </c>
      <c r="J1313" t="e">
        <f t="shared" si="16"/>
        <v>#DIV/0!</v>
      </c>
      <c r="K1313" t="e">
        <f t="shared" si="17"/>
        <v>#DIV/0!</v>
      </c>
      <c r="M1313" t="s">
        <v>624</v>
      </c>
      <c r="O1313" t="s">
        <v>40</v>
      </c>
      <c r="P1313" t="s">
        <v>625</v>
      </c>
      <c r="R1313" t="s">
        <v>921</v>
      </c>
      <c r="S1313" t="s">
        <v>945</v>
      </c>
      <c r="T1313" t="s">
        <v>54</v>
      </c>
      <c r="U1313" t="s">
        <v>371</v>
      </c>
      <c r="V1313">
        <v>4</v>
      </c>
      <c r="W1313" t="s">
        <v>1140</v>
      </c>
      <c r="AB1313" t="s">
        <v>1008</v>
      </c>
    </row>
    <row r="1314" spans="1:28" hidden="1" x14ac:dyDescent="0.2">
      <c r="A1314" s="1">
        <v>44882</v>
      </c>
      <c r="D1314" s="5">
        <v>0.86431712962962959</v>
      </c>
      <c r="E1314">
        <v>-76.642515000000003</v>
      </c>
      <c r="F1314">
        <v>3.349135</v>
      </c>
      <c r="G1314">
        <v>2369</v>
      </c>
      <c r="H1314" t="e">
        <f t="shared" si="15"/>
        <v>#DIV/0!</v>
      </c>
      <c r="I1314">
        <v>2022</v>
      </c>
      <c r="J1314" t="e">
        <f t="shared" si="16"/>
        <v>#DIV/0!</v>
      </c>
      <c r="K1314" t="e">
        <f t="shared" si="17"/>
        <v>#DIV/0!</v>
      </c>
      <c r="M1314" t="s">
        <v>624</v>
      </c>
      <c r="O1314" t="s">
        <v>40</v>
      </c>
      <c r="P1314" t="s">
        <v>625</v>
      </c>
      <c r="R1314" t="s">
        <v>921</v>
      </c>
      <c r="S1314" t="s">
        <v>998</v>
      </c>
      <c r="T1314" t="s">
        <v>54</v>
      </c>
      <c r="U1314" t="s">
        <v>915</v>
      </c>
      <c r="V1314">
        <v>2</v>
      </c>
      <c r="AB1314" t="s">
        <v>1008</v>
      </c>
    </row>
    <row r="1315" spans="1:28" hidden="1" x14ac:dyDescent="0.2">
      <c r="A1315" s="1">
        <v>44882</v>
      </c>
      <c r="D1315" s="5">
        <v>0.86059027777777775</v>
      </c>
      <c r="E1315">
        <v>-76.642366670000001</v>
      </c>
      <c r="F1315">
        <v>3.3492866669999999</v>
      </c>
      <c r="G1315">
        <v>2369</v>
      </c>
      <c r="H1315" t="e">
        <f t="shared" si="15"/>
        <v>#DIV/0!</v>
      </c>
      <c r="I1315">
        <v>2022</v>
      </c>
      <c r="J1315" t="e">
        <f t="shared" si="16"/>
        <v>#DIV/0!</v>
      </c>
      <c r="K1315" t="e">
        <f t="shared" si="17"/>
        <v>#DIV/0!</v>
      </c>
      <c r="M1315" t="s">
        <v>624</v>
      </c>
      <c r="O1315" t="s">
        <v>40</v>
      </c>
      <c r="P1315" t="s">
        <v>625</v>
      </c>
      <c r="R1315" t="s">
        <v>921</v>
      </c>
      <c r="S1315" t="s">
        <v>945</v>
      </c>
      <c r="T1315" t="s">
        <v>54</v>
      </c>
      <c r="U1315" t="s">
        <v>238</v>
      </c>
      <c r="V1315">
        <v>1</v>
      </c>
      <c r="AB1315" t="s">
        <v>1008</v>
      </c>
    </row>
    <row r="1316" spans="1:28" hidden="1" x14ac:dyDescent="0.2">
      <c r="A1316" s="1">
        <v>44882</v>
      </c>
      <c r="D1316" s="5">
        <v>0.83531250000000001</v>
      </c>
      <c r="E1316">
        <v>-76.642178329999993</v>
      </c>
      <c r="F1316">
        <v>3.3494666670000002</v>
      </c>
      <c r="G1316">
        <v>2369</v>
      </c>
      <c r="H1316" t="e">
        <f t="shared" si="15"/>
        <v>#DIV/0!</v>
      </c>
      <c r="I1316">
        <v>2022</v>
      </c>
      <c r="J1316" t="e">
        <f t="shared" si="16"/>
        <v>#DIV/0!</v>
      </c>
      <c r="K1316" t="e">
        <f t="shared" si="17"/>
        <v>#DIV/0!</v>
      </c>
      <c r="M1316" t="s">
        <v>624</v>
      </c>
      <c r="O1316" t="s">
        <v>40</v>
      </c>
      <c r="P1316" t="s">
        <v>625</v>
      </c>
      <c r="R1316" t="s">
        <v>921</v>
      </c>
      <c r="S1316" t="s">
        <v>998</v>
      </c>
      <c r="T1316" t="s">
        <v>54</v>
      </c>
      <c r="U1316" t="s">
        <v>238</v>
      </c>
      <c r="V1316">
        <v>1</v>
      </c>
      <c r="AB1316" t="s">
        <v>1008</v>
      </c>
    </row>
    <row r="1317" spans="1:28" hidden="1" x14ac:dyDescent="0.2">
      <c r="A1317" s="1">
        <v>44882</v>
      </c>
      <c r="D1317" s="5">
        <v>0.86230324074074072</v>
      </c>
      <c r="E1317">
        <v>-76.642461670000003</v>
      </c>
      <c r="F1317">
        <v>3.3492483329999998</v>
      </c>
      <c r="G1317">
        <v>2369</v>
      </c>
      <c r="H1317" t="e">
        <f t="shared" si="15"/>
        <v>#DIV/0!</v>
      </c>
      <c r="I1317">
        <v>2022</v>
      </c>
      <c r="J1317" t="e">
        <f t="shared" si="16"/>
        <v>#DIV/0!</v>
      </c>
      <c r="K1317" t="e">
        <f t="shared" si="17"/>
        <v>#DIV/0!</v>
      </c>
      <c r="M1317" t="s">
        <v>624</v>
      </c>
      <c r="O1317" t="s">
        <v>40</v>
      </c>
      <c r="P1317" t="s">
        <v>625</v>
      </c>
      <c r="R1317" t="s">
        <v>921</v>
      </c>
      <c r="S1317" t="s">
        <v>998</v>
      </c>
      <c r="T1317" t="s">
        <v>54</v>
      </c>
      <c r="U1317" t="s">
        <v>238</v>
      </c>
      <c r="V1317">
        <v>1</v>
      </c>
      <c r="AB1317" t="s">
        <v>1008</v>
      </c>
    </row>
    <row r="1318" spans="1:28" hidden="1" x14ac:dyDescent="0.2">
      <c r="A1318" s="1">
        <v>44882</v>
      </c>
      <c r="D1318" s="5">
        <v>0.85744212962962962</v>
      </c>
      <c r="E1318">
        <v>-76.642184999999998</v>
      </c>
      <c r="F1318">
        <v>3.3492999999999999</v>
      </c>
      <c r="G1318">
        <v>2369</v>
      </c>
      <c r="H1318" t="e">
        <f t="shared" si="15"/>
        <v>#DIV/0!</v>
      </c>
      <c r="I1318">
        <v>2022</v>
      </c>
      <c r="J1318" t="e">
        <f t="shared" si="16"/>
        <v>#DIV/0!</v>
      </c>
      <c r="K1318" t="e">
        <f t="shared" si="17"/>
        <v>#DIV/0!</v>
      </c>
      <c r="M1318" t="s">
        <v>624</v>
      </c>
      <c r="O1318" t="s">
        <v>40</v>
      </c>
      <c r="P1318" t="s">
        <v>625</v>
      </c>
      <c r="R1318" t="s">
        <v>921</v>
      </c>
      <c r="S1318" t="s">
        <v>945</v>
      </c>
      <c r="T1318" t="s">
        <v>54</v>
      </c>
      <c r="U1318" t="s">
        <v>915</v>
      </c>
      <c r="V1318">
        <v>1</v>
      </c>
      <c r="AB1318" t="s">
        <v>1008</v>
      </c>
    </row>
    <row r="1319" spans="1:28" hidden="1" x14ac:dyDescent="0.2">
      <c r="A1319" s="1">
        <v>44882</v>
      </c>
      <c r="D1319" s="5">
        <v>0.8071990740740741</v>
      </c>
      <c r="E1319">
        <v>-76.640833330000007</v>
      </c>
      <c r="F1319">
        <v>3.3501249999999998</v>
      </c>
      <c r="G1319">
        <v>2369</v>
      </c>
      <c r="H1319" t="e">
        <f t="shared" si="15"/>
        <v>#DIV/0!</v>
      </c>
      <c r="I1319">
        <v>2022</v>
      </c>
      <c r="J1319" t="e">
        <f t="shared" si="16"/>
        <v>#DIV/0!</v>
      </c>
      <c r="K1319" t="e">
        <f t="shared" si="17"/>
        <v>#DIV/0!</v>
      </c>
      <c r="M1319" t="s">
        <v>624</v>
      </c>
      <c r="O1319" t="s">
        <v>38</v>
      </c>
      <c r="P1319" t="s">
        <v>734</v>
      </c>
      <c r="R1319" t="s">
        <v>921</v>
      </c>
      <c r="S1319" t="s">
        <v>945</v>
      </c>
      <c r="T1319" t="s">
        <v>54</v>
      </c>
      <c r="U1319" t="s">
        <v>238</v>
      </c>
      <c r="V1319">
        <v>1</v>
      </c>
      <c r="AB1319" t="s">
        <v>1008</v>
      </c>
    </row>
    <row r="1320" spans="1:28" hidden="1" x14ac:dyDescent="0.2">
      <c r="A1320" s="1">
        <v>44882</v>
      </c>
      <c r="D1320" s="5">
        <v>0.80442129629629633</v>
      </c>
      <c r="E1320">
        <v>-76.640559999999994</v>
      </c>
      <c r="F1320">
        <v>3.3502233330000002</v>
      </c>
      <c r="G1320">
        <v>2369</v>
      </c>
      <c r="H1320" t="e">
        <f t="shared" si="15"/>
        <v>#DIV/0!</v>
      </c>
      <c r="I1320">
        <v>2022</v>
      </c>
      <c r="J1320" t="e">
        <f t="shared" si="16"/>
        <v>#DIV/0!</v>
      </c>
      <c r="K1320" t="e">
        <f t="shared" si="17"/>
        <v>#DIV/0!</v>
      </c>
      <c r="M1320" t="s">
        <v>624</v>
      </c>
      <c r="O1320" t="s">
        <v>38</v>
      </c>
      <c r="P1320" t="s">
        <v>734</v>
      </c>
      <c r="R1320" t="s">
        <v>921</v>
      </c>
      <c r="S1320" t="s">
        <v>945</v>
      </c>
      <c r="T1320" t="s">
        <v>54</v>
      </c>
      <c r="U1320" t="s">
        <v>238</v>
      </c>
      <c r="V1320">
        <v>2</v>
      </c>
      <c r="AB1320" t="s">
        <v>1008</v>
      </c>
    </row>
    <row r="1321" spans="1:28" hidden="1" x14ac:dyDescent="0.2">
      <c r="A1321" s="1">
        <v>44882</v>
      </c>
      <c r="D1321" s="5">
        <v>0.81048611111111113</v>
      </c>
      <c r="E1321">
        <v>-76.640898329999999</v>
      </c>
      <c r="F1321">
        <v>3.3498966669999999</v>
      </c>
      <c r="G1321">
        <v>2369</v>
      </c>
      <c r="H1321" t="e">
        <f t="shared" ref="H1321:H1384" si="18">AVERAGE(Z1321,AE1321)</f>
        <v>#DIV/0!</v>
      </c>
      <c r="I1321">
        <v>2022</v>
      </c>
      <c r="J1321" t="e">
        <f t="shared" ref="J1321:J1384" si="19">AVERAGE(AD1321,AI1321)</f>
        <v>#DIV/0!</v>
      </c>
      <c r="K1321" t="e">
        <f t="shared" ref="K1321:K1384" si="20">AVERAGE(AA1321,AF1321)</f>
        <v>#DIV/0!</v>
      </c>
      <c r="M1321" t="s">
        <v>624</v>
      </c>
      <c r="O1321" t="s">
        <v>38</v>
      </c>
      <c r="P1321" t="s">
        <v>734</v>
      </c>
      <c r="R1321" t="s">
        <v>921</v>
      </c>
      <c r="S1321" t="s">
        <v>998</v>
      </c>
      <c r="T1321" t="s">
        <v>42</v>
      </c>
      <c r="U1321" t="s">
        <v>238</v>
      </c>
      <c r="V1321">
        <v>1</v>
      </c>
      <c r="AB1321" t="s">
        <v>1008</v>
      </c>
    </row>
    <row r="1322" spans="1:28" hidden="1" x14ac:dyDescent="0.2">
      <c r="A1322" s="1">
        <v>44882</v>
      </c>
      <c r="D1322" s="5">
        <v>0.92142361111111115</v>
      </c>
      <c r="E1322">
        <v>-76.646671670000003</v>
      </c>
      <c r="F1322">
        <v>3.3497966670000001</v>
      </c>
      <c r="G1322">
        <v>2369</v>
      </c>
      <c r="H1322" t="e">
        <f t="shared" si="18"/>
        <v>#DIV/0!</v>
      </c>
      <c r="I1322">
        <v>2022</v>
      </c>
      <c r="J1322" t="e">
        <f t="shared" si="19"/>
        <v>#DIV/0!</v>
      </c>
      <c r="K1322" t="e">
        <f t="shared" si="20"/>
        <v>#DIV/0!</v>
      </c>
      <c r="M1322" t="s">
        <v>624</v>
      </c>
      <c r="O1322" t="s">
        <v>40</v>
      </c>
      <c r="P1322" t="s">
        <v>643</v>
      </c>
      <c r="U1322" t="s">
        <v>36</v>
      </c>
      <c r="V1322">
        <v>0</v>
      </c>
    </row>
    <row r="1323" spans="1:28" hidden="1" x14ac:dyDescent="0.2">
      <c r="A1323" s="1">
        <v>44882</v>
      </c>
      <c r="D1323" s="5">
        <v>0.79545138888888889</v>
      </c>
      <c r="E1323">
        <v>-76.640083329999996</v>
      </c>
      <c r="F1323">
        <v>3.3505799999999999</v>
      </c>
      <c r="G1323">
        <v>2369</v>
      </c>
      <c r="H1323" t="e">
        <f t="shared" si="18"/>
        <v>#DIV/0!</v>
      </c>
      <c r="I1323">
        <v>2022</v>
      </c>
      <c r="J1323" t="e">
        <f t="shared" si="19"/>
        <v>#DIV/0!</v>
      </c>
      <c r="K1323" t="e">
        <f t="shared" si="20"/>
        <v>#DIV/0!</v>
      </c>
      <c r="M1323" t="s">
        <v>624</v>
      </c>
      <c r="O1323" t="s">
        <v>40</v>
      </c>
      <c r="P1323" t="s">
        <v>734</v>
      </c>
      <c r="R1323" t="s">
        <v>258</v>
      </c>
      <c r="S1323" t="s">
        <v>999</v>
      </c>
      <c r="T1323" t="s">
        <v>54</v>
      </c>
      <c r="U1323" t="s">
        <v>238</v>
      </c>
      <c r="V1323">
        <v>1</v>
      </c>
      <c r="AB1323" t="s">
        <v>1008</v>
      </c>
    </row>
    <row r="1324" spans="1:28" hidden="1" x14ac:dyDescent="0.2">
      <c r="A1324" s="1">
        <v>44882</v>
      </c>
      <c r="D1324" s="5">
        <v>0.78013888888888894</v>
      </c>
      <c r="E1324">
        <v>-76.639706669999995</v>
      </c>
      <c r="F1324">
        <v>3.35087</v>
      </c>
      <c r="G1324">
        <v>2369</v>
      </c>
      <c r="H1324" t="e">
        <f t="shared" si="18"/>
        <v>#DIV/0!</v>
      </c>
      <c r="I1324">
        <v>2022</v>
      </c>
      <c r="J1324" t="e">
        <f t="shared" si="19"/>
        <v>#DIV/0!</v>
      </c>
      <c r="K1324" t="e">
        <f t="shared" si="20"/>
        <v>#DIV/0!</v>
      </c>
      <c r="M1324" t="s">
        <v>624</v>
      </c>
      <c r="O1324" t="s">
        <v>40</v>
      </c>
      <c r="P1324" t="s">
        <v>734</v>
      </c>
      <c r="R1324" t="s">
        <v>921</v>
      </c>
      <c r="S1324" t="s">
        <v>999</v>
      </c>
      <c r="T1324" t="s">
        <v>42</v>
      </c>
      <c r="U1324" t="s">
        <v>238</v>
      </c>
      <c r="V1324">
        <v>2</v>
      </c>
      <c r="AB1324" t="s">
        <v>1008</v>
      </c>
    </row>
    <row r="1325" spans="1:28" hidden="1" x14ac:dyDescent="0.2">
      <c r="A1325" s="1">
        <v>44882</v>
      </c>
      <c r="D1325" s="5">
        <v>0.781712962962963</v>
      </c>
      <c r="E1325">
        <v>-76.639683329999997</v>
      </c>
      <c r="F1325">
        <v>3.3508849999999999</v>
      </c>
      <c r="G1325">
        <v>2369</v>
      </c>
      <c r="H1325" t="e">
        <f t="shared" si="18"/>
        <v>#DIV/0!</v>
      </c>
      <c r="I1325">
        <v>2022</v>
      </c>
      <c r="J1325" t="e">
        <f t="shared" si="19"/>
        <v>#DIV/0!</v>
      </c>
      <c r="K1325" t="e">
        <f t="shared" si="20"/>
        <v>#DIV/0!</v>
      </c>
      <c r="M1325" t="s">
        <v>624</v>
      </c>
      <c r="O1325" t="s">
        <v>40</v>
      </c>
      <c r="P1325" t="s">
        <v>734</v>
      </c>
      <c r="R1325" t="s">
        <v>921</v>
      </c>
      <c r="S1325" t="s">
        <v>945</v>
      </c>
      <c r="T1325" t="s">
        <v>54</v>
      </c>
      <c r="U1325" t="s">
        <v>238</v>
      </c>
      <c r="V1325">
        <v>1</v>
      </c>
      <c r="AB1325" t="s">
        <v>1008</v>
      </c>
    </row>
    <row r="1326" spans="1:28" hidden="1" x14ac:dyDescent="0.2">
      <c r="A1326" s="1">
        <v>44882</v>
      </c>
      <c r="D1326" s="5">
        <v>0.79019675925925925</v>
      </c>
      <c r="E1326">
        <v>-76.640006670000005</v>
      </c>
      <c r="F1326">
        <v>3.3508116669999999</v>
      </c>
      <c r="G1326">
        <v>2369</v>
      </c>
      <c r="H1326" t="e">
        <f t="shared" si="18"/>
        <v>#DIV/0!</v>
      </c>
      <c r="I1326">
        <v>2022</v>
      </c>
      <c r="J1326" t="e">
        <f t="shared" si="19"/>
        <v>#DIV/0!</v>
      </c>
      <c r="K1326" t="e">
        <f t="shared" si="20"/>
        <v>#DIV/0!</v>
      </c>
      <c r="M1326" t="s">
        <v>624</v>
      </c>
      <c r="O1326" t="s">
        <v>40</v>
      </c>
      <c r="P1326" t="s">
        <v>734</v>
      </c>
      <c r="R1326" t="s">
        <v>921</v>
      </c>
      <c r="S1326" t="s">
        <v>999</v>
      </c>
      <c r="T1326" t="s">
        <v>54</v>
      </c>
      <c r="U1326" t="s">
        <v>915</v>
      </c>
      <c r="V1326">
        <v>1</v>
      </c>
      <c r="AB1326" t="s">
        <v>1008</v>
      </c>
    </row>
    <row r="1327" spans="1:28" hidden="1" x14ac:dyDescent="0.2">
      <c r="A1327" s="1">
        <v>44882</v>
      </c>
      <c r="D1327" s="5">
        <v>0.7830555555555555</v>
      </c>
      <c r="E1327">
        <v>-76.639731670000003</v>
      </c>
      <c r="F1327">
        <v>3.3508100000000001</v>
      </c>
      <c r="G1327">
        <v>2369</v>
      </c>
      <c r="H1327" t="e">
        <f t="shared" si="18"/>
        <v>#DIV/0!</v>
      </c>
      <c r="I1327">
        <v>2022</v>
      </c>
      <c r="J1327" t="e">
        <f t="shared" si="19"/>
        <v>#DIV/0!</v>
      </c>
      <c r="K1327" t="e">
        <f t="shared" si="20"/>
        <v>#DIV/0!</v>
      </c>
      <c r="M1327" t="s">
        <v>624</v>
      </c>
      <c r="O1327" t="s">
        <v>40</v>
      </c>
      <c r="P1327" t="s">
        <v>734</v>
      </c>
      <c r="R1327" t="s">
        <v>921</v>
      </c>
      <c r="S1327" t="s">
        <v>999</v>
      </c>
      <c r="T1327" t="s">
        <v>42</v>
      </c>
      <c r="U1327" t="s">
        <v>238</v>
      </c>
      <c r="V1327">
        <v>1</v>
      </c>
      <c r="AB1327" t="s">
        <v>1008</v>
      </c>
    </row>
    <row r="1328" spans="1:28" hidden="1" x14ac:dyDescent="0.2">
      <c r="A1328" s="1">
        <v>44882</v>
      </c>
      <c r="D1328" s="5">
        <v>0.79325231481481484</v>
      </c>
      <c r="E1328">
        <v>-76.640020000000007</v>
      </c>
      <c r="F1328">
        <v>3.3506749999999998</v>
      </c>
      <c r="G1328">
        <v>2369</v>
      </c>
      <c r="H1328" t="e">
        <f t="shared" si="18"/>
        <v>#DIV/0!</v>
      </c>
      <c r="I1328">
        <v>2022</v>
      </c>
      <c r="J1328" t="e">
        <f t="shared" si="19"/>
        <v>#DIV/0!</v>
      </c>
      <c r="K1328" t="e">
        <f t="shared" si="20"/>
        <v>#DIV/0!</v>
      </c>
      <c r="M1328" t="s">
        <v>624</v>
      </c>
      <c r="O1328" t="s">
        <v>40</v>
      </c>
      <c r="P1328" t="s">
        <v>734</v>
      </c>
      <c r="R1328" t="s">
        <v>921</v>
      </c>
      <c r="S1328" t="s">
        <v>998</v>
      </c>
      <c r="T1328" t="s">
        <v>54</v>
      </c>
      <c r="U1328" t="s">
        <v>238</v>
      </c>
      <c r="V1328">
        <v>1</v>
      </c>
      <c r="AB1328" t="s">
        <v>1008</v>
      </c>
    </row>
    <row r="1329" spans="1:28" hidden="1" x14ac:dyDescent="0.2">
      <c r="A1329" s="1">
        <v>44882</v>
      </c>
      <c r="D1329" s="5">
        <v>0.79325231481481484</v>
      </c>
      <c r="E1329">
        <v>-76.640020000000007</v>
      </c>
      <c r="F1329">
        <v>3.3506749999999998</v>
      </c>
      <c r="G1329">
        <v>2369</v>
      </c>
      <c r="H1329" t="e">
        <f t="shared" si="18"/>
        <v>#DIV/0!</v>
      </c>
      <c r="I1329">
        <v>2022</v>
      </c>
      <c r="J1329" t="e">
        <f t="shared" si="19"/>
        <v>#DIV/0!</v>
      </c>
      <c r="K1329" t="e">
        <f t="shared" si="20"/>
        <v>#DIV/0!</v>
      </c>
      <c r="M1329" t="s">
        <v>624</v>
      </c>
      <c r="O1329" t="s">
        <v>40</v>
      </c>
      <c r="P1329" t="s">
        <v>734</v>
      </c>
      <c r="R1329" t="s">
        <v>921</v>
      </c>
      <c r="S1329" t="s">
        <v>999</v>
      </c>
      <c r="T1329" t="s">
        <v>54</v>
      </c>
      <c r="U1329" t="s">
        <v>915</v>
      </c>
      <c r="V1329">
        <v>1</v>
      </c>
      <c r="AB1329" t="s">
        <v>1008</v>
      </c>
    </row>
    <row r="1330" spans="1:28" hidden="1" x14ac:dyDescent="0.2">
      <c r="A1330" s="1">
        <v>44882</v>
      </c>
      <c r="D1330" s="5">
        <v>0.77789351851851851</v>
      </c>
      <c r="E1330">
        <v>-76.639611669999994</v>
      </c>
      <c r="F1330">
        <v>3.3509000000000002</v>
      </c>
      <c r="G1330">
        <v>2369</v>
      </c>
      <c r="H1330" t="e">
        <f t="shared" si="18"/>
        <v>#DIV/0!</v>
      </c>
      <c r="I1330">
        <v>2022</v>
      </c>
      <c r="J1330" t="e">
        <f t="shared" si="19"/>
        <v>#DIV/0!</v>
      </c>
      <c r="K1330" t="e">
        <f t="shared" si="20"/>
        <v>#DIV/0!</v>
      </c>
      <c r="M1330" t="s">
        <v>624</v>
      </c>
      <c r="O1330" t="s">
        <v>40</v>
      </c>
      <c r="P1330" t="s">
        <v>734</v>
      </c>
      <c r="R1330" t="s">
        <v>921</v>
      </c>
      <c r="S1330" t="s">
        <v>999</v>
      </c>
      <c r="T1330" t="s">
        <v>54</v>
      </c>
      <c r="U1330" t="s">
        <v>238</v>
      </c>
      <c r="V1330">
        <v>1</v>
      </c>
      <c r="AB1330" t="s">
        <v>1008</v>
      </c>
    </row>
    <row r="1331" spans="1:28" hidden="1" x14ac:dyDescent="0.2">
      <c r="A1331" s="1">
        <v>44882</v>
      </c>
      <c r="D1331" s="5">
        <v>0.91533564814814816</v>
      </c>
      <c r="E1331">
        <v>-76.645431669999994</v>
      </c>
      <c r="F1331">
        <v>3.349751667</v>
      </c>
      <c r="G1331">
        <v>2369</v>
      </c>
      <c r="H1331" t="e">
        <f t="shared" si="18"/>
        <v>#DIV/0!</v>
      </c>
      <c r="I1331">
        <v>2022</v>
      </c>
      <c r="J1331" t="e">
        <f t="shared" si="19"/>
        <v>#DIV/0!</v>
      </c>
      <c r="K1331" t="e">
        <f t="shared" si="20"/>
        <v>#DIV/0!</v>
      </c>
      <c r="M1331" t="s">
        <v>624</v>
      </c>
      <c r="O1331" t="s">
        <v>47</v>
      </c>
      <c r="P1331" t="s">
        <v>643</v>
      </c>
      <c r="U1331" t="s">
        <v>36</v>
      </c>
      <c r="V1331">
        <v>0</v>
      </c>
    </row>
    <row r="1332" spans="1:28" hidden="1" x14ac:dyDescent="0.2">
      <c r="A1332" s="1">
        <v>44882</v>
      </c>
      <c r="D1332" s="5">
        <v>0.89809027777777772</v>
      </c>
      <c r="E1332">
        <v>-76.643531670000002</v>
      </c>
      <c r="F1332">
        <v>3.3495300000000001</v>
      </c>
      <c r="G1332">
        <v>2369</v>
      </c>
      <c r="H1332" t="e">
        <f t="shared" si="18"/>
        <v>#DIV/0!</v>
      </c>
      <c r="I1332">
        <v>2022</v>
      </c>
      <c r="J1332" t="e">
        <f t="shared" si="19"/>
        <v>#DIV/0!</v>
      </c>
      <c r="K1332" t="e">
        <f t="shared" si="20"/>
        <v>#DIV/0!</v>
      </c>
      <c r="M1332" t="s">
        <v>624</v>
      </c>
      <c r="O1332" t="s">
        <v>32</v>
      </c>
      <c r="P1332" t="s">
        <v>625</v>
      </c>
      <c r="R1332" t="s">
        <v>921</v>
      </c>
      <c r="S1332" t="s">
        <v>998</v>
      </c>
      <c r="T1332" t="s">
        <v>54</v>
      </c>
      <c r="U1332" t="s">
        <v>915</v>
      </c>
      <c r="V1332">
        <v>1</v>
      </c>
      <c r="AB1332" t="s">
        <v>1008</v>
      </c>
    </row>
    <row r="1333" spans="1:28" hidden="1" x14ac:dyDescent="0.2">
      <c r="A1333" s="1">
        <v>44882</v>
      </c>
      <c r="D1333" s="5">
        <v>0.90377314814814813</v>
      </c>
      <c r="E1333">
        <v>-76.64384167</v>
      </c>
      <c r="F1333">
        <v>3.3497333330000001</v>
      </c>
      <c r="G1333">
        <v>2369</v>
      </c>
      <c r="H1333" t="e">
        <f t="shared" si="18"/>
        <v>#DIV/0!</v>
      </c>
      <c r="I1333">
        <v>2022</v>
      </c>
      <c r="J1333" t="e">
        <f t="shared" si="19"/>
        <v>#DIV/0!</v>
      </c>
      <c r="K1333" t="e">
        <f t="shared" si="20"/>
        <v>#DIV/0!</v>
      </c>
      <c r="M1333" t="s">
        <v>624</v>
      </c>
      <c r="O1333" t="s">
        <v>32</v>
      </c>
      <c r="P1333" t="s">
        <v>625</v>
      </c>
      <c r="R1333" t="s">
        <v>921</v>
      </c>
      <c r="S1333" t="s">
        <v>998</v>
      </c>
      <c r="T1333" t="s">
        <v>54</v>
      </c>
      <c r="U1333" t="s">
        <v>238</v>
      </c>
      <c r="V1333">
        <v>1</v>
      </c>
      <c r="AB1333" t="s">
        <v>1008</v>
      </c>
    </row>
    <row r="1334" spans="1:28" hidden="1" x14ac:dyDescent="0.2">
      <c r="A1334" s="1">
        <v>44882</v>
      </c>
      <c r="D1334" s="5">
        <v>0.90377314814814813</v>
      </c>
      <c r="E1334">
        <v>-76.64384167</v>
      </c>
      <c r="F1334">
        <v>3.3497333330000001</v>
      </c>
      <c r="G1334">
        <v>2369</v>
      </c>
      <c r="H1334" t="e">
        <f t="shared" si="18"/>
        <v>#DIV/0!</v>
      </c>
      <c r="I1334">
        <v>2022</v>
      </c>
      <c r="J1334" t="e">
        <f t="shared" si="19"/>
        <v>#DIV/0!</v>
      </c>
      <c r="K1334" t="e">
        <f t="shared" si="20"/>
        <v>#DIV/0!</v>
      </c>
      <c r="M1334" t="s">
        <v>624</v>
      </c>
      <c r="O1334" t="s">
        <v>32</v>
      </c>
      <c r="P1334" t="s">
        <v>625</v>
      </c>
      <c r="R1334" t="s">
        <v>921</v>
      </c>
      <c r="S1334" t="s">
        <v>945</v>
      </c>
      <c r="T1334" t="s">
        <v>54</v>
      </c>
      <c r="U1334" t="s">
        <v>723</v>
      </c>
      <c r="V1334">
        <v>1</v>
      </c>
      <c r="AB1334" t="s">
        <v>66</v>
      </c>
    </row>
    <row r="1335" spans="1:28" hidden="1" x14ac:dyDescent="0.2">
      <c r="A1335" s="1">
        <v>44882</v>
      </c>
      <c r="D1335" s="5">
        <v>0.90504629629629629</v>
      </c>
      <c r="E1335">
        <v>-76.643969999999996</v>
      </c>
      <c r="F1335">
        <v>3.3497383329999999</v>
      </c>
      <c r="G1335">
        <v>2369</v>
      </c>
      <c r="H1335" t="e">
        <f t="shared" si="18"/>
        <v>#DIV/0!</v>
      </c>
      <c r="I1335">
        <v>2022</v>
      </c>
      <c r="J1335" t="e">
        <f t="shared" si="19"/>
        <v>#DIV/0!</v>
      </c>
      <c r="K1335" t="e">
        <f t="shared" si="20"/>
        <v>#DIV/0!</v>
      </c>
      <c r="M1335" t="s">
        <v>624</v>
      </c>
      <c r="O1335" t="s">
        <v>32</v>
      </c>
      <c r="P1335" t="s">
        <v>625</v>
      </c>
      <c r="R1335" t="s">
        <v>921</v>
      </c>
      <c r="S1335" t="s">
        <v>999</v>
      </c>
      <c r="T1335" t="s">
        <v>54</v>
      </c>
      <c r="U1335" t="s">
        <v>238</v>
      </c>
      <c r="V1335">
        <v>1</v>
      </c>
      <c r="AB1335" t="s">
        <v>1008</v>
      </c>
    </row>
    <row r="1336" spans="1:28" hidden="1" x14ac:dyDescent="0.2">
      <c r="A1336" s="1">
        <v>44882</v>
      </c>
      <c r="D1336" s="5">
        <v>0.90842592592592597</v>
      </c>
      <c r="E1336">
        <v>-76.644211670000004</v>
      </c>
      <c r="F1336">
        <v>3.3496450000000002</v>
      </c>
      <c r="G1336">
        <v>2369</v>
      </c>
      <c r="H1336" t="e">
        <f t="shared" si="18"/>
        <v>#DIV/0!</v>
      </c>
      <c r="I1336">
        <v>2022</v>
      </c>
      <c r="J1336" t="e">
        <f t="shared" si="19"/>
        <v>#DIV/0!</v>
      </c>
      <c r="K1336" t="e">
        <f t="shared" si="20"/>
        <v>#DIV/0!</v>
      </c>
      <c r="M1336" t="s">
        <v>624</v>
      </c>
      <c r="O1336" t="s">
        <v>32</v>
      </c>
      <c r="P1336" t="s">
        <v>625</v>
      </c>
      <c r="R1336" t="s">
        <v>921</v>
      </c>
      <c r="S1336" t="s">
        <v>999</v>
      </c>
      <c r="T1336" t="s">
        <v>54</v>
      </c>
      <c r="U1336" t="s">
        <v>238</v>
      </c>
      <c r="V1336">
        <v>1</v>
      </c>
      <c r="AB1336" t="s">
        <v>1008</v>
      </c>
    </row>
    <row r="1337" spans="1:28" hidden="1" x14ac:dyDescent="0.2">
      <c r="A1337" s="1">
        <v>44881</v>
      </c>
      <c r="D1337" s="5">
        <v>0.85028935185185184</v>
      </c>
      <c r="E1337">
        <v>-76.652805000000001</v>
      </c>
      <c r="F1337">
        <v>3.353611667</v>
      </c>
      <c r="G1337">
        <v>2523</v>
      </c>
      <c r="H1337" t="e">
        <f t="shared" si="18"/>
        <v>#DIV/0!</v>
      </c>
      <c r="I1337">
        <v>2022</v>
      </c>
      <c r="J1337" t="e">
        <f t="shared" si="19"/>
        <v>#DIV/0!</v>
      </c>
      <c r="K1337" t="e">
        <f t="shared" si="20"/>
        <v>#DIV/0!</v>
      </c>
      <c r="M1337" t="s">
        <v>624</v>
      </c>
      <c r="O1337" t="s">
        <v>47</v>
      </c>
      <c r="P1337" t="s">
        <v>690</v>
      </c>
      <c r="R1337" t="s">
        <v>919</v>
      </c>
      <c r="S1337" t="s">
        <v>945</v>
      </c>
      <c r="T1337" t="s">
        <v>54</v>
      </c>
      <c r="U1337" t="s">
        <v>933</v>
      </c>
      <c r="V1337">
        <v>1</v>
      </c>
      <c r="Z1337" t="s">
        <v>1013</v>
      </c>
      <c r="AB1337" t="s">
        <v>1008</v>
      </c>
    </row>
    <row r="1338" spans="1:28" hidden="1" x14ac:dyDescent="0.2">
      <c r="A1338" s="1">
        <v>44881</v>
      </c>
      <c r="D1338" s="5">
        <v>0.86284722222222221</v>
      </c>
      <c r="E1338">
        <v>-76.652068330000006</v>
      </c>
      <c r="F1338">
        <v>3.3534199999999998</v>
      </c>
      <c r="G1338">
        <v>2523</v>
      </c>
      <c r="H1338" t="e">
        <f t="shared" si="18"/>
        <v>#DIV/0!</v>
      </c>
      <c r="I1338">
        <v>2022</v>
      </c>
      <c r="J1338" t="e">
        <f t="shared" si="19"/>
        <v>#DIV/0!</v>
      </c>
      <c r="K1338" t="e">
        <f t="shared" si="20"/>
        <v>#DIV/0!</v>
      </c>
      <c r="M1338" t="s">
        <v>624</v>
      </c>
      <c r="O1338" t="s">
        <v>47</v>
      </c>
      <c r="P1338" t="s">
        <v>690</v>
      </c>
      <c r="R1338" t="s">
        <v>919</v>
      </c>
      <c r="S1338" t="s">
        <v>999</v>
      </c>
      <c r="T1338" t="s">
        <v>54</v>
      </c>
      <c r="U1338" t="s">
        <v>238</v>
      </c>
      <c r="V1338">
        <v>1</v>
      </c>
      <c r="AB1338" t="s">
        <v>1008</v>
      </c>
    </row>
    <row r="1339" spans="1:28" hidden="1" x14ac:dyDescent="0.2">
      <c r="A1339" s="1">
        <v>44881</v>
      </c>
      <c r="D1339" s="5">
        <v>0.80108796296296292</v>
      </c>
      <c r="E1339">
        <v>-76.655746669999999</v>
      </c>
      <c r="F1339">
        <v>3.354425</v>
      </c>
      <c r="G1339">
        <v>2533</v>
      </c>
      <c r="H1339" t="e">
        <f t="shared" si="18"/>
        <v>#DIV/0!</v>
      </c>
      <c r="I1339">
        <v>2022</v>
      </c>
      <c r="J1339" t="e">
        <f t="shared" si="19"/>
        <v>#DIV/0!</v>
      </c>
      <c r="K1339" t="e">
        <f t="shared" si="20"/>
        <v>#DIV/0!</v>
      </c>
      <c r="M1339" t="s">
        <v>624</v>
      </c>
      <c r="O1339" t="s">
        <v>32</v>
      </c>
      <c r="P1339" t="s">
        <v>720</v>
      </c>
      <c r="R1339" t="s">
        <v>919</v>
      </c>
      <c r="S1339" t="s">
        <v>945</v>
      </c>
      <c r="T1339" t="s">
        <v>54</v>
      </c>
      <c r="U1339" t="s">
        <v>238</v>
      </c>
      <c r="V1339">
        <v>1</v>
      </c>
      <c r="AB1339" t="s">
        <v>66</v>
      </c>
    </row>
    <row r="1340" spans="1:28" hidden="1" x14ac:dyDescent="0.2">
      <c r="A1340" s="1">
        <v>44881</v>
      </c>
      <c r="D1340" s="5">
        <v>0.79531249999999998</v>
      </c>
      <c r="E1340">
        <v>-76.655716670000004</v>
      </c>
      <c r="F1340">
        <v>3.3544616669999998</v>
      </c>
      <c r="G1340">
        <v>2533</v>
      </c>
      <c r="H1340" t="e">
        <f t="shared" si="18"/>
        <v>#DIV/0!</v>
      </c>
      <c r="I1340">
        <v>2022</v>
      </c>
      <c r="J1340" t="e">
        <f t="shared" si="19"/>
        <v>#DIV/0!</v>
      </c>
      <c r="K1340" t="e">
        <f t="shared" si="20"/>
        <v>#DIV/0!</v>
      </c>
      <c r="M1340" t="s">
        <v>624</v>
      </c>
      <c r="O1340" t="s">
        <v>32</v>
      </c>
      <c r="P1340" t="s">
        <v>720</v>
      </c>
      <c r="R1340" t="s">
        <v>919</v>
      </c>
      <c r="S1340" t="s">
        <v>999</v>
      </c>
      <c r="T1340" t="s">
        <v>54</v>
      </c>
      <c r="U1340" t="s">
        <v>723</v>
      </c>
      <c r="V1340">
        <v>1</v>
      </c>
      <c r="AB1340" t="s">
        <v>1008</v>
      </c>
    </row>
    <row r="1341" spans="1:28" hidden="1" x14ac:dyDescent="0.2">
      <c r="A1341" s="1">
        <v>44881</v>
      </c>
      <c r="D1341" s="5">
        <v>0.84218749999999998</v>
      </c>
      <c r="E1341">
        <v>-76.652889999999999</v>
      </c>
      <c r="F1341">
        <v>3.353506667</v>
      </c>
      <c r="G1341">
        <v>2533</v>
      </c>
      <c r="H1341" t="e">
        <f t="shared" si="18"/>
        <v>#DIV/0!</v>
      </c>
      <c r="I1341">
        <v>2022</v>
      </c>
      <c r="J1341" t="e">
        <f t="shared" si="19"/>
        <v>#DIV/0!</v>
      </c>
      <c r="K1341" t="e">
        <f t="shared" si="20"/>
        <v>#DIV/0!</v>
      </c>
      <c r="M1341" t="s">
        <v>624</v>
      </c>
      <c r="O1341" t="s">
        <v>58</v>
      </c>
      <c r="P1341" t="s">
        <v>690</v>
      </c>
      <c r="R1341" t="s">
        <v>919</v>
      </c>
      <c r="S1341" t="s">
        <v>945</v>
      </c>
      <c r="T1341" t="s">
        <v>42</v>
      </c>
      <c r="U1341" t="s">
        <v>723</v>
      </c>
      <c r="V1341">
        <v>1</v>
      </c>
      <c r="AB1341" t="s">
        <v>1008</v>
      </c>
    </row>
    <row r="1342" spans="1:28" hidden="1" x14ac:dyDescent="0.2">
      <c r="A1342" s="1">
        <v>44881</v>
      </c>
      <c r="D1342" s="5">
        <v>0.83478009259259256</v>
      </c>
      <c r="E1342">
        <v>-76.653665000000004</v>
      </c>
      <c r="F1342">
        <v>3.3531166670000001</v>
      </c>
      <c r="G1342">
        <v>2533</v>
      </c>
      <c r="H1342" t="e">
        <f t="shared" si="18"/>
        <v>#DIV/0!</v>
      </c>
      <c r="I1342">
        <v>2022</v>
      </c>
      <c r="J1342" t="e">
        <f t="shared" si="19"/>
        <v>#DIV/0!</v>
      </c>
      <c r="K1342" t="e">
        <f t="shared" si="20"/>
        <v>#DIV/0!</v>
      </c>
      <c r="M1342" t="s">
        <v>624</v>
      </c>
      <c r="O1342" t="s">
        <v>58</v>
      </c>
      <c r="P1342" t="s">
        <v>690</v>
      </c>
      <c r="R1342" t="s">
        <v>919</v>
      </c>
      <c r="S1342" t="s">
        <v>999</v>
      </c>
      <c r="T1342" t="s">
        <v>54</v>
      </c>
      <c r="U1342" t="s">
        <v>723</v>
      </c>
      <c r="V1342">
        <v>1</v>
      </c>
      <c r="Z1342" t="s">
        <v>1013</v>
      </c>
      <c r="AB1342" t="s">
        <v>1008</v>
      </c>
    </row>
    <row r="1343" spans="1:28" hidden="1" x14ac:dyDescent="0.2">
      <c r="A1343" s="1">
        <v>44881</v>
      </c>
      <c r="D1343" s="5">
        <v>0.77501157407407406</v>
      </c>
      <c r="E1343">
        <v>-76.656256670000005</v>
      </c>
      <c r="F1343">
        <v>3.355336667</v>
      </c>
      <c r="G1343">
        <v>2533</v>
      </c>
      <c r="H1343" t="e">
        <f t="shared" si="18"/>
        <v>#DIV/0!</v>
      </c>
      <c r="I1343">
        <v>2022</v>
      </c>
      <c r="J1343" t="e">
        <f t="shared" si="19"/>
        <v>#DIV/0!</v>
      </c>
      <c r="K1343" t="e">
        <f t="shared" si="20"/>
        <v>#DIV/0!</v>
      </c>
      <c r="M1343" t="s">
        <v>624</v>
      </c>
      <c r="O1343" t="s">
        <v>40</v>
      </c>
      <c r="P1343" t="s">
        <v>720</v>
      </c>
      <c r="R1343" t="s">
        <v>922</v>
      </c>
      <c r="S1343" t="s">
        <v>945</v>
      </c>
      <c r="T1343" t="s">
        <v>54</v>
      </c>
      <c r="U1343" t="s">
        <v>723</v>
      </c>
      <c r="V1343">
        <v>2</v>
      </c>
      <c r="AB1343" t="s">
        <v>66</v>
      </c>
    </row>
    <row r="1344" spans="1:28" hidden="1" x14ac:dyDescent="0.2">
      <c r="A1344" s="1">
        <v>44881</v>
      </c>
      <c r="D1344" s="5">
        <v>0.88688657407407412</v>
      </c>
      <c r="E1344">
        <v>-76.649754999999999</v>
      </c>
      <c r="F1344">
        <v>3.3528383329999998</v>
      </c>
      <c r="G1344">
        <v>2523</v>
      </c>
      <c r="H1344" t="e">
        <f t="shared" si="18"/>
        <v>#DIV/0!</v>
      </c>
      <c r="I1344">
        <v>2022</v>
      </c>
      <c r="J1344" t="e">
        <f t="shared" si="19"/>
        <v>#DIV/0!</v>
      </c>
      <c r="K1344" t="e">
        <f t="shared" si="20"/>
        <v>#DIV/0!</v>
      </c>
      <c r="M1344" t="s">
        <v>624</v>
      </c>
      <c r="O1344" t="s">
        <v>40</v>
      </c>
      <c r="P1344" t="s">
        <v>690</v>
      </c>
      <c r="R1344" t="s">
        <v>919</v>
      </c>
      <c r="S1344" t="s">
        <v>945</v>
      </c>
      <c r="T1344" t="s">
        <v>54</v>
      </c>
      <c r="U1344" t="s">
        <v>723</v>
      </c>
      <c r="V1344">
        <v>1</v>
      </c>
      <c r="AB1344" t="s">
        <v>66</v>
      </c>
    </row>
    <row r="1345" spans="1:28" hidden="1" x14ac:dyDescent="0.2">
      <c r="A1345" s="1">
        <v>44881</v>
      </c>
      <c r="D1345" s="5">
        <v>0.87944444444444447</v>
      </c>
      <c r="E1345">
        <v>-76.650390000000002</v>
      </c>
      <c r="F1345">
        <v>3.3528216670000002</v>
      </c>
      <c r="G1345">
        <v>2523</v>
      </c>
      <c r="H1345" t="e">
        <f t="shared" si="18"/>
        <v>#DIV/0!</v>
      </c>
      <c r="I1345">
        <v>2022</v>
      </c>
      <c r="J1345" t="e">
        <f t="shared" si="19"/>
        <v>#DIV/0!</v>
      </c>
      <c r="K1345" t="e">
        <f t="shared" si="20"/>
        <v>#DIV/0!</v>
      </c>
      <c r="M1345" t="s">
        <v>624</v>
      </c>
      <c r="O1345" t="s">
        <v>40</v>
      </c>
      <c r="P1345" t="s">
        <v>690</v>
      </c>
      <c r="R1345" t="s">
        <v>919</v>
      </c>
      <c r="S1345" t="s">
        <v>998</v>
      </c>
      <c r="T1345" t="s">
        <v>54</v>
      </c>
      <c r="U1345" t="s">
        <v>915</v>
      </c>
      <c r="V1345">
        <v>1</v>
      </c>
      <c r="AB1345" t="s">
        <v>1008</v>
      </c>
    </row>
    <row r="1346" spans="1:28" hidden="1" x14ac:dyDescent="0.2">
      <c r="A1346" s="1">
        <v>44881</v>
      </c>
      <c r="D1346" s="5">
        <v>0.77964120370370371</v>
      </c>
      <c r="E1346">
        <v>-76.656366669999997</v>
      </c>
      <c r="F1346">
        <v>3.3550466669999999</v>
      </c>
      <c r="G1346">
        <v>2533</v>
      </c>
      <c r="H1346" t="e">
        <f t="shared" si="18"/>
        <v>#DIV/0!</v>
      </c>
      <c r="I1346">
        <v>2022</v>
      </c>
      <c r="J1346" t="e">
        <f t="shared" si="19"/>
        <v>#DIV/0!</v>
      </c>
      <c r="K1346" t="e">
        <f t="shared" si="20"/>
        <v>#DIV/0!</v>
      </c>
      <c r="M1346" t="s">
        <v>624</v>
      </c>
      <c r="O1346" t="s">
        <v>38</v>
      </c>
      <c r="P1346" t="s">
        <v>720</v>
      </c>
      <c r="R1346" t="s">
        <v>919</v>
      </c>
      <c r="S1346" t="s">
        <v>945</v>
      </c>
      <c r="T1346" t="s">
        <v>54</v>
      </c>
      <c r="U1346" t="s">
        <v>723</v>
      </c>
      <c r="V1346">
        <v>1</v>
      </c>
      <c r="AB1346" t="s">
        <v>66</v>
      </c>
    </row>
    <row r="1347" spans="1:28" hidden="1" x14ac:dyDescent="0.2">
      <c r="A1347" s="1">
        <v>44881</v>
      </c>
      <c r="D1347" s="5">
        <v>0.77964120370370371</v>
      </c>
      <c r="E1347">
        <v>-76.656366669999997</v>
      </c>
      <c r="F1347">
        <v>3.3550466669999999</v>
      </c>
      <c r="G1347">
        <v>2533</v>
      </c>
      <c r="H1347" t="e">
        <f t="shared" si="18"/>
        <v>#DIV/0!</v>
      </c>
      <c r="I1347">
        <v>2022</v>
      </c>
      <c r="J1347" t="e">
        <f t="shared" si="19"/>
        <v>#DIV/0!</v>
      </c>
      <c r="K1347" t="e">
        <f t="shared" si="20"/>
        <v>#DIV/0!</v>
      </c>
      <c r="M1347" t="s">
        <v>624</v>
      </c>
      <c r="O1347" t="s">
        <v>38</v>
      </c>
      <c r="P1347" t="s">
        <v>720</v>
      </c>
      <c r="R1347" t="s">
        <v>919</v>
      </c>
      <c r="S1347" t="s">
        <v>945</v>
      </c>
      <c r="T1347" t="s">
        <v>54</v>
      </c>
      <c r="U1347" t="s">
        <v>238</v>
      </c>
      <c r="V1347">
        <v>1</v>
      </c>
      <c r="AB1347" t="s">
        <v>66</v>
      </c>
    </row>
    <row r="1348" spans="1:28" hidden="1" x14ac:dyDescent="0.2">
      <c r="A1348" s="1">
        <v>44881</v>
      </c>
      <c r="D1348" s="5">
        <v>0.89098379629629632</v>
      </c>
      <c r="E1348">
        <v>-76.649523329999994</v>
      </c>
      <c r="F1348">
        <v>3.3526400000000001</v>
      </c>
      <c r="G1348">
        <v>2523</v>
      </c>
      <c r="H1348" t="e">
        <f t="shared" si="18"/>
        <v>#DIV/0!</v>
      </c>
      <c r="I1348">
        <v>2022</v>
      </c>
      <c r="J1348" t="e">
        <f t="shared" si="19"/>
        <v>#DIV/0!</v>
      </c>
      <c r="K1348" t="e">
        <f t="shared" si="20"/>
        <v>#DIV/0!</v>
      </c>
      <c r="M1348" t="s">
        <v>624</v>
      </c>
      <c r="O1348" t="s">
        <v>38</v>
      </c>
      <c r="P1348" t="s">
        <v>690</v>
      </c>
      <c r="R1348" t="s">
        <v>919</v>
      </c>
      <c r="S1348" t="s">
        <v>999</v>
      </c>
      <c r="T1348" t="s">
        <v>54</v>
      </c>
      <c r="U1348" t="s">
        <v>238</v>
      </c>
      <c r="V1348">
        <v>1</v>
      </c>
      <c r="AB1348" t="s">
        <v>1008</v>
      </c>
    </row>
    <row r="1349" spans="1:28" hidden="1" x14ac:dyDescent="0.2">
      <c r="A1349" s="1">
        <v>44881</v>
      </c>
      <c r="D1349" s="5">
        <v>0.90695601851851848</v>
      </c>
      <c r="E1349">
        <v>-76.648120000000006</v>
      </c>
      <c r="F1349">
        <v>3.35236</v>
      </c>
      <c r="G1349">
        <v>2523</v>
      </c>
      <c r="H1349" t="e">
        <f t="shared" si="18"/>
        <v>#DIV/0!</v>
      </c>
      <c r="I1349">
        <v>2022</v>
      </c>
      <c r="J1349" t="e">
        <f t="shared" si="19"/>
        <v>#DIV/0!</v>
      </c>
      <c r="K1349" t="e">
        <f t="shared" si="20"/>
        <v>#DIV/0!</v>
      </c>
      <c r="M1349" t="s">
        <v>624</v>
      </c>
      <c r="O1349" t="s">
        <v>32</v>
      </c>
      <c r="P1349" t="s">
        <v>690</v>
      </c>
      <c r="R1349" t="s">
        <v>919</v>
      </c>
      <c r="S1349" t="s">
        <v>945</v>
      </c>
      <c r="T1349" t="s">
        <v>54</v>
      </c>
      <c r="U1349" t="s">
        <v>925</v>
      </c>
      <c r="V1349">
        <v>1</v>
      </c>
      <c r="AB1349" t="s">
        <v>1008</v>
      </c>
    </row>
    <row r="1350" spans="1:28" hidden="1" x14ac:dyDescent="0.2">
      <c r="A1350" s="1">
        <v>44880</v>
      </c>
      <c r="D1350" s="5">
        <v>0.86276620370370372</v>
      </c>
      <c r="E1350">
        <v>-76.647231669999996</v>
      </c>
      <c r="F1350">
        <v>3.3496566670000001</v>
      </c>
      <c r="G1350">
        <v>2397</v>
      </c>
      <c r="H1350" t="e">
        <f t="shared" si="18"/>
        <v>#DIV/0!</v>
      </c>
      <c r="I1350">
        <v>2022</v>
      </c>
      <c r="J1350" t="e">
        <f t="shared" si="19"/>
        <v>#DIV/0!</v>
      </c>
      <c r="K1350" t="e">
        <f t="shared" si="20"/>
        <v>#DIV/0!</v>
      </c>
      <c r="M1350" t="s">
        <v>624</v>
      </c>
      <c r="O1350" t="s">
        <v>38</v>
      </c>
      <c r="P1350" t="s">
        <v>643</v>
      </c>
      <c r="R1350" t="s">
        <v>258</v>
      </c>
      <c r="S1350" t="s">
        <v>945</v>
      </c>
      <c r="T1350" t="s">
        <v>54</v>
      </c>
      <c r="U1350" t="s">
        <v>371</v>
      </c>
      <c r="V1350">
        <v>1</v>
      </c>
      <c r="AB1350" t="s">
        <v>1008</v>
      </c>
    </row>
    <row r="1351" spans="1:28" hidden="1" x14ac:dyDescent="0.2">
      <c r="A1351" s="1">
        <v>44880</v>
      </c>
      <c r="D1351" s="5">
        <v>0.86276620370370372</v>
      </c>
      <c r="E1351">
        <v>-76.647231669999996</v>
      </c>
      <c r="F1351">
        <v>3.3496566670000001</v>
      </c>
      <c r="G1351">
        <v>2397</v>
      </c>
      <c r="H1351" t="e">
        <f t="shared" si="18"/>
        <v>#DIV/0!</v>
      </c>
      <c r="I1351">
        <v>2022</v>
      </c>
      <c r="J1351" t="e">
        <f t="shared" si="19"/>
        <v>#DIV/0!</v>
      </c>
      <c r="K1351" t="e">
        <f t="shared" si="20"/>
        <v>#DIV/0!</v>
      </c>
      <c r="M1351" t="s">
        <v>624</v>
      </c>
      <c r="O1351" t="s">
        <v>38</v>
      </c>
      <c r="P1351" t="s">
        <v>643</v>
      </c>
      <c r="R1351" t="s">
        <v>258</v>
      </c>
      <c r="S1351" t="s">
        <v>999</v>
      </c>
      <c r="T1351" t="s">
        <v>54</v>
      </c>
      <c r="U1351" t="s">
        <v>371</v>
      </c>
      <c r="V1351">
        <v>1</v>
      </c>
      <c r="AB1351" t="s">
        <v>1008</v>
      </c>
    </row>
    <row r="1352" spans="1:28" hidden="1" x14ac:dyDescent="0.2">
      <c r="A1352" s="1">
        <v>44880</v>
      </c>
      <c r="D1352" s="5">
        <v>0.85990740740740745</v>
      </c>
      <c r="E1352">
        <v>-76.647136669999995</v>
      </c>
      <c r="F1352">
        <v>3.3497033329999999</v>
      </c>
      <c r="G1352">
        <v>2397</v>
      </c>
      <c r="H1352" t="e">
        <f t="shared" si="18"/>
        <v>#DIV/0!</v>
      </c>
      <c r="I1352">
        <v>2022</v>
      </c>
      <c r="J1352" t="e">
        <f t="shared" si="19"/>
        <v>#DIV/0!</v>
      </c>
      <c r="K1352" t="e">
        <f t="shared" si="20"/>
        <v>#DIV/0!</v>
      </c>
      <c r="M1352" t="s">
        <v>624</v>
      </c>
      <c r="O1352" t="s">
        <v>38</v>
      </c>
      <c r="P1352" t="s">
        <v>643</v>
      </c>
      <c r="R1352" t="s">
        <v>258</v>
      </c>
      <c r="S1352" t="s">
        <v>945</v>
      </c>
      <c r="T1352" t="s">
        <v>91</v>
      </c>
      <c r="U1352" t="s">
        <v>238</v>
      </c>
      <c r="V1352">
        <v>1</v>
      </c>
      <c r="W1352" t="s">
        <v>1141</v>
      </c>
      <c r="AB1352" t="s">
        <v>66</v>
      </c>
    </row>
    <row r="1353" spans="1:28" hidden="1" x14ac:dyDescent="0.2">
      <c r="A1353" s="1">
        <v>44880</v>
      </c>
      <c r="D1353" s="5">
        <v>0.87130787037037039</v>
      </c>
      <c r="E1353">
        <v>-76.647106669999999</v>
      </c>
      <c r="F1353">
        <v>3.3494999999999999</v>
      </c>
      <c r="G1353">
        <v>2397</v>
      </c>
      <c r="H1353" t="e">
        <f t="shared" si="18"/>
        <v>#DIV/0!</v>
      </c>
      <c r="I1353">
        <v>2022</v>
      </c>
      <c r="J1353" t="e">
        <f t="shared" si="19"/>
        <v>#DIV/0!</v>
      </c>
      <c r="K1353" t="e">
        <f t="shared" si="20"/>
        <v>#DIV/0!</v>
      </c>
      <c r="M1353" t="s">
        <v>624</v>
      </c>
      <c r="O1353" t="s">
        <v>38</v>
      </c>
      <c r="P1353" t="s">
        <v>643</v>
      </c>
      <c r="R1353" t="s">
        <v>258</v>
      </c>
      <c r="S1353" t="s">
        <v>999</v>
      </c>
      <c r="T1353" t="s">
        <v>54</v>
      </c>
      <c r="U1353" t="s">
        <v>252</v>
      </c>
      <c r="V1353">
        <v>1</v>
      </c>
      <c r="AB1353" t="s">
        <v>1008</v>
      </c>
    </row>
    <row r="1354" spans="1:28" hidden="1" x14ac:dyDescent="0.2">
      <c r="A1354" s="1">
        <v>44880</v>
      </c>
      <c r="D1354" s="5">
        <v>0.87829861111111107</v>
      </c>
      <c r="E1354">
        <v>-76.647056669999998</v>
      </c>
      <c r="F1354">
        <v>3.3493866670000001</v>
      </c>
      <c r="G1354">
        <v>2397</v>
      </c>
      <c r="H1354" t="e">
        <f t="shared" si="18"/>
        <v>#DIV/0!</v>
      </c>
      <c r="I1354">
        <v>2022</v>
      </c>
      <c r="J1354" t="e">
        <f t="shared" si="19"/>
        <v>#DIV/0!</v>
      </c>
      <c r="K1354" t="e">
        <f t="shared" si="20"/>
        <v>#DIV/0!</v>
      </c>
      <c r="M1354" t="s">
        <v>624</v>
      </c>
      <c r="O1354" t="s">
        <v>38</v>
      </c>
      <c r="P1354" t="s">
        <v>643</v>
      </c>
      <c r="R1354" t="s">
        <v>922</v>
      </c>
      <c r="S1354" t="s">
        <v>945</v>
      </c>
      <c r="T1354" t="s">
        <v>54</v>
      </c>
      <c r="U1354" t="s">
        <v>252</v>
      </c>
      <c r="V1354">
        <v>1</v>
      </c>
      <c r="AB1354" t="s">
        <v>1008</v>
      </c>
    </row>
    <row r="1355" spans="1:28" hidden="1" x14ac:dyDescent="0.2">
      <c r="A1355" s="1">
        <v>44880</v>
      </c>
      <c r="D1355" s="5">
        <v>0.89251157407407411</v>
      </c>
      <c r="E1355">
        <v>-76.647163329999998</v>
      </c>
      <c r="F1355">
        <v>3.3486233329999999</v>
      </c>
      <c r="G1355">
        <v>2397</v>
      </c>
      <c r="H1355" t="e">
        <f t="shared" si="18"/>
        <v>#DIV/0!</v>
      </c>
      <c r="I1355">
        <v>2022</v>
      </c>
      <c r="J1355" t="e">
        <f t="shared" si="19"/>
        <v>#DIV/0!</v>
      </c>
      <c r="K1355" t="e">
        <f t="shared" si="20"/>
        <v>#DIV/0!</v>
      </c>
      <c r="M1355" t="s">
        <v>624</v>
      </c>
      <c r="O1355" t="s">
        <v>32</v>
      </c>
      <c r="P1355" t="s">
        <v>643</v>
      </c>
      <c r="R1355" t="s">
        <v>922</v>
      </c>
      <c r="S1355" t="s">
        <v>999</v>
      </c>
      <c r="T1355" t="s">
        <v>54</v>
      </c>
      <c r="U1355" t="s">
        <v>909</v>
      </c>
      <c r="V1355">
        <v>1</v>
      </c>
      <c r="AB1355" t="s">
        <v>1008</v>
      </c>
    </row>
    <row r="1356" spans="1:28" hidden="1" x14ac:dyDescent="0.2">
      <c r="A1356" s="1">
        <v>44880</v>
      </c>
      <c r="D1356" s="5">
        <v>0.89028935185185187</v>
      </c>
      <c r="E1356">
        <v>-76.647121670000004</v>
      </c>
      <c r="F1356">
        <v>3.3487149999999999</v>
      </c>
      <c r="G1356">
        <v>2397</v>
      </c>
      <c r="H1356" t="e">
        <f t="shared" si="18"/>
        <v>#DIV/0!</v>
      </c>
      <c r="I1356">
        <v>2022</v>
      </c>
      <c r="J1356" t="e">
        <f t="shared" si="19"/>
        <v>#DIV/0!</v>
      </c>
      <c r="K1356" t="e">
        <f t="shared" si="20"/>
        <v>#DIV/0!</v>
      </c>
      <c r="M1356" t="s">
        <v>624</v>
      </c>
      <c r="O1356" t="s">
        <v>32</v>
      </c>
      <c r="P1356" t="s">
        <v>643</v>
      </c>
      <c r="R1356" t="s">
        <v>922</v>
      </c>
      <c r="S1356" t="s">
        <v>998</v>
      </c>
      <c r="T1356" t="s">
        <v>54</v>
      </c>
      <c r="U1356" t="s">
        <v>252</v>
      </c>
      <c r="V1356">
        <v>1</v>
      </c>
      <c r="AB1356" t="s">
        <v>1008</v>
      </c>
    </row>
    <row r="1357" spans="1:28" hidden="1" x14ac:dyDescent="0.2">
      <c r="A1357" s="1">
        <v>44867</v>
      </c>
      <c r="D1357" s="5">
        <v>0.875462962962963</v>
      </c>
      <c r="E1357">
        <v>-76.678376670000006</v>
      </c>
      <c r="F1357">
        <v>3.4022016669999999</v>
      </c>
      <c r="G1357">
        <v>3035</v>
      </c>
      <c r="H1357" t="e">
        <f t="shared" si="18"/>
        <v>#DIV/0!</v>
      </c>
      <c r="I1357">
        <v>2022</v>
      </c>
      <c r="J1357" t="e">
        <f t="shared" si="19"/>
        <v>#DIV/0!</v>
      </c>
      <c r="K1357" t="e">
        <f t="shared" si="20"/>
        <v>#DIV/0!</v>
      </c>
      <c r="M1357" t="s">
        <v>916</v>
      </c>
      <c r="O1357" t="s">
        <v>32</v>
      </c>
      <c r="P1357" t="s">
        <v>1146</v>
      </c>
      <c r="R1357" t="s">
        <v>921</v>
      </c>
      <c r="S1357" t="s">
        <v>947</v>
      </c>
      <c r="T1357" t="s">
        <v>54</v>
      </c>
      <c r="U1357" t="s">
        <v>915</v>
      </c>
      <c r="V1357">
        <v>1</v>
      </c>
      <c r="W1357" t="s">
        <v>49</v>
      </c>
      <c r="AB1357" t="s">
        <v>1008</v>
      </c>
    </row>
    <row r="1358" spans="1:28" hidden="1" x14ac:dyDescent="0.2">
      <c r="A1358" s="1">
        <v>44867</v>
      </c>
      <c r="D1358" s="5">
        <v>0.87702546296296291</v>
      </c>
      <c r="E1358">
        <v>-76.678399999999996</v>
      </c>
      <c r="F1358">
        <v>3.402113333</v>
      </c>
      <c r="G1358">
        <v>3058</v>
      </c>
      <c r="H1358" t="e">
        <f t="shared" si="18"/>
        <v>#DIV/0!</v>
      </c>
      <c r="I1358">
        <v>2022</v>
      </c>
      <c r="J1358" t="e">
        <f t="shared" si="19"/>
        <v>#DIV/0!</v>
      </c>
      <c r="K1358" t="e">
        <f t="shared" si="20"/>
        <v>#DIV/0!</v>
      </c>
      <c r="M1358" t="s">
        <v>916</v>
      </c>
      <c r="O1358" t="s">
        <v>32</v>
      </c>
      <c r="P1358" t="s">
        <v>1146</v>
      </c>
      <c r="R1358" t="s">
        <v>921</v>
      </c>
      <c r="S1358" t="s">
        <v>947</v>
      </c>
      <c r="T1358" t="s">
        <v>54</v>
      </c>
      <c r="U1358" t="s">
        <v>915</v>
      </c>
      <c r="V1358">
        <v>1</v>
      </c>
      <c r="W1358" t="s">
        <v>49</v>
      </c>
      <c r="AB1358" t="s">
        <v>1008</v>
      </c>
    </row>
    <row r="1359" spans="1:28" hidden="1" x14ac:dyDescent="0.2">
      <c r="A1359" s="1">
        <v>44867</v>
      </c>
      <c r="D1359" s="5">
        <v>0.86924768518518514</v>
      </c>
      <c r="E1359">
        <v>-76.67795667</v>
      </c>
      <c r="F1359">
        <v>3.4023300000000001</v>
      </c>
      <c r="G1359">
        <v>3028</v>
      </c>
      <c r="H1359" t="e">
        <f t="shared" si="18"/>
        <v>#DIV/0!</v>
      </c>
      <c r="I1359">
        <v>2022</v>
      </c>
      <c r="J1359" t="e">
        <f t="shared" si="19"/>
        <v>#DIV/0!</v>
      </c>
      <c r="K1359" t="e">
        <f t="shared" si="20"/>
        <v>#DIV/0!</v>
      </c>
      <c r="M1359" t="s">
        <v>916</v>
      </c>
      <c r="O1359" t="s">
        <v>32</v>
      </c>
      <c r="P1359" t="s">
        <v>1146</v>
      </c>
      <c r="R1359" t="s">
        <v>921</v>
      </c>
      <c r="S1359" t="s">
        <v>947</v>
      </c>
      <c r="T1359" t="s">
        <v>54</v>
      </c>
      <c r="U1359" t="s">
        <v>915</v>
      </c>
      <c r="V1359">
        <v>1</v>
      </c>
      <c r="W1359" t="s">
        <v>1142</v>
      </c>
      <c r="AB1359" t="s">
        <v>1008</v>
      </c>
    </row>
    <row r="1360" spans="1:28" hidden="1" x14ac:dyDescent="0.2">
      <c r="A1360" s="1">
        <v>44867</v>
      </c>
      <c r="D1360" s="5">
        <v>0.90952546296296299</v>
      </c>
      <c r="E1360">
        <v>-76.680293329999998</v>
      </c>
      <c r="F1360">
        <v>3.4007516670000002</v>
      </c>
      <c r="G1360">
        <v>3025</v>
      </c>
      <c r="H1360" t="e">
        <f t="shared" si="18"/>
        <v>#DIV/0!</v>
      </c>
      <c r="I1360">
        <v>2022</v>
      </c>
      <c r="J1360" t="e">
        <f t="shared" si="19"/>
        <v>#DIV/0!</v>
      </c>
      <c r="K1360" t="e">
        <f t="shared" si="20"/>
        <v>#DIV/0!</v>
      </c>
      <c r="M1360" t="s">
        <v>916</v>
      </c>
      <c r="O1360" t="s">
        <v>32</v>
      </c>
      <c r="P1360" t="s">
        <v>913</v>
      </c>
      <c r="R1360" t="s">
        <v>922</v>
      </c>
      <c r="S1360" t="s">
        <v>947</v>
      </c>
      <c r="T1360" t="s">
        <v>54</v>
      </c>
      <c r="U1360" t="s">
        <v>915</v>
      </c>
      <c r="V1360">
        <v>2</v>
      </c>
      <c r="W1360" t="s">
        <v>49</v>
      </c>
      <c r="AB1360" t="s">
        <v>1008</v>
      </c>
    </row>
    <row r="1361" spans="1:28" hidden="1" x14ac:dyDescent="0.2">
      <c r="A1361" s="1">
        <v>44867</v>
      </c>
      <c r="D1361" s="5">
        <v>0.90952546296296299</v>
      </c>
      <c r="E1361">
        <v>-76.680293329999998</v>
      </c>
      <c r="F1361">
        <v>3.4007516670000002</v>
      </c>
      <c r="G1361">
        <v>3025</v>
      </c>
      <c r="H1361" t="e">
        <f t="shared" si="18"/>
        <v>#DIV/0!</v>
      </c>
      <c r="I1361">
        <v>2022</v>
      </c>
      <c r="J1361" t="e">
        <f t="shared" si="19"/>
        <v>#DIV/0!</v>
      </c>
      <c r="K1361" t="e">
        <f t="shared" si="20"/>
        <v>#DIV/0!</v>
      </c>
      <c r="M1361" t="s">
        <v>916</v>
      </c>
      <c r="O1361" t="s">
        <v>32</v>
      </c>
      <c r="P1361" t="s">
        <v>913</v>
      </c>
      <c r="R1361" t="s">
        <v>922</v>
      </c>
      <c r="S1361" t="s">
        <v>947</v>
      </c>
      <c r="T1361" t="s">
        <v>504</v>
      </c>
      <c r="U1361" t="s">
        <v>926</v>
      </c>
      <c r="V1361">
        <v>1</v>
      </c>
      <c r="W1361" t="s">
        <v>1141</v>
      </c>
      <c r="AB1361" t="s">
        <v>66</v>
      </c>
    </row>
    <row r="1362" spans="1:28" hidden="1" x14ac:dyDescent="0.2">
      <c r="A1362" s="1">
        <v>44867</v>
      </c>
      <c r="D1362" s="5">
        <v>0.9208101851851852</v>
      </c>
      <c r="E1362">
        <v>-76.680454999999995</v>
      </c>
      <c r="F1362">
        <v>3.4010750000000001</v>
      </c>
      <c r="G1362">
        <v>3028</v>
      </c>
      <c r="H1362" t="e">
        <f t="shared" si="18"/>
        <v>#DIV/0!</v>
      </c>
      <c r="I1362">
        <v>2022</v>
      </c>
      <c r="J1362" t="e">
        <f t="shared" si="19"/>
        <v>#DIV/0!</v>
      </c>
      <c r="K1362" t="e">
        <f t="shared" si="20"/>
        <v>#DIV/0!</v>
      </c>
      <c r="M1362" t="s">
        <v>916</v>
      </c>
      <c r="O1362" t="s">
        <v>32</v>
      </c>
      <c r="P1362" t="s">
        <v>913</v>
      </c>
      <c r="R1362" t="s">
        <v>922</v>
      </c>
      <c r="S1362" t="s">
        <v>947</v>
      </c>
      <c r="T1362" t="s">
        <v>42</v>
      </c>
      <c r="U1362" t="s">
        <v>925</v>
      </c>
      <c r="V1362">
        <v>1</v>
      </c>
      <c r="W1362" t="s">
        <v>49</v>
      </c>
      <c r="AB1362" t="s">
        <v>1008</v>
      </c>
    </row>
    <row r="1363" spans="1:28" hidden="1" x14ac:dyDescent="0.2">
      <c r="A1363" s="1">
        <v>44867</v>
      </c>
      <c r="D1363" s="5">
        <v>0.9208101851851852</v>
      </c>
      <c r="E1363">
        <v>-76.680454999999995</v>
      </c>
      <c r="F1363">
        <v>3.4010750000000001</v>
      </c>
      <c r="H1363" t="e">
        <f t="shared" si="18"/>
        <v>#DIV/0!</v>
      </c>
      <c r="I1363">
        <v>2022</v>
      </c>
      <c r="J1363" t="e">
        <f t="shared" si="19"/>
        <v>#DIV/0!</v>
      </c>
      <c r="K1363" t="e">
        <f t="shared" si="20"/>
        <v>#DIV/0!</v>
      </c>
      <c r="M1363" t="s">
        <v>916</v>
      </c>
      <c r="O1363" t="s">
        <v>32</v>
      </c>
      <c r="P1363" t="s">
        <v>913</v>
      </c>
      <c r="R1363" t="s">
        <v>922</v>
      </c>
      <c r="S1363" t="s">
        <v>947</v>
      </c>
      <c r="T1363" t="s">
        <v>504</v>
      </c>
      <c r="U1363" t="s">
        <v>926</v>
      </c>
      <c r="V1363">
        <v>2</v>
      </c>
      <c r="W1363" t="s">
        <v>1143</v>
      </c>
      <c r="AB1363" t="s">
        <v>66</v>
      </c>
    </row>
    <row r="1364" spans="1:28" hidden="1" x14ac:dyDescent="0.2">
      <c r="A1364" s="1">
        <v>44867</v>
      </c>
      <c r="D1364" s="5">
        <v>0.92461805555555554</v>
      </c>
      <c r="E1364">
        <v>-76.680671669999995</v>
      </c>
      <c r="F1364">
        <v>3.4010233329999999</v>
      </c>
      <c r="G1364">
        <v>3028</v>
      </c>
      <c r="H1364" t="e">
        <f t="shared" si="18"/>
        <v>#DIV/0!</v>
      </c>
      <c r="I1364">
        <v>2022</v>
      </c>
      <c r="J1364" t="e">
        <f t="shared" si="19"/>
        <v>#DIV/0!</v>
      </c>
      <c r="K1364" t="e">
        <f t="shared" si="20"/>
        <v>#DIV/0!</v>
      </c>
      <c r="M1364" t="s">
        <v>916</v>
      </c>
      <c r="O1364" t="s">
        <v>32</v>
      </c>
      <c r="P1364" t="s">
        <v>913</v>
      </c>
      <c r="R1364" t="s">
        <v>921</v>
      </c>
      <c r="S1364" t="s">
        <v>947</v>
      </c>
      <c r="T1364" t="s">
        <v>42</v>
      </c>
      <c r="U1364" t="s">
        <v>927</v>
      </c>
      <c r="V1364">
        <v>1</v>
      </c>
      <c r="W1364" t="s">
        <v>49</v>
      </c>
      <c r="Z1364" t="s">
        <v>1013</v>
      </c>
      <c r="AB1364" t="s">
        <v>1008</v>
      </c>
    </row>
    <row r="1365" spans="1:28" hidden="1" x14ac:dyDescent="0.2">
      <c r="A1365" s="1">
        <v>44867</v>
      </c>
      <c r="D1365" s="5">
        <v>0.89692129629629624</v>
      </c>
      <c r="E1365">
        <v>-76.679093330000001</v>
      </c>
      <c r="F1365">
        <v>3.4007183329999999</v>
      </c>
      <c r="H1365" t="e">
        <f t="shared" si="18"/>
        <v>#DIV/0!</v>
      </c>
      <c r="I1365">
        <v>2022</v>
      </c>
      <c r="J1365" t="e">
        <f t="shared" si="19"/>
        <v>#DIV/0!</v>
      </c>
      <c r="K1365" t="e">
        <f t="shared" si="20"/>
        <v>#DIV/0!</v>
      </c>
      <c r="M1365" t="s">
        <v>916</v>
      </c>
      <c r="O1365" t="s">
        <v>40</v>
      </c>
      <c r="P1365" t="s">
        <v>913</v>
      </c>
      <c r="S1365" t="s">
        <v>947</v>
      </c>
      <c r="U1365" t="s">
        <v>36</v>
      </c>
      <c r="V1365">
        <v>0</v>
      </c>
      <c r="Z1365" t="s">
        <v>1013</v>
      </c>
    </row>
    <row r="1366" spans="1:28" hidden="1" x14ac:dyDescent="0.2">
      <c r="A1366" s="1">
        <v>44867</v>
      </c>
      <c r="D1366" s="5">
        <v>0.90662037037037035</v>
      </c>
      <c r="E1366">
        <v>-76.680066670000002</v>
      </c>
      <c r="F1366">
        <v>3.400956667</v>
      </c>
      <c r="H1366" t="e">
        <f t="shared" si="18"/>
        <v>#DIV/0!</v>
      </c>
      <c r="I1366">
        <v>2022</v>
      </c>
      <c r="J1366" t="e">
        <f t="shared" si="19"/>
        <v>#DIV/0!</v>
      </c>
      <c r="K1366" t="e">
        <f t="shared" si="20"/>
        <v>#DIV/0!</v>
      </c>
      <c r="M1366" t="s">
        <v>916</v>
      </c>
      <c r="O1366" t="s">
        <v>38</v>
      </c>
      <c r="P1366" t="s">
        <v>913</v>
      </c>
      <c r="S1366" t="s">
        <v>947</v>
      </c>
      <c r="U1366" t="s">
        <v>36</v>
      </c>
      <c r="V1366">
        <v>0</v>
      </c>
    </row>
    <row r="1367" spans="1:28" hidden="1" x14ac:dyDescent="0.2">
      <c r="A1367" s="1">
        <v>44867</v>
      </c>
      <c r="D1367" s="5">
        <v>0.86579861111111112</v>
      </c>
      <c r="E1367">
        <v>-76.677778329999995</v>
      </c>
      <c r="F1367">
        <v>3.4024483330000002</v>
      </c>
      <c r="H1367" t="e">
        <f t="shared" si="18"/>
        <v>#DIV/0!</v>
      </c>
      <c r="I1367">
        <v>2022</v>
      </c>
      <c r="J1367" t="e">
        <f t="shared" si="19"/>
        <v>#DIV/0!</v>
      </c>
      <c r="K1367" t="e">
        <f t="shared" si="20"/>
        <v>#DIV/0!</v>
      </c>
      <c r="M1367" t="s">
        <v>916</v>
      </c>
      <c r="O1367" t="s">
        <v>38</v>
      </c>
      <c r="P1367" t="s">
        <v>1146</v>
      </c>
      <c r="S1367" t="s">
        <v>947</v>
      </c>
      <c r="U1367" t="s">
        <v>36</v>
      </c>
      <c r="V1367">
        <v>0</v>
      </c>
    </row>
    <row r="1368" spans="1:28" hidden="1" x14ac:dyDescent="0.2">
      <c r="A1368" s="1">
        <v>44867</v>
      </c>
      <c r="D1368" s="5">
        <v>0.83796296296296291</v>
      </c>
      <c r="E1368">
        <v>-76.676443329999998</v>
      </c>
      <c r="F1368">
        <v>3.4024749999999999</v>
      </c>
      <c r="G1368">
        <v>2978</v>
      </c>
      <c r="H1368" t="e">
        <f t="shared" si="18"/>
        <v>#DIV/0!</v>
      </c>
      <c r="I1368">
        <v>2022</v>
      </c>
      <c r="J1368" t="e">
        <f t="shared" si="19"/>
        <v>#DIV/0!</v>
      </c>
      <c r="K1368" t="e">
        <f t="shared" si="20"/>
        <v>#DIV/0!</v>
      </c>
      <c r="M1368" t="s">
        <v>916</v>
      </c>
      <c r="O1368" t="s">
        <v>40</v>
      </c>
      <c r="P1368" t="s">
        <v>1146</v>
      </c>
      <c r="R1368" t="s">
        <v>921</v>
      </c>
      <c r="S1368" t="s">
        <v>947</v>
      </c>
      <c r="T1368" t="s">
        <v>54</v>
      </c>
      <c r="U1368" t="s">
        <v>915</v>
      </c>
      <c r="V1368">
        <v>1</v>
      </c>
      <c r="W1368" t="s">
        <v>1144</v>
      </c>
      <c r="AB1368" t="s">
        <v>1008</v>
      </c>
    </row>
    <row r="1369" spans="1:28" hidden="1" x14ac:dyDescent="0.2">
      <c r="A1369" s="1">
        <v>44908</v>
      </c>
      <c r="D1369" s="5">
        <v>0.90983796296296293</v>
      </c>
      <c r="E1369">
        <v>-76.880615000000006</v>
      </c>
      <c r="F1369">
        <v>3.5794266669999999</v>
      </c>
      <c r="G1369">
        <v>620</v>
      </c>
      <c r="H1369" t="e">
        <f t="shared" si="18"/>
        <v>#DIV/0!</v>
      </c>
      <c r="I1369">
        <v>2022</v>
      </c>
      <c r="J1369" t="e">
        <f t="shared" si="19"/>
        <v>#DIV/0!</v>
      </c>
      <c r="K1369" t="e">
        <f t="shared" si="20"/>
        <v>#DIV/0!</v>
      </c>
      <c r="M1369" t="s">
        <v>30</v>
      </c>
      <c r="O1369" t="s">
        <v>47</v>
      </c>
      <c r="P1369" t="s">
        <v>98</v>
      </c>
      <c r="R1369" t="s">
        <v>921</v>
      </c>
      <c r="S1369" t="s">
        <v>945</v>
      </c>
      <c r="T1369" t="s">
        <v>42</v>
      </c>
      <c r="U1369" t="s">
        <v>43</v>
      </c>
      <c r="V1369">
        <v>1</v>
      </c>
      <c r="AB1369" t="s">
        <v>1008</v>
      </c>
    </row>
    <row r="1370" spans="1:28" hidden="1" x14ac:dyDescent="0.2">
      <c r="A1370" s="1">
        <v>44908</v>
      </c>
      <c r="D1370" s="5">
        <v>0.91130787037037042</v>
      </c>
      <c r="E1370">
        <v>-76.880726670000001</v>
      </c>
      <c r="F1370">
        <v>3.5793849999999998</v>
      </c>
      <c r="G1370">
        <v>620</v>
      </c>
      <c r="H1370" t="e">
        <f t="shared" si="18"/>
        <v>#DIV/0!</v>
      </c>
      <c r="I1370">
        <v>2022</v>
      </c>
      <c r="J1370" t="e">
        <f t="shared" si="19"/>
        <v>#DIV/0!</v>
      </c>
      <c r="K1370" t="e">
        <f t="shared" si="20"/>
        <v>#DIV/0!</v>
      </c>
      <c r="M1370" t="s">
        <v>30</v>
      </c>
      <c r="O1370" t="s">
        <v>47</v>
      </c>
      <c r="P1370" t="s">
        <v>98</v>
      </c>
      <c r="R1370" t="s">
        <v>921</v>
      </c>
      <c r="S1370" t="s">
        <v>996</v>
      </c>
      <c r="T1370" t="s">
        <v>54</v>
      </c>
      <c r="U1370" t="s">
        <v>226</v>
      </c>
      <c r="V1370">
        <v>1</v>
      </c>
      <c r="AB1370" t="s">
        <v>1008</v>
      </c>
    </row>
    <row r="1371" spans="1:28" hidden="1" x14ac:dyDescent="0.2">
      <c r="A1371" s="1">
        <v>44908</v>
      </c>
      <c r="D1371" s="5">
        <v>0.90456018518518522</v>
      </c>
      <c r="E1371">
        <v>-76.880636670000001</v>
      </c>
      <c r="F1371">
        <v>3.5791566669999999</v>
      </c>
      <c r="G1371">
        <v>620</v>
      </c>
      <c r="H1371" t="e">
        <f t="shared" si="18"/>
        <v>#DIV/0!</v>
      </c>
      <c r="I1371">
        <v>2022</v>
      </c>
      <c r="J1371" t="e">
        <f t="shared" si="19"/>
        <v>#DIV/0!</v>
      </c>
      <c r="K1371" t="e">
        <f t="shared" si="20"/>
        <v>#DIV/0!</v>
      </c>
      <c r="M1371" t="s">
        <v>30</v>
      </c>
      <c r="O1371" t="s">
        <v>47</v>
      </c>
      <c r="P1371" t="s">
        <v>98</v>
      </c>
      <c r="R1371" t="s">
        <v>921</v>
      </c>
      <c r="T1371" t="s">
        <v>42</v>
      </c>
      <c r="U1371" t="s">
        <v>942</v>
      </c>
      <c r="V1371">
        <v>2</v>
      </c>
      <c r="AB1371" t="s">
        <v>1008</v>
      </c>
    </row>
    <row r="1372" spans="1:28" hidden="1" x14ac:dyDescent="0.2">
      <c r="A1372" s="1">
        <v>44908</v>
      </c>
      <c r="D1372" s="5">
        <v>0.90049768518518514</v>
      </c>
      <c r="E1372">
        <v>-76.880854999999997</v>
      </c>
      <c r="F1372">
        <v>3.5791983329999999</v>
      </c>
      <c r="H1372" t="e">
        <f t="shared" si="18"/>
        <v>#DIV/0!</v>
      </c>
      <c r="I1372">
        <v>2022</v>
      </c>
      <c r="J1372" t="e">
        <f t="shared" si="19"/>
        <v>#DIV/0!</v>
      </c>
      <c r="K1372" t="e">
        <f t="shared" si="20"/>
        <v>#DIV/0!</v>
      </c>
      <c r="M1372" t="s">
        <v>30</v>
      </c>
      <c r="O1372" t="s">
        <v>47</v>
      </c>
      <c r="P1372" t="s">
        <v>98</v>
      </c>
      <c r="R1372" t="s">
        <v>921</v>
      </c>
      <c r="T1372" t="s">
        <v>54</v>
      </c>
      <c r="U1372" t="s">
        <v>226</v>
      </c>
      <c r="V1372">
        <v>1</v>
      </c>
      <c r="AB1372" t="s">
        <v>1008</v>
      </c>
    </row>
    <row r="1373" spans="1:28" hidden="1" x14ac:dyDescent="0.2">
      <c r="A1373" s="1">
        <v>44908</v>
      </c>
      <c r="D1373" s="5">
        <v>0.90049768518518514</v>
      </c>
      <c r="E1373">
        <v>-76.880854999999997</v>
      </c>
      <c r="F1373">
        <v>3.5791983329999999</v>
      </c>
      <c r="H1373" t="e">
        <f t="shared" si="18"/>
        <v>#DIV/0!</v>
      </c>
      <c r="I1373">
        <v>2022</v>
      </c>
      <c r="J1373" t="e">
        <f t="shared" si="19"/>
        <v>#DIV/0!</v>
      </c>
      <c r="K1373" t="e">
        <f t="shared" si="20"/>
        <v>#DIV/0!</v>
      </c>
      <c r="M1373" t="s">
        <v>30</v>
      </c>
      <c r="O1373" t="s">
        <v>47</v>
      </c>
      <c r="P1373" t="s">
        <v>98</v>
      </c>
      <c r="R1373" t="s">
        <v>921</v>
      </c>
      <c r="T1373" t="s">
        <v>54</v>
      </c>
      <c r="U1373" t="s">
        <v>43</v>
      </c>
      <c r="V1373">
        <v>1</v>
      </c>
      <c r="AB1373" t="s">
        <v>1008</v>
      </c>
    </row>
    <row r="1374" spans="1:28" hidden="1" x14ac:dyDescent="0.2">
      <c r="A1374" s="1">
        <v>44908</v>
      </c>
      <c r="D1374" s="5">
        <v>0.88590277777777782</v>
      </c>
      <c r="E1374">
        <v>-76.880555000000001</v>
      </c>
      <c r="F1374">
        <v>3.578601667</v>
      </c>
      <c r="G1374">
        <v>620</v>
      </c>
      <c r="H1374" t="e">
        <f t="shared" si="18"/>
        <v>#DIV/0!</v>
      </c>
      <c r="I1374">
        <v>2022</v>
      </c>
      <c r="J1374" t="e">
        <f t="shared" si="19"/>
        <v>#DIV/0!</v>
      </c>
      <c r="K1374" t="e">
        <f t="shared" si="20"/>
        <v>#DIV/0!</v>
      </c>
      <c r="M1374" t="s">
        <v>30</v>
      </c>
      <c r="O1374" t="s">
        <v>40</v>
      </c>
      <c r="P1374" t="s">
        <v>98</v>
      </c>
      <c r="R1374" t="s">
        <v>921</v>
      </c>
      <c r="S1374" t="s">
        <v>945</v>
      </c>
      <c r="T1374" t="s">
        <v>54</v>
      </c>
      <c r="U1374" t="s">
        <v>43</v>
      </c>
      <c r="V1374">
        <v>1</v>
      </c>
      <c r="AB1374" t="s">
        <v>1008</v>
      </c>
    </row>
    <row r="1375" spans="1:28" hidden="1" x14ac:dyDescent="0.2">
      <c r="A1375" s="1">
        <v>44908</v>
      </c>
      <c r="D1375" s="5">
        <v>0.89402777777777775</v>
      </c>
      <c r="E1375">
        <v>-76.880573330000004</v>
      </c>
      <c r="F1375">
        <v>3.5788383330000002</v>
      </c>
      <c r="G1375">
        <v>620</v>
      </c>
      <c r="H1375" t="e">
        <f t="shared" si="18"/>
        <v>#DIV/0!</v>
      </c>
      <c r="I1375">
        <v>2022</v>
      </c>
      <c r="J1375" t="e">
        <f t="shared" si="19"/>
        <v>#DIV/0!</v>
      </c>
      <c r="K1375" t="e">
        <f t="shared" si="20"/>
        <v>#DIV/0!</v>
      </c>
      <c r="M1375" t="s">
        <v>30</v>
      </c>
      <c r="O1375" t="s">
        <v>40</v>
      </c>
      <c r="P1375" t="s">
        <v>98</v>
      </c>
      <c r="R1375" t="s">
        <v>921</v>
      </c>
      <c r="S1375" t="s">
        <v>997</v>
      </c>
      <c r="T1375" t="s">
        <v>42</v>
      </c>
      <c r="U1375" t="s">
        <v>43</v>
      </c>
      <c r="V1375">
        <v>1</v>
      </c>
      <c r="AB1375" t="s">
        <v>1008</v>
      </c>
    </row>
    <row r="1376" spans="1:28" hidden="1" x14ac:dyDescent="0.2">
      <c r="A1376" s="1">
        <v>44908</v>
      </c>
      <c r="D1376" s="5">
        <v>0.87547453703703704</v>
      </c>
      <c r="E1376">
        <v>-76.880870000000002</v>
      </c>
      <c r="F1376">
        <v>3.5783133330000001</v>
      </c>
      <c r="G1376">
        <v>620</v>
      </c>
      <c r="H1376" t="e">
        <f t="shared" si="18"/>
        <v>#DIV/0!</v>
      </c>
      <c r="I1376">
        <v>2022</v>
      </c>
      <c r="J1376" t="e">
        <f t="shared" si="19"/>
        <v>#DIV/0!</v>
      </c>
      <c r="K1376" t="e">
        <f t="shared" si="20"/>
        <v>#DIV/0!</v>
      </c>
      <c r="M1376" t="s">
        <v>30</v>
      </c>
      <c r="O1376" t="s">
        <v>40</v>
      </c>
      <c r="P1376" t="s">
        <v>98</v>
      </c>
      <c r="R1376" t="s">
        <v>922</v>
      </c>
      <c r="T1376" t="s">
        <v>42</v>
      </c>
      <c r="U1376" t="s">
        <v>112</v>
      </c>
      <c r="V1376">
        <v>1</v>
      </c>
      <c r="W1376" t="s">
        <v>1143</v>
      </c>
      <c r="AB1376" t="s">
        <v>1008</v>
      </c>
    </row>
    <row r="1377" spans="1:28" hidden="1" x14ac:dyDescent="0.2">
      <c r="A1377" s="1">
        <v>44908</v>
      </c>
      <c r="D1377" s="5">
        <v>0.85660879629629627</v>
      </c>
      <c r="E1377">
        <v>-76.880705000000006</v>
      </c>
      <c r="F1377">
        <v>3.5771283330000001</v>
      </c>
      <c r="G1377">
        <v>620</v>
      </c>
      <c r="H1377" t="e">
        <f t="shared" si="18"/>
        <v>#DIV/0!</v>
      </c>
      <c r="I1377">
        <v>2022</v>
      </c>
      <c r="J1377" t="e">
        <f t="shared" si="19"/>
        <v>#DIV/0!</v>
      </c>
      <c r="K1377" t="e">
        <f t="shared" si="20"/>
        <v>#DIV/0!</v>
      </c>
      <c r="M1377" t="s">
        <v>30</v>
      </c>
      <c r="O1377" t="s">
        <v>32</v>
      </c>
      <c r="P1377" t="s">
        <v>98</v>
      </c>
      <c r="R1377" t="s">
        <v>921</v>
      </c>
      <c r="S1377" t="s">
        <v>997</v>
      </c>
      <c r="T1377" t="s">
        <v>54</v>
      </c>
      <c r="U1377" t="s">
        <v>75</v>
      </c>
      <c r="V1377">
        <v>1</v>
      </c>
      <c r="AB1377" t="s">
        <v>66</v>
      </c>
    </row>
    <row r="1378" spans="1:28" hidden="1" x14ac:dyDescent="0.2">
      <c r="A1378" s="1">
        <v>44908</v>
      </c>
      <c r="D1378" s="5">
        <v>0.85660879629629627</v>
      </c>
      <c r="E1378">
        <v>-76.880705000000006</v>
      </c>
      <c r="F1378">
        <v>3.5771283330000001</v>
      </c>
      <c r="G1378">
        <v>620</v>
      </c>
      <c r="H1378" t="e">
        <f t="shared" si="18"/>
        <v>#DIV/0!</v>
      </c>
      <c r="I1378">
        <v>2022</v>
      </c>
      <c r="J1378" t="e">
        <f t="shared" si="19"/>
        <v>#DIV/0!</v>
      </c>
      <c r="K1378" t="e">
        <f t="shared" si="20"/>
        <v>#DIV/0!</v>
      </c>
      <c r="M1378" t="s">
        <v>30</v>
      </c>
      <c r="O1378" t="s">
        <v>32</v>
      </c>
      <c r="P1378" t="s">
        <v>98</v>
      </c>
      <c r="R1378" t="s">
        <v>921</v>
      </c>
      <c r="S1378" t="s">
        <v>997</v>
      </c>
      <c r="T1378" t="s">
        <v>54</v>
      </c>
      <c r="U1378" t="s">
        <v>178</v>
      </c>
      <c r="V1378">
        <v>1</v>
      </c>
      <c r="AB1378" t="s">
        <v>66</v>
      </c>
    </row>
    <row r="1379" spans="1:28" hidden="1" x14ac:dyDescent="0.2">
      <c r="A1379" s="1">
        <v>44908</v>
      </c>
      <c r="D1379" s="5">
        <v>0.6777199074074074</v>
      </c>
      <c r="E1379">
        <v>-76.881349999999998</v>
      </c>
      <c r="F1379">
        <v>3.5789149999999998</v>
      </c>
      <c r="G1379">
        <v>620</v>
      </c>
      <c r="H1379" t="e">
        <f t="shared" si="18"/>
        <v>#DIV/0!</v>
      </c>
      <c r="I1379">
        <v>2022</v>
      </c>
      <c r="J1379" t="e">
        <f t="shared" si="19"/>
        <v>#DIV/0!</v>
      </c>
      <c r="K1379" t="e">
        <f t="shared" si="20"/>
        <v>#DIV/0!</v>
      </c>
      <c r="M1379" t="s">
        <v>30</v>
      </c>
      <c r="O1379" t="s">
        <v>40</v>
      </c>
      <c r="P1379" t="s">
        <v>98</v>
      </c>
      <c r="R1379" t="s">
        <v>921</v>
      </c>
      <c r="S1379" t="s">
        <v>945</v>
      </c>
      <c r="T1379" t="s">
        <v>42</v>
      </c>
      <c r="U1379" t="s">
        <v>43</v>
      </c>
      <c r="V1379">
        <v>1</v>
      </c>
      <c r="AB1379" t="s">
        <v>1008</v>
      </c>
    </row>
    <row r="1380" spans="1:28" hidden="1" x14ac:dyDescent="0.2">
      <c r="A1380" s="1">
        <v>44908</v>
      </c>
      <c r="D1380" s="5">
        <v>0.67024305555555552</v>
      </c>
      <c r="E1380">
        <v>-76.880971669999994</v>
      </c>
      <c r="F1380">
        <v>3.5786983330000002</v>
      </c>
      <c r="G1380">
        <v>619</v>
      </c>
      <c r="H1380" t="e">
        <f t="shared" si="18"/>
        <v>#DIV/0!</v>
      </c>
      <c r="I1380">
        <v>2022</v>
      </c>
      <c r="J1380" t="e">
        <f t="shared" si="19"/>
        <v>#DIV/0!</v>
      </c>
      <c r="K1380" t="e">
        <f t="shared" si="20"/>
        <v>#DIV/0!</v>
      </c>
      <c r="M1380" t="s">
        <v>30</v>
      </c>
      <c r="O1380" t="s">
        <v>40</v>
      </c>
      <c r="P1380" t="s">
        <v>98</v>
      </c>
      <c r="R1380" t="s">
        <v>921</v>
      </c>
      <c r="S1380" t="s">
        <v>997</v>
      </c>
      <c r="T1380" t="s">
        <v>42</v>
      </c>
      <c r="U1380" t="s">
        <v>43</v>
      </c>
      <c r="V1380">
        <v>1</v>
      </c>
      <c r="AB1380" t="s">
        <v>66</v>
      </c>
    </row>
    <row r="1381" spans="1:28" hidden="1" x14ac:dyDescent="0.2">
      <c r="A1381" s="1">
        <v>44908</v>
      </c>
      <c r="D1381" s="5">
        <v>0.66487268518518516</v>
      </c>
      <c r="E1381">
        <v>-76.880786670000006</v>
      </c>
      <c r="F1381">
        <v>3.5787300000000002</v>
      </c>
      <c r="G1381">
        <v>619</v>
      </c>
      <c r="H1381" t="e">
        <f t="shared" si="18"/>
        <v>#DIV/0!</v>
      </c>
      <c r="I1381">
        <v>2022</v>
      </c>
      <c r="J1381" t="e">
        <f t="shared" si="19"/>
        <v>#DIV/0!</v>
      </c>
      <c r="K1381" t="e">
        <f t="shared" si="20"/>
        <v>#DIV/0!</v>
      </c>
      <c r="M1381" t="s">
        <v>30</v>
      </c>
      <c r="O1381" t="s">
        <v>40</v>
      </c>
      <c r="P1381" t="s">
        <v>98</v>
      </c>
      <c r="R1381" t="s">
        <v>921</v>
      </c>
      <c r="S1381" t="s">
        <v>1000</v>
      </c>
      <c r="T1381" t="s">
        <v>91</v>
      </c>
      <c r="U1381" t="s">
        <v>43</v>
      </c>
      <c r="V1381">
        <v>1</v>
      </c>
      <c r="AB1381" t="s">
        <v>1008</v>
      </c>
    </row>
    <row r="1382" spans="1:28" hidden="1" x14ac:dyDescent="0.2">
      <c r="A1382" s="1">
        <v>44908</v>
      </c>
      <c r="D1382" s="5">
        <v>0.64994212962962961</v>
      </c>
      <c r="E1382">
        <v>-76.881076669999999</v>
      </c>
      <c r="F1382">
        <v>3.5782366670000001</v>
      </c>
      <c r="H1382" t="e">
        <f t="shared" si="18"/>
        <v>#DIV/0!</v>
      </c>
      <c r="I1382">
        <v>2022</v>
      </c>
      <c r="J1382" t="e">
        <f t="shared" si="19"/>
        <v>#DIV/0!</v>
      </c>
      <c r="K1382" t="e">
        <f t="shared" si="20"/>
        <v>#DIV/0!</v>
      </c>
      <c r="M1382" t="s">
        <v>30</v>
      </c>
      <c r="O1382" t="s">
        <v>38</v>
      </c>
      <c r="P1382" t="s">
        <v>98</v>
      </c>
      <c r="U1382" t="s">
        <v>36</v>
      </c>
      <c r="V1382">
        <v>0</v>
      </c>
    </row>
    <row r="1383" spans="1:28" hidden="1" x14ac:dyDescent="0.2">
      <c r="A1383" s="1">
        <v>44908</v>
      </c>
      <c r="D1383" s="5">
        <v>0.64085648148148144</v>
      </c>
      <c r="E1383">
        <v>-76.880523330000003</v>
      </c>
      <c r="F1383">
        <v>3.5773216670000001</v>
      </c>
      <c r="G1383">
        <v>619</v>
      </c>
      <c r="H1383" t="e">
        <f t="shared" si="18"/>
        <v>#DIV/0!</v>
      </c>
      <c r="I1383">
        <v>2022</v>
      </c>
      <c r="J1383" t="e">
        <f t="shared" si="19"/>
        <v>#DIV/0!</v>
      </c>
      <c r="K1383" t="e">
        <f t="shared" si="20"/>
        <v>#DIV/0!</v>
      </c>
      <c r="M1383" t="s">
        <v>30</v>
      </c>
      <c r="O1383" t="s">
        <v>32</v>
      </c>
      <c r="P1383" t="s">
        <v>98</v>
      </c>
      <c r="R1383" t="s">
        <v>921</v>
      </c>
      <c r="S1383" t="s">
        <v>945</v>
      </c>
      <c r="T1383" t="s">
        <v>42</v>
      </c>
      <c r="U1383" t="s">
        <v>84</v>
      </c>
      <c r="V1383">
        <v>1</v>
      </c>
      <c r="AB1383" t="s">
        <v>1008</v>
      </c>
    </row>
    <row r="1384" spans="1:28" hidden="1" x14ac:dyDescent="0.2">
      <c r="A1384" s="1">
        <v>44909</v>
      </c>
      <c r="D1384" s="5">
        <v>0.87797453703703698</v>
      </c>
      <c r="E1384">
        <v>-76.877613330000003</v>
      </c>
      <c r="F1384">
        <v>3.5809483329999998</v>
      </c>
      <c r="G1384">
        <v>600</v>
      </c>
      <c r="H1384" t="e">
        <f t="shared" si="18"/>
        <v>#DIV/0!</v>
      </c>
      <c r="I1384">
        <v>2022</v>
      </c>
      <c r="J1384" t="e">
        <f t="shared" si="19"/>
        <v>#DIV/0!</v>
      </c>
      <c r="K1384" t="e">
        <f t="shared" si="20"/>
        <v>#DIV/0!</v>
      </c>
      <c r="M1384" t="s">
        <v>30</v>
      </c>
      <c r="O1384" t="s">
        <v>32</v>
      </c>
      <c r="P1384" t="s">
        <v>1149</v>
      </c>
      <c r="R1384" t="s">
        <v>919</v>
      </c>
      <c r="S1384" t="s">
        <v>996</v>
      </c>
      <c r="T1384" t="s">
        <v>54</v>
      </c>
      <c r="U1384" t="s">
        <v>205</v>
      </c>
      <c r="V1384">
        <v>1</v>
      </c>
      <c r="AB1384" t="s">
        <v>1008</v>
      </c>
    </row>
    <row r="1385" spans="1:28" hidden="1" x14ac:dyDescent="0.2">
      <c r="A1385" s="1">
        <v>44909</v>
      </c>
      <c r="D1385" s="5">
        <v>0.86781249999999999</v>
      </c>
      <c r="E1385">
        <v>-76.877570000000006</v>
      </c>
      <c r="F1385">
        <v>3.5815199999999998</v>
      </c>
      <c r="G1385">
        <v>600</v>
      </c>
      <c r="H1385" t="e">
        <f t="shared" ref="H1385:H1386" si="21">AVERAGE(Z1385,AE1385)</f>
        <v>#DIV/0!</v>
      </c>
      <c r="I1385">
        <v>2022</v>
      </c>
      <c r="J1385" t="e">
        <f t="shared" ref="J1385:J1386" si="22">AVERAGE(AD1385,AI1385)</f>
        <v>#DIV/0!</v>
      </c>
      <c r="K1385" t="e">
        <f t="shared" ref="K1385:K1386" si="23">AVERAGE(AA1385,AF1385)</f>
        <v>#DIV/0!</v>
      </c>
      <c r="M1385" t="s">
        <v>30</v>
      </c>
      <c r="O1385" t="s">
        <v>32</v>
      </c>
      <c r="P1385" t="s">
        <v>1149</v>
      </c>
      <c r="R1385" t="s">
        <v>919</v>
      </c>
      <c r="S1385" t="s">
        <v>1000</v>
      </c>
      <c r="T1385" t="s">
        <v>54</v>
      </c>
      <c r="U1385" t="s">
        <v>935</v>
      </c>
      <c r="V1385">
        <v>1</v>
      </c>
      <c r="Z1385" t="s">
        <v>1013</v>
      </c>
      <c r="AB1385" t="s">
        <v>1008</v>
      </c>
    </row>
    <row r="1386" spans="1:28" hidden="1" x14ac:dyDescent="0.2">
      <c r="A1386" s="1">
        <v>44909</v>
      </c>
      <c r="D1386" s="5">
        <v>0.89118055555555553</v>
      </c>
      <c r="E1386">
        <v>-76.876528329999999</v>
      </c>
      <c r="F1386">
        <v>3.579555</v>
      </c>
      <c r="G1386">
        <v>600</v>
      </c>
      <c r="H1386" t="e">
        <f t="shared" si="21"/>
        <v>#DIV/0!</v>
      </c>
      <c r="I1386">
        <v>2022</v>
      </c>
      <c r="J1386" t="e">
        <f t="shared" si="22"/>
        <v>#DIV/0!</v>
      </c>
      <c r="K1386" t="e">
        <f t="shared" si="23"/>
        <v>#DIV/0!</v>
      </c>
      <c r="M1386" t="s">
        <v>30</v>
      </c>
      <c r="O1386" t="s">
        <v>32</v>
      </c>
      <c r="P1386" t="s">
        <v>1149</v>
      </c>
      <c r="R1386" t="s">
        <v>919</v>
      </c>
      <c r="S1386" t="s">
        <v>1001</v>
      </c>
      <c r="T1386" t="s">
        <v>54</v>
      </c>
      <c r="U1386" t="s">
        <v>71</v>
      </c>
      <c r="V1386">
        <v>1</v>
      </c>
      <c r="AB1386" t="s">
        <v>1008</v>
      </c>
    </row>
    <row r="1387" spans="1:28" hidden="1" x14ac:dyDescent="0.2">
      <c r="A1387" s="3">
        <v>45245</v>
      </c>
      <c r="D1387" s="5">
        <v>0</v>
      </c>
      <c r="E1387">
        <v>-76.646100000000004</v>
      </c>
      <c r="F1387">
        <v>3.3496999999999999</v>
      </c>
      <c r="G1387">
        <v>2300</v>
      </c>
      <c r="H1387" s="7" t="s">
        <v>918</v>
      </c>
      <c r="I1387">
        <v>2023</v>
      </c>
      <c r="J1387">
        <v>8</v>
      </c>
      <c r="K1387" s="7">
        <v>27.5</v>
      </c>
      <c r="M1387" t="s">
        <v>624</v>
      </c>
      <c r="O1387" t="s">
        <v>40</v>
      </c>
      <c r="P1387" t="s">
        <v>643</v>
      </c>
      <c r="R1387" t="s">
        <v>919</v>
      </c>
      <c r="S1387" t="s">
        <v>999</v>
      </c>
      <c r="T1387" t="s">
        <v>54</v>
      </c>
      <c r="U1387" t="s">
        <v>238</v>
      </c>
      <c r="V1387">
        <v>1</v>
      </c>
      <c r="Z1387" t="s">
        <v>1014</v>
      </c>
      <c r="AB1387" t="s">
        <v>1008</v>
      </c>
    </row>
    <row r="1388" spans="1:28" hidden="1" x14ac:dyDescent="0.2">
      <c r="A1388" s="3">
        <v>45245</v>
      </c>
      <c r="D1388" s="5">
        <v>0</v>
      </c>
      <c r="E1388">
        <v>-76.646500000000003</v>
      </c>
      <c r="F1388">
        <v>3.3498999999999999</v>
      </c>
      <c r="G1388">
        <v>2300</v>
      </c>
      <c r="H1388" s="7" t="s">
        <v>918</v>
      </c>
      <c r="I1388">
        <v>2023</v>
      </c>
      <c r="J1388">
        <v>8</v>
      </c>
      <c r="K1388" s="7">
        <v>27.5</v>
      </c>
      <c r="M1388" t="s">
        <v>624</v>
      </c>
      <c r="O1388" t="s">
        <v>40</v>
      </c>
      <c r="P1388" t="s">
        <v>643</v>
      </c>
      <c r="R1388" t="s">
        <v>919</v>
      </c>
      <c r="S1388" t="s">
        <v>946</v>
      </c>
      <c r="T1388" t="s">
        <v>54</v>
      </c>
      <c r="U1388" t="s">
        <v>252</v>
      </c>
      <c r="V1388">
        <v>1</v>
      </c>
      <c r="AB1388" t="s">
        <v>1008</v>
      </c>
    </row>
    <row r="1389" spans="1:28" hidden="1" x14ac:dyDescent="0.2">
      <c r="A1389" s="3">
        <v>45212</v>
      </c>
      <c r="D1389" s="5">
        <v>0.89936342592592589</v>
      </c>
      <c r="E1389">
        <v>-76.723174999999998</v>
      </c>
      <c r="F1389">
        <v>3.4800183329999999</v>
      </c>
      <c r="G1389">
        <v>2100</v>
      </c>
      <c r="H1389" s="7" t="s">
        <v>918</v>
      </c>
      <c r="I1389">
        <v>2023</v>
      </c>
      <c r="J1389">
        <v>10</v>
      </c>
      <c r="K1389" s="7">
        <v>26</v>
      </c>
      <c r="M1389" t="s">
        <v>247</v>
      </c>
      <c r="O1389" t="s">
        <v>47</v>
      </c>
      <c r="P1389" t="s">
        <v>280</v>
      </c>
      <c r="R1389" t="s">
        <v>921</v>
      </c>
      <c r="S1389" t="s">
        <v>1002</v>
      </c>
      <c r="T1389" t="s">
        <v>54</v>
      </c>
      <c r="U1389" t="s">
        <v>88</v>
      </c>
      <c r="V1389">
        <v>1</v>
      </c>
      <c r="AB1389" t="s">
        <v>1008</v>
      </c>
    </row>
    <row r="1390" spans="1:28" hidden="1" x14ac:dyDescent="0.2">
      <c r="A1390" s="3">
        <v>45212</v>
      </c>
      <c r="D1390" s="5">
        <v>0.83560185185185187</v>
      </c>
      <c r="E1390">
        <v>-76.722671669999997</v>
      </c>
      <c r="F1390">
        <v>3.477686667</v>
      </c>
      <c r="G1390">
        <v>2100</v>
      </c>
      <c r="H1390" s="7" t="s">
        <v>918</v>
      </c>
      <c r="I1390">
        <v>2023</v>
      </c>
      <c r="J1390">
        <v>10</v>
      </c>
      <c r="K1390" s="7">
        <v>22.5</v>
      </c>
      <c r="M1390" t="s">
        <v>247</v>
      </c>
      <c r="O1390" t="s">
        <v>38</v>
      </c>
      <c r="P1390" t="s">
        <v>280</v>
      </c>
      <c r="R1390" t="s">
        <v>921</v>
      </c>
      <c r="S1390" t="s">
        <v>1002</v>
      </c>
      <c r="T1390" t="s">
        <v>54</v>
      </c>
      <c r="U1390" t="s">
        <v>88</v>
      </c>
      <c r="V1390">
        <v>1</v>
      </c>
      <c r="AB1390" t="s">
        <v>1008</v>
      </c>
    </row>
    <row r="1391" spans="1:28" hidden="1" x14ac:dyDescent="0.2">
      <c r="A1391" s="3">
        <v>45212</v>
      </c>
      <c r="D1391" s="5">
        <v>0.83560185185185187</v>
      </c>
      <c r="E1391">
        <v>-76.722671669999997</v>
      </c>
      <c r="F1391">
        <v>3.477686667</v>
      </c>
      <c r="G1391">
        <v>2100</v>
      </c>
      <c r="H1391" s="7" t="s">
        <v>918</v>
      </c>
      <c r="I1391">
        <v>2023</v>
      </c>
      <c r="J1391">
        <v>10</v>
      </c>
      <c r="K1391" s="7">
        <v>22.5</v>
      </c>
      <c r="M1391" t="s">
        <v>247</v>
      </c>
      <c r="O1391" t="s">
        <v>38</v>
      </c>
      <c r="P1391" t="s">
        <v>280</v>
      </c>
      <c r="R1391" t="s">
        <v>921</v>
      </c>
      <c r="S1391" t="s">
        <v>1002</v>
      </c>
      <c r="T1391" t="s">
        <v>54</v>
      </c>
      <c r="U1391" t="s">
        <v>88</v>
      </c>
      <c r="V1391">
        <v>2</v>
      </c>
      <c r="AB1391" t="s">
        <v>1008</v>
      </c>
    </row>
    <row r="1392" spans="1:28" hidden="1" x14ac:dyDescent="0.2">
      <c r="A1392" s="3">
        <v>45212</v>
      </c>
      <c r="D1392" s="5">
        <v>0.94067129629629631</v>
      </c>
      <c r="E1392">
        <v>-76.723664999999997</v>
      </c>
      <c r="F1392">
        <v>3.4834966669999998</v>
      </c>
      <c r="H1392" s="7" t="s">
        <v>918</v>
      </c>
      <c r="I1392">
        <v>2023</v>
      </c>
      <c r="J1392">
        <v>15</v>
      </c>
      <c r="K1392" s="7">
        <v>20</v>
      </c>
      <c r="M1392" t="s">
        <v>247</v>
      </c>
      <c r="O1392" t="s">
        <v>38</v>
      </c>
      <c r="P1392" t="s">
        <v>248</v>
      </c>
      <c r="U1392" t="s">
        <v>36</v>
      </c>
      <c r="V1392">
        <v>0</v>
      </c>
    </row>
    <row r="1393" spans="1:28" hidden="1" x14ac:dyDescent="0.2">
      <c r="A1393" s="3">
        <v>45212</v>
      </c>
      <c r="D1393" s="5">
        <v>0.90333333333333332</v>
      </c>
      <c r="E1393">
        <v>-76.723211669999998</v>
      </c>
      <c r="F1393">
        <v>3.4803066669999998</v>
      </c>
      <c r="G1393">
        <v>2100</v>
      </c>
      <c r="H1393" s="7" t="s">
        <v>918</v>
      </c>
      <c r="I1393">
        <v>2023</v>
      </c>
      <c r="J1393">
        <v>10</v>
      </c>
      <c r="K1393" s="7">
        <v>21</v>
      </c>
      <c r="M1393" t="s">
        <v>247</v>
      </c>
      <c r="O1393" t="s">
        <v>58</v>
      </c>
      <c r="P1393" t="s">
        <v>280</v>
      </c>
      <c r="R1393" t="s">
        <v>921</v>
      </c>
      <c r="S1393" t="s">
        <v>946</v>
      </c>
      <c r="T1393" t="s">
        <v>54</v>
      </c>
      <c r="U1393" t="s">
        <v>316</v>
      </c>
      <c r="V1393">
        <v>1</v>
      </c>
      <c r="AB1393" t="s">
        <v>1008</v>
      </c>
    </row>
    <row r="1394" spans="1:28" hidden="1" x14ac:dyDescent="0.2">
      <c r="A1394" s="3">
        <v>45212</v>
      </c>
      <c r="D1394" s="5">
        <v>0.93509259259259259</v>
      </c>
      <c r="E1394">
        <v>-76.723100000000002</v>
      </c>
      <c r="F1394">
        <v>3.4828983330000001</v>
      </c>
      <c r="G1394">
        <v>2100</v>
      </c>
      <c r="H1394" s="7" t="s">
        <v>918</v>
      </c>
      <c r="I1394">
        <v>2023</v>
      </c>
      <c r="J1394">
        <v>11</v>
      </c>
      <c r="K1394" s="7">
        <v>18.5</v>
      </c>
      <c r="M1394" t="s">
        <v>247</v>
      </c>
      <c r="O1394" t="s">
        <v>32</v>
      </c>
      <c r="P1394" t="s">
        <v>248</v>
      </c>
      <c r="R1394" t="s">
        <v>921</v>
      </c>
      <c r="S1394" t="s">
        <v>946</v>
      </c>
      <c r="T1394" t="s">
        <v>54</v>
      </c>
      <c r="U1394" t="s">
        <v>238</v>
      </c>
      <c r="V1394">
        <v>1</v>
      </c>
      <c r="AB1394" t="s">
        <v>1008</v>
      </c>
    </row>
    <row r="1395" spans="1:28" hidden="1" x14ac:dyDescent="0.2">
      <c r="A1395" s="3">
        <v>45212</v>
      </c>
      <c r="D1395" s="5">
        <v>0.86814814814814811</v>
      </c>
      <c r="E1395">
        <v>-76.722880000000004</v>
      </c>
      <c r="F1395">
        <v>3.4789266670000001</v>
      </c>
      <c r="G1395">
        <v>2100</v>
      </c>
      <c r="H1395" s="7" t="s">
        <v>918</v>
      </c>
      <c r="I1395">
        <v>2023</v>
      </c>
      <c r="J1395">
        <v>10</v>
      </c>
      <c r="K1395" s="7">
        <v>30</v>
      </c>
      <c r="M1395" t="s">
        <v>247</v>
      </c>
      <c r="O1395" t="s">
        <v>40</v>
      </c>
      <c r="P1395" t="s">
        <v>280</v>
      </c>
      <c r="R1395" t="s">
        <v>921</v>
      </c>
      <c r="S1395" t="s">
        <v>1003</v>
      </c>
      <c r="T1395" t="s">
        <v>91</v>
      </c>
      <c r="U1395" t="s">
        <v>88</v>
      </c>
      <c r="V1395">
        <v>1</v>
      </c>
      <c r="AB1395" t="s">
        <v>1008</v>
      </c>
    </row>
    <row r="1396" spans="1:28" hidden="1" x14ac:dyDescent="0.2">
      <c r="A1396" s="3">
        <v>45212</v>
      </c>
      <c r="D1396" s="5">
        <v>0.91365740740740742</v>
      </c>
      <c r="E1396">
        <v>-76.723221670000001</v>
      </c>
      <c r="F1396">
        <v>3.4806900000000001</v>
      </c>
      <c r="G1396">
        <v>2100</v>
      </c>
      <c r="H1396" s="7" t="s">
        <v>918</v>
      </c>
      <c r="I1396">
        <v>2023</v>
      </c>
      <c r="J1396">
        <v>10</v>
      </c>
      <c r="K1396" s="7">
        <v>21</v>
      </c>
      <c r="M1396" t="s">
        <v>247</v>
      </c>
      <c r="O1396" t="s">
        <v>58</v>
      </c>
      <c r="P1396" t="s">
        <v>280</v>
      </c>
      <c r="R1396" t="s">
        <v>921</v>
      </c>
      <c r="T1396" t="s">
        <v>54</v>
      </c>
      <c r="U1396" t="s">
        <v>296</v>
      </c>
      <c r="V1396">
        <v>1</v>
      </c>
      <c r="AB1396" t="s">
        <v>1008</v>
      </c>
    </row>
    <row r="1397" spans="1:28" hidden="1" x14ac:dyDescent="0.2">
      <c r="A1397" s="3">
        <v>45212</v>
      </c>
      <c r="D1397" s="5">
        <v>0.84506944444444443</v>
      </c>
      <c r="E1397">
        <v>-76.722768329999994</v>
      </c>
      <c r="F1397">
        <v>3.4780600000000002</v>
      </c>
      <c r="G1397">
        <v>2100</v>
      </c>
      <c r="H1397" s="7" t="s">
        <v>918</v>
      </c>
      <c r="I1397">
        <v>2023</v>
      </c>
      <c r="J1397">
        <v>10</v>
      </c>
      <c r="K1397" s="7">
        <v>30</v>
      </c>
      <c r="M1397" t="s">
        <v>247</v>
      </c>
      <c r="O1397" t="s">
        <v>40</v>
      </c>
      <c r="P1397" t="s">
        <v>280</v>
      </c>
      <c r="R1397" t="s">
        <v>921</v>
      </c>
      <c r="S1397" t="s">
        <v>1003</v>
      </c>
      <c r="T1397" t="s">
        <v>54</v>
      </c>
      <c r="U1397" t="s">
        <v>313</v>
      </c>
      <c r="V1397">
        <v>1</v>
      </c>
      <c r="AB1397" t="s">
        <v>66</v>
      </c>
    </row>
    <row r="1398" spans="1:28" hidden="1" x14ac:dyDescent="0.2">
      <c r="A1398" s="3">
        <v>45212</v>
      </c>
      <c r="D1398" s="5">
        <v>0.84506944444444443</v>
      </c>
      <c r="E1398">
        <v>-76.722768329999994</v>
      </c>
      <c r="F1398">
        <v>3.4780600000000002</v>
      </c>
      <c r="G1398">
        <v>2100</v>
      </c>
      <c r="H1398" s="7" t="s">
        <v>918</v>
      </c>
      <c r="I1398">
        <v>2023</v>
      </c>
      <c r="J1398">
        <v>10</v>
      </c>
      <c r="K1398" s="7">
        <v>30</v>
      </c>
      <c r="M1398" t="s">
        <v>247</v>
      </c>
      <c r="O1398" t="s">
        <v>40</v>
      </c>
      <c r="P1398" t="s">
        <v>280</v>
      </c>
      <c r="R1398" t="s">
        <v>921</v>
      </c>
      <c r="S1398" t="s">
        <v>1002</v>
      </c>
      <c r="T1398" t="s">
        <v>54</v>
      </c>
      <c r="U1398" t="s">
        <v>88</v>
      </c>
      <c r="V1398">
        <v>2</v>
      </c>
      <c r="AB1398" t="s">
        <v>1008</v>
      </c>
    </row>
    <row r="1399" spans="1:28" hidden="1" x14ac:dyDescent="0.2">
      <c r="A1399" s="3">
        <v>45212</v>
      </c>
      <c r="D1399" s="5">
        <v>0.84506944444444443</v>
      </c>
      <c r="E1399">
        <v>-76.722768329999994</v>
      </c>
      <c r="F1399">
        <v>3.4780600000000002</v>
      </c>
      <c r="G1399">
        <v>2100</v>
      </c>
      <c r="H1399" s="7" t="s">
        <v>918</v>
      </c>
      <c r="I1399">
        <v>2023</v>
      </c>
      <c r="J1399">
        <v>10</v>
      </c>
      <c r="K1399" s="7">
        <v>30</v>
      </c>
      <c r="M1399" t="s">
        <v>247</v>
      </c>
      <c r="O1399" t="s">
        <v>40</v>
      </c>
      <c r="P1399" t="s">
        <v>280</v>
      </c>
      <c r="R1399" t="s">
        <v>921</v>
      </c>
      <c r="S1399" t="s">
        <v>995</v>
      </c>
      <c r="T1399" t="s">
        <v>54</v>
      </c>
      <c r="U1399" t="s">
        <v>270</v>
      </c>
      <c r="V1399">
        <v>1</v>
      </c>
      <c r="AB1399" t="s">
        <v>1008</v>
      </c>
    </row>
    <row r="1400" spans="1:28" hidden="1" x14ac:dyDescent="0.2">
      <c r="A1400" s="3">
        <v>45212</v>
      </c>
      <c r="D1400" s="5">
        <v>0.90424768518518517</v>
      </c>
      <c r="E1400">
        <v>-76.723213329999993</v>
      </c>
      <c r="F1400">
        <v>3.4802583330000001</v>
      </c>
      <c r="G1400">
        <v>2100</v>
      </c>
      <c r="H1400" s="7" t="s">
        <v>918</v>
      </c>
      <c r="I1400">
        <v>2023</v>
      </c>
      <c r="J1400">
        <v>10</v>
      </c>
      <c r="K1400" s="7">
        <v>21</v>
      </c>
      <c r="M1400" t="s">
        <v>247</v>
      </c>
      <c r="O1400" t="s">
        <v>58</v>
      </c>
      <c r="P1400" t="s">
        <v>280</v>
      </c>
      <c r="R1400" t="s">
        <v>921</v>
      </c>
      <c r="S1400" t="s">
        <v>1004</v>
      </c>
      <c r="T1400" t="s">
        <v>54</v>
      </c>
      <c r="U1400" t="s">
        <v>296</v>
      </c>
      <c r="V1400">
        <v>3</v>
      </c>
      <c r="AB1400" t="s">
        <v>1008</v>
      </c>
    </row>
    <row r="1401" spans="1:28" hidden="1" x14ac:dyDescent="0.2">
      <c r="A1401" s="3">
        <v>45212</v>
      </c>
      <c r="D1401" s="5">
        <v>0.81260416666666668</v>
      </c>
      <c r="E1401">
        <v>-76.722388330000001</v>
      </c>
      <c r="F1401">
        <v>3.4772416669999999</v>
      </c>
      <c r="G1401">
        <v>2100</v>
      </c>
      <c r="H1401" s="7" t="s">
        <v>918</v>
      </c>
      <c r="I1401">
        <v>2023</v>
      </c>
      <c r="J1401">
        <v>10</v>
      </c>
      <c r="K1401" s="7">
        <v>22.5</v>
      </c>
      <c r="M1401" t="s">
        <v>247</v>
      </c>
      <c r="O1401" t="s">
        <v>38</v>
      </c>
      <c r="P1401" t="s">
        <v>280</v>
      </c>
      <c r="R1401" t="s">
        <v>921</v>
      </c>
      <c r="S1401" t="s">
        <v>1003</v>
      </c>
      <c r="T1401" t="s">
        <v>54</v>
      </c>
      <c r="U1401" t="s">
        <v>88</v>
      </c>
      <c r="V1401">
        <v>1</v>
      </c>
      <c r="AB1401" t="s">
        <v>1008</v>
      </c>
    </row>
    <row r="1402" spans="1:28" hidden="1" x14ac:dyDescent="0.2">
      <c r="A1402" s="3">
        <v>45212</v>
      </c>
      <c r="D1402" s="5">
        <v>0.81260416666666668</v>
      </c>
      <c r="E1402">
        <v>-76.722388330000001</v>
      </c>
      <c r="F1402">
        <v>3.4772416669999999</v>
      </c>
      <c r="G1402">
        <v>2100</v>
      </c>
      <c r="H1402" s="7" t="s">
        <v>918</v>
      </c>
      <c r="I1402">
        <v>2023</v>
      </c>
      <c r="J1402">
        <v>10</v>
      </c>
      <c r="K1402" s="7">
        <v>22.5</v>
      </c>
      <c r="M1402" t="s">
        <v>247</v>
      </c>
      <c r="O1402" t="s">
        <v>38</v>
      </c>
      <c r="P1402" t="s">
        <v>280</v>
      </c>
      <c r="R1402" t="s">
        <v>921</v>
      </c>
      <c r="S1402" t="s">
        <v>1003</v>
      </c>
      <c r="T1402" t="s">
        <v>54</v>
      </c>
      <c r="U1402" t="s">
        <v>88</v>
      </c>
      <c r="V1402">
        <v>1</v>
      </c>
      <c r="AB1402" t="s">
        <v>1008</v>
      </c>
    </row>
    <row r="1403" spans="1:28" hidden="1" x14ac:dyDescent="0.2">
      <c r="A1403" s="3">
        <v>45212</v>
      </c>
      <c r="D1403" s="5">
        <v>0.81980324074074074</v>
      </c>
      <c r="E1403">
        <v>-76.722438330000003</v>
      </c>
      <c r="F1403">
        <v>3.4775783329999999</v>
      </c>
      <c r="G1403">
        <v>2100</v>
      </c>
      <c r="H1403" s="7" t="s">
        <v>918</v>
      </c>
      <c r="I1403">
        <v>2023</v>
      </c>
      <c r="J1403">
        <v>10</v>
      </c>
      <c r="K1403" s="7">
        <v>22.5</v>
      </c>
      <c r="M1403" t="s">
        <v>247</v>
      </c>
      <c r="O1403" t="s">
        <v>38</v>
      </c>
      <c r="P1403" t="s">
        <v>280</v>
      </c>
      <c r="R1403" t="s">
        <v>921</v>
      </c>
      <c r="S1403" t="s">
        <v>1003</v>
      </c>
      <c r="T1403" t="s">
        <v>54</v>
      </c>
      <c r="U1403" t="s">
        <v>316</v>
      </c>
      <c r="V1403">
        <v>1</v>
      </c>
      <c r="AB1403" t="s">
        <v>1008</v>
      </c>
    </row>
    <row r="1404" spans="1:28" hidden="1" x14ac:dyDescent="0.2">
      <c r="A1404" s="3">
        <v>45212</v>
      </c>
      <c r="D1404" s="5">
        <v>0.81980324074074074</v>
      </c>
      <c r="E1404">
        <v>-76.722438330000003</v>
      </c>
      <c r="F1404">
        <v>3.4775783329999999</v>
      </c>
      <c r="G1404">
        <v>2100</v>
      </c>
      <c r="H1404" s="7" t="s">
        <v>918</v>
      </c>
      <c r="I1404">
        <v>2023</v>
      </c>
      <c r="J1404">
        <v>10</v>
      </c>
      <c r="K1404" s="7">
        <v>22.5</v>
      </c>
      <c r="M1404" t="s">
        <v>247</v>
      </c>
      <c r="O1404" t="s">
        <v>38</v>
      </c>
      <c r="P1404" t="s">
        <v>280</v>
      </c>
      <c r="R1404" t="s">
        <v>921</v>
      </c>
      <c r="S1404" t="s">
        <v>1003</v>
      </c>
      <c r="T1404" t="s">
        <v>54</v>
      </c>
      <c r="U1404" t="s">
        <v>316</v>
      </c>
      <c r="V1404">
        <v>1</v>
      </c>
      <c r="AB1404" t="s">
        <v>1008</v>
      </c>
    </row>
    <row r="1405" spans="1:28" hidden="1" x14ac:dyDescent="0.2">
      <c r="A1405" s="3">
        <v>45212</v>
      </c>
      <c r="D1405" s="5">
        <v>0.81980324074074074</v>
      </c>
      <c r="E1405">
        <v>-76.722438330000003</v>
      </c>
      <c r="F1405">
        <v>3.4775783329999999</v>
      </c>
      <c r="G1405">
        <v>2100</v>
      </c>
      <c r="H1405" s="7" t="s">
        <v>918</v>
      </c>
      <c r="I1405">
        <v>2023</v>
      </c>
      <c r="J1405">
        <v>10</v>
      </c>
      <c r="K1405" s="7">
        <v>22.5</v>
      </c>
      <c r="M1405" t="s">
        <v>247</v>
      </c>
      <c r="O1405" t="s">
        <v>38</v>
      </c>
      <c r="P1405" t="s">
        <v>280</v>
      </c>
      <c r="R1405" t="s">
        <v>921</v>
      </c>
      <c r="S1405" t="s">
        <v>1003</v>
      </c>
      <c r="T1405" t="s">
        <v>54</v>
      </c>
      <c r="U1405" t="s">
        <v>88</v>
      </c>
      <c r="V1405">
        <v>1</v>
      </c>
      <c r="AB1405" t="s">
        <v>1008</v>
      </c>
    </row>
    <row r="1406" spans="1:28" hidden="1" x14ac:dyDescent="0.2">
      <c r="A1406" s="3">
        <v>45212</v>
      </c>
      <c r="D1406" s="5">
        <v>0.91170138888888885</v>
      </c>
      <c r="E1406">
        <v>-76.723193330000001</v>
      </c>
      <c r="F1406">
        <v>3.4806699999999999</v>
      </c>
      <c r="G1406">
        <v>2100</v>
      </c>
      <c r="H1406" s="7" t="s">
        <v>918</v>
      </c>
      <c r="I1406">
        <v>2023</v>
      </c>
      <c r="J1406">
        <v>10</v>
      </c>
      <c r="K1406" s="7">
        <v>21</v>
      </c>
      <c r="M1406" t="s">
        <v>247</v>
      </c>
      <c r="O1406" t="s">
        <v>58</v>
      </c>
      <c r="P1406" t="s">
        <v>280</v>
      </c>
      <c r="R1406" t="s">
        <v>921</v>
      </c>
      <c r="S1406" t="s">
        <v>1004</v>
      </c>
      <c r="T1406" t="s">
        <v>54</v>
      </c>
      <c r="U1406" t="s">
        <v>296</v>
      </c>
      <c r="V1406">
        <v>1</v>
      </c>
      <c r="AB1406" t="s">
        <v>1008</v>
      </c>
    </row>
    <row r="1407" spans="1:28" hidden="1" x14ac:dyDescent="0.2">
      <c r="A1407" s="3">
        <v>45212</v>
      </c>
      <c r="D1407" s="5">
        <v>0.89539351851851856</v>
      </c>
      <c r="E1407">
        <v>-76.723169999999996</v>
      </c>
      <c r="F1407">
        <v>3.4798716669999998</v>
      </c>
      <c r="G1407">
        <v>2100</v>
      </c>
      <c r="H1407" s="7" t="s">
        <v>918</v>
      </c>
      <c r="I1407">
        <v>2023</v>
      </c>
      <c r="J1407">
        <v>10</v>
      </c>
      <c r="K1407" s="7">
        <v>26</v>
      </c>
      <c r="M1407" t="s">
        <v>247</v>
      </c>
      <c r="O1407" t="s">
        <v>47</v>
      </c>
      <c r="P1407" t="s">
        <v>280</v>
      </c>
      <c r="R1407" t="s">
        <v>921</v>
      </c>
      <c r="S1407" t="s">
        <v>1004</v>
      </c>
      <c r="T1407" t="s">
        <v>54</v>
      </c>
      <c r="U1407" t="s">
        <v>296</v>
      </c>
      <c r="V1407">
        <v>1</v>
      </c>
      <c r="AB1407" t="s">
        <v>1008</v>
      </c>
    </row>
    <row r="1408" spans="1:28" hidden="1" x14ac:dyDescent="0.2">
      <c r="A1408" s="3">
        <v>45212</v>
      </c>
      <c r="D1408" s="5">
        <v>0.86151620370370374</v>
      </c>
      <c r="E1408">
        <v>-76.722838330000002</v>
      </c>
      <c r="F1408">
        <v>3.478723333</v>
      </c>
      <c r="G1408">
        <v>2100</v>
      </c>
      <c r="H1408" s="7" t="s">
        <v>918</v>
      </c>
      <c r="I1408">
        <v>2023</v>
      </c>
      <c r="J1408">
        <v>10</v>
      </c>
      <c r="K1408" s="7">
        <v>30</v>
      </c>
      <c r="M1408" t="s">
        <v>247</v>
      </c>
      <c r="O1408" t="s">
        <v>40</v>
      </c>
      <c r="P1408" t="s">
        <v>280</v>
      </c>
      <c r="R1408" t="s">
        <v>921</v>
      </c>
      <c r="S1408" t="s">
        <v>1004</v>
      </c>
      <c r="T1408" t="s">
        <v>54</v>
      </c>
      <c r="U1408" t="s">
        <v>296</v>
      </c>
      <c r="V1408">
        <v>2</v>
      </c>
      <c r="AB1408" t="s">
        <v>1008</v>
      </c>
    </row>
    <row r="1409" spans="1:28" hidden="1" x14ac:dyDescent="0.2">
      <c r="A1409" s="3">
        <v>45212</v>
      </c>
      <c r="D1409" s="5">
        <v>0.87056712962962968</v>
      </c>
      <c r="E1409">
        <v>-76.722920000000002</v>
      </c>
      <c r="F1409">
        <v>3.4789916669999998</v>
      </c>
      <c r="G1409">
        <v>2100</v>
      </c>
      <c r="H1409" s="7" t="s">
        <v>918</v>
      </c>
      <c r="I1409">
        <v>2023</v>
      </c>
      <c r="J1409">
        <v>10</v>
      </c>
      <c r="K1409" s="7">
        <v>30</v>
      </c>
      <c r="M1409" t="s">
        <v>247</v>
      </c>
      <c r="O1409" t="s">
        <v>40</v>
      </c>
      <c r="P1409" t="s">
        <v>280</v>
      </c>
      <c r="R1409" t="s">
        <v>921</v>
      </c>
      <c r="S1409" t="s">
        <v>946</v>
      </c>
      <c r="T1409" t="s">
        <v>54</v>
      </c>
      <c r="U1409" t="s">
        <v>88</v>
      </c>
      <c r="V1409">
        <v>1</v>
      </c>
      <c r="AB1409" t="s">
        <v>1008</v>
      </c>
    </row>
    <row r="1410" spans="1:28" hidden="1" x14ac:dyDescent="0.2">
      <c r="A1410" s="3">
        <v>45212</v>
      </c>
      <c r="D1410" s="5">
        <v>0.87056712962962968</v>
      </c>
      <c r="E1410">
        <v>-76.722920000000002</v>
      </c>
      <c r="F1410">
        <v>3.4789916669999998</v>
      </c>
      <c r="G1410">
        <v>2100</v>
      </c>
      <c r="H1410" s="7" t="s">
        <v>918</v>
      </c>
      <c r="I1410">
        <v>2023</v>
      </c>
      <c r="J1410">
        <v>10</v>
      </c>
      <c r="K1410" s="7">
        <v>30</v>
      </c>
      <c r="M1410" t="s">
        <v>247</v>
      </c>
      <c r="O1410" t="s">
        <v>40</v>
      </c>
      <c r="P1410" t="s">
        <v>280</v>
      </c>
      <c r="R1410" t="s">
        <v>921</v>
      </c>
      <c r="S1410" t="s">
        <v>946</v>
      </c>
      <c r="T1410" t="s">
        <v>54</v>
      </c>
      <c r="U1410" t="s">
        <v>316</v>
      </c>
      <c r="V1410">
        <v>2</v>
      </c>
      <c r="AB1410" t="s">
        <v>1008</v>
      </c>
    </row>
    <row r="1411" spans="1:28" hidden="1" x14ac:dyDescent="0.2">
      <c r="A1411" s="3">
        <v>45212</v>
      </c>
      <c r="D1411" s="5">
        <v>0.88069444444444445</v>
      </c>
      <c r="E1411">
        <v>-76.723034999999996</v>
      </c>
      <c r="F1411">
        <v>3.479403333</v>
      </c>
      <c r="G1411">
        <v>2100</v>
      </c>
      <c r="H1411" s="7" t="s">
        <v>918</v>
      </c>
      <c r="I1411">
        <v>2023</v>
      </c>
      <c r="J1411">
        <v>10</v>
      </c>
      <c r="K1411" s="7">
        <v>26</v>
      </c>
      <c r="M1411" t="s">
        <v>247</v>
      </c>
      <c r="O1411" t="s">
        <v>47</v>
      </c>
      <c r="P1411" t="s">
        <v>280</v>
      </c>
      <c r="R1411" t="s">
        <v>921</v>
      </c>
      <c r="S1411" t="s">
        <v>1003</v>
      </c>
      <c r="T1411" t="s">
        <v>54</v>
      </c>
      <c r="U1411" t="s">
        <v>316</v>
      </c>
      <c r="V1411">
        <v>1</v>
      </c>
      <c r="AB1411" t="s">
        <v>1008</v>
      </c>
    </row>
    <row r="1412" spans="1:28" hidden="1" x14ac:dyDescent="0.2">
      <c r="A1412" s="3">
        <v>45212</v>
      </c>
      <c r="D1412" s="5">
        <v>0.88069444444444445</v>
      </c>
      <c r="E1412">
        <v>-76.723034999999996</v>
      </c>
      <c r="F1412">
        <v>3.479403333</v>
      </c>
      <c r="G1412">
        <v>2100</v>
      </c>
      <c r="H1412" s="7" t="s">
        <v>918</v>
      </c>
      <c r="I1412">
        <v>2023</v>
      </c>
      <c r="J1412">
        <v>10</v>
      </c>
      <c r="K1412" s="7">
        <v>26</v>
      </c>
      <c r="M1412" t="s">
        <v>247</v>
      </c>
      <c r="O1412" t="s">
        <v>47</v>
      </c>
      <c r="P1412" t="s">
        <v>280</v>
      </c>
      <c r="R1412" t="s">
        <v>921</v>
      </c>
      <c r="S1412" t="s">
        <v>946</v>
      </c>
      <c r="T1412" t="s">
        <v>54</v>
      </c>
      <c r="U1412" t="s">
        <v>296</v>
      </c>
      <c r="V1412">
        <v>1</v>
      </c>
      <c r="AB1412" t="s">
        <v>1008</v>
      </c>
    </row>
    <row r="1413" spans="1:28" hidden="1" x14ac:dyDescent="0.2">
      <c r="A1413" s="3">
        <v>45212</v>
      </c>
      <c r="D1413" s="5">
        <v>0.80918981481481478</v>
      </c>
      <c r="E1413">
        <v>-76.722300000000004</v>
      </c>
      <c r="F1413">
        <v>3.477146667</v>
      </c>
      <c r="G1413">
        <v>2100</v>
      </c>
      <c r="H1413" s="7" t="s">
        <v>918</v>
      </c>
      <c r="I1413">
        <v>2023</v>
      </c>
      <c r="J1413">
        <v>10</v>
      </c>
      <c r="K1413" s="7">
        <v>22.5</v>
      </c>
      <c r="M1413" t="s">
        <v>247</v>
      </c>
      <c r="O1413" t="s">
        <v>38</v>
      </c>
      <c r="P1413" t="s">
        <v>280</v>
      </c>
      <c r="S1413" t="s">
        <v>1004</v>
      </c>
      <c r="T1413" t="s">
        <v>42</v>
      </c>
      <c r="U1413" t="s">
        <v>296</v>
      </c>
      <c r="V1413">
        <v>1</v>
      </c>
      <c r="AB1413" t="s">
        <v>1008</v>
      </c>
    </row>
    <row r="1414" spans="1:28" hidden="1" x14ac:dyDescent="0.2">
      <c r="A1414" s="3">
        <v>45212</v>
      </c>
      <c r="D1414" s="5">
        <v>0.85532407407407407</v>
      </c>
      <c r="E1414">
        <v>-76.722840000000005</v>
      </c>
      <c r="F1414">
        <v>3.4783849999999998</v>
      </c>
      <c r="G1414">
        <v>2100</v>
      </c>
      <c r="H1414" s="7" t="s">
        <v>918</v>
      </c>
      <c r="I1414">
        <v>2023</v>
      </c>
      <c r="J1414">
        <v>10</v>
      </c>
      <c r="K1414" s="7">
        <v>30</v>
      </c>
      <c r="M1414" t="s">
        <v>247</v>
      </c>
      <c r="O1414" t="s">
        <v>40</v>
      </c>
      <c r="P1414" t="s">
        <v>280</v>
      </c>
      <c r="R1414" t="s">
        <v>921</v>
      </c>
      <c r="S1414" t="s">
        <v>995</v>
      </c>
      <c r="T1414" t="s">
        <v>54</v>
      </c>
      <c r="U1414" t="s">
        <v>88</v>
      </c>
      <c r="V1414">
        <v>2</v>
      </c>
      <c r="AB1414" t="s">
        <v>1008</v>
      </c>
    </row>
    <row r="1415" spans="1:28" hidden="1" x14ac:dyDescent="0.2">
      <c r="A1415" s="3">
        <v>45212</v>
      </c>
      <c r="D1415" s="5">
        <v>0.86663194444444447</v>
      </c>
      <c r="E1415">
        <v>-76.722893330000005</v>
      </c>
      <c r="F1415">
        <v>3.4788250000000001</v>
      </c>
      <c r="G1415">
        <v>2100</v>
      </c>
      <c r="H1415" s="7" t="s">
        <v>918</v>
      </c>
      <c r="I1415">
        <v>2023</v>
      </c>
      <c r="J1415">
        <v>10</v>
      </c>
      <c r="K1415" s="7">
        <v>30</v>
      </c>
      <c r="M1415" t="s">
        <v>247</v>
      </c>
      <c r="O1415" t="s">
        <v>40</v>
      </c>
      <c r="P1415" t="s">
        <v>280</v>
      </c>
      <c r="R1415" t="s">
        <v>921</v>
      </c>
      <c r="S1415" t="s">
        <v>1002</v>
      </c>
      <c r="T1415" t="s">
        <v>54</v>
      </c>
      <c r="U1415" t="s">
        <v>88</v>
      </c>
      <c r="V1415">
        <v>1</v>
      </c>
      <c r="AB1415" t="s">
        <v>1008</v>
      </c>
    </row>
    <row r="1416" spans="1:28" hidden="1" x14ac:dyDescent="0.2">
      <c r="A1416" s="3">
        <v>45212</v>
      </c>
      <c r="D1416" s="5">
        <v>0.86663194444444447</v>
      </c>
      <c r="E1416">
        <v>-76.722893330000005</v>
      </c>
      <c r="F1416">
        <v>3.4788250000000001</v>
      </c>
      <c r="G1416">
        <v>2100</v>
      </c>
      <c r="H1416" s="7" t="s">
        <v>918</v>
      </c>
      <c r="I1416">
        <v>2023</v>
      </c>
      <c r="J1416">
        <v>10</v>
      </c>
      <c r="K1416" s="7">
        <v>30</v>
      </c>
      <c r="M1416" t="s">
        <v>247</v>
      </c>
      <c r="O1416" t="s">
        <v>40</v>
      </c>
      <c r="P1416" t="s">
        <v>280</v>
      </c>
      <c r="R1416" t="s">
        <v>921</v>
      </c>
      <c r="S1416" t="s">
        <v>1003</v>
      </c>
      <c r="T1416" t="s">
        <v>54</v>
      </c>
      <c r="U1416" t="s">
        <v>88</v>
      </c>
      <c r="V1416">
        <v>2</v>
      </c>
      <c r="AB1416" t="s">
        <v>1008</v>
      </c>
    </row>
    <row r="1417" spans="1:28" hidden="1" x14ac:dyDescent="0.2">
      <c r="A1417" s="3">
        <v>45212</v>
      </c>
      <c r="D1417" s="5">
        <v>0.90853009259259254</v>
      </c>
      <c r="E1417">
        <v>-76.723235000000003</v>
      </c>
      <c r="F1417">
        <v>3.4804283329999999</v>
      </c>
      <c r="G1417">
        <v>2100</v>
      </c>
      <c r="H1417" s="7" t="s">
        <v>918</v>
      </c>
      <c r="I1417">
        <v>2023</v>
      </c>
      <c r="J1417">
        <v>10</v>
      </c>
      <c r="K1417" s="7">
        <v>21</v>
      </c>
      <c r="M1417" t="s">
        <v>247</v>
      </c>
      <c r="O1417" t="s">
        <v>58</v>
      </c>
      <c r="P1417" t="s">
        <v>280</v>
      </c>
      <c r="R1417" t="s">
        <v>921</v>
      </c>
      <c r="S1417" t="s">
        <v>945</v>
      </c>
      <c r="T1417" t="s">
        <v>54</v>
      </c>
      <c r="U1417" t="s">
        <v>88</v>
      </c>
      <c r="V1417">
        <v>3</v>
      </c>
      <c r="AB1417" t="s">
        <v>1008</v>
      </c>
    </row>
    <row r="1418" spans="1:28" hidden="1" x14ac:dyDescent="0.2">
      <c r="A1418" s="3">
        <v>45212</v>
      </c>
      <c r="D1418" s="5">
        <v>0.84840277777777773</v>
      </c>
      <c r="E1418">
        <v>-76.722703330000002</v>
      </c>
      <c r="F1418">
        <v>3.4781083330000002</v>
      </c>
      <c r="G1418">
        <v>2100</v>
      </c>
      <c r="H1418" s="7" t="s">
        <v>918</v>
      </c>
      <c r="I1418">
        <v>2023</v>
      </c>
      <c r="J1418">
        <v>10</v>
      </c>
      <c r="K1418" s="7">
        <v>30</v>
      </c>
      <c r="M1418" t="s">
        <v>247</v>
      </c>
      <c r="O1418" t="s">
        <v>40</v>
      </c>
      <c r="P1418" t="s">
        <v>280</v>
      </c>
      <c r="R1418" t="s">
        <v>921</v>
      </c>
      <c r="S1418" t="s">
        <v>1003</v>
      </c>
      <c r="T1418" t="s">
        <v>54</v>
      </c>
      <c r="U1418" t="s">
        <v>88</v>
      </c>
      <c r="V1418">
        <v>1</v>
      </c>
      <c r="AB1418" t="s">
        <v>1008</v>
      </c>
    </row>
    <row r="1419" spans="1:28" hidden="1" x14ac:dyDescent="0.2">
      <c r="A1419" s="3">
        <v>45212</v>
      </c>
      <c r="D1419" s="5">
        <v>0.84840277777777773</v>
      </c>
      <c r="E1419">
        <v>-76.722703330000002</v>
      </c>
      <c r="F1419">
        <v>3.4781083330000002</v>
      </c>
      <c r="G1419">
        <v>2100</v>
      </c>
      <c r="H1419" s="7" t="s">
        <v>918</v>
      </c>
      <c r="I1419">
        <v>2023</v>
      </c>
      <c r="J1419">
        <v>10</v>
      </c>
      <c r="K1419" s="7">
        <v>30</v>
      </c>
      <c r="M1419" t="s">
        <v>247</v>
      </c>
      <c r="O1419" t="s">
        <v>40</v>
      </c>
      <c r="P1419" t="s">
        <v>280</v>
      </c>
      <c r="R1419" t="s">
        <v>921</v>
      </c>
      <c r="S1419" t="s">
        <v>1004</v>
      </c>
      <c r="T1419" t="s">
        <v>54</v>
      </c>
      <c r="U1419" t="s">
        <v>296</v>
      </c>
      <c r="V1419">
        <v>1</v>
      </c>
      <c r="AB1419" t="s">
        <v>1008</v>
      </c>
    </row>
    <row r="1420" spans="1:28" hidden="1" x14ac:dyDescent="0.2">
      <c r="A1420" s="3">
        <v>45212</v>
      </c>
      <c r="D1420" s="5">
        <v>0.81012731481481481</v>
      </c>
      <c r="E1420">
        <v>-76.722363329999993</v>
      </c>
      <c r="F1420">
        <v>3.4771000000000001</v>
      </c>
      <c r="G1420">
        <v>2100</v>
      </c>
      <c r="H1420" s="7" t="s">
        <v>918</v>
      </c>
      <c r="I1420">
        <v>2023</v>
      </c>
      <c r="J1420">
        <v>10</v>
      </c>
      <c r="K1420" s="7">
        <v>22.5</v>
      </c>
      <c r="M1420" t="s">
        <v>247</v>
      </c>
      <c r="O1420" t="s">
        <v>38</v>
      </c>
      <c r="P1420" t="s">
        <v>280</v>
      </c>
      <c r="R1420" t="s">
        <v>921</v>
      </c>
      <c r="S1420" t="s">
        <v>946</v>
      </c>
      <c r="T1420" t="s">
        <v>54</v>
      </c>
      <c r="U1420" t="s">
        <v>296</v>
      </c>
      <c r="V1420">
        <v>1</v>
      </c>
      <c r="AB1420" t="s">
        <v>1008</v>
      </c>
    </row>
    <row r="1421" spans="1:28" hidden="1" x14ac:dyDescent="0.2">
      <c r="A1421" s="3">
        <v>45212</v>
      </c>
      <c r="D1421" s="5">
        <v>0.93307870370370372</v>
      </c>
      <c r="E1421">
        <v>-76.722941669999997</v>
      </c>
      <c r="F1421">
        <v>3.4826899999999998</v>
      </c>
      <c r="G1421">
        <v>2100</v>
      </c>
      <c r="H1421" s="7" t="s">
        <v>918</v>
      </c>
      <c r="I1421">
        <v>2023</v>
      </c>
      <c r="J1421">
        <v>11</v>
      </c>
      <c r="K1421" s="7">
        <v>18.5</v>
      </c>
      <c r="M1421" t="s">
        <v>247</v>
      </c>
      <c r="O1421" t="s">
        <v>32</v>
      </c>
      <c r="P1421" t="s">
        <v>248</v>
      </c>
      <c r="R1421" t="s">
        <v>919</v>
      </c>
      <c r="S1421" t="s">
        <v>945</v>
      </c>
      <c r="T1421" t="s">
        <v>54</v>
      </c>
      <c r="U1421" t="s">
        <v>238</v>
      </c>
      <c r="V1421">
        <v>1</v>
      </c>
      <c r="AB1421" t="s">
        <v>1008</v>
      </c>
    </row>
    <row r="1422" spans="1:28" hidden="1" x14ac:dyDescent="0.2">
      <c r="A1422" s="3">
        <v>45212</v>
      </c>
      <c r="D1422" s="5">
        <v>0.88513888888888892</v>
      </c>
      <c r="E1422">
        <v>-76.723036669999999</v>
      </c>
      <c r="F1422">
        <v>3.4795950000000002</v>
      </c>
      <c r="G1422">
        <v>2100</v>
      </c>
      <c r="H1422" s="7" t="s">
        <v>918</v>
      </c>
      <c r="I1422">
        <v>2023</v>
      </c>
      <c r="J1422">
        <v>10</v>
      </c>
      <c r="K1422" s="7">
        <v>26</v>
      </c>
      <c r="M1422" t="s">
        <v>247</v>
      </c>
      <c r="O1422" t="s">
        <v>47</v>
      </c>
      <c r="P1422" t="s">
        <v>280</v>
      </c>
      <c r="R1422" t="s">
        <v>921</v>
      </c>
      <c r="S1422" t="s">
        <v>946</v>
      </c>
      <c r="T1422" t="s">
        <v>54</v>
      </c>
      <c r="U1422" t="s">
        <v>270</v>
      </c>
      <c r="V1422">
        <v>1</v>
      </c>
      <c r="AB1422" t="s">
        <v>1008</v>
      </c>
    </row>
    <row r="1423" spans="1:28" hidden="1" x14ac:dyDescent="0.2">
      <c r="A1423" s="3">
        <v>45212</v>
      </c>
      <c r="D1423" s="5">
        <v>0.88513888888888892</v>
      </c>
      <c r="E1423">
        <v>-76.723036669999999</v>
      </c>
      <c r="F1423">
        <v>3.4795950000000002</v>
      </c>
      <c r="G1423">
        <v>2100</v>
      </c>
      <c r="H1423" s="7" t="s">
        <v>918</v>
      </c>
      <c r="I1423">
        <v>2023</v>
      </c>
      <c r="J1423">
        <v>10</v>
      </c>
      <c r="K1423" s="7">
        <v>26</v>
      </c>
      <c r="M1423" t="s">
        <v>247</v>
      </c>
      <c r="O1423" t="s">
        <v>47</v>
      </c>
      <c r="P1423" t="s">
        <v>280</v>
      </c>
      <c r="R1423" t="s">
        <v>921</v>
      </c>
      <c r="S1423" t="s">
        <v>945</v>
      </c>
      <c r="T1423" t="s">
        <v>54</v>
      </c>
      <c r="U1423" t="s">
        <v>296</v>
      </c>
      <c r="V1423">
        <v>1</v>
      </c>
      <c r="AB1423" t="s">
        <v>1008</v>
      </c>
    </row>
    <row r="1424" spans="1:28" hidden="1" x14ac:dyDescent="0.2">
      <c r="A1424" s="3">
        <v>45212</v>
      </c>
      <c r="D1424" s="5">
        <v>0.85099537037037032</v>
      </c>
      <c r="E1424">
        <v>-76.722719999999995</v>
      </c>
      <c r="F1424">
        <v>3.4782816670000001</v>
      </c>
      <c r="G1424">
        <v>2100</v>
      </c>
      <c r="H1424" s="7" t="s">
        <v>918</v>
      </c>
      <c r="I1424">
        <v>2023</v>
      </c>
      <c r="J1424">
        <v>10</v>
      </c>
      <c r="K1424" s="7">
        <v>30</v>
      </c>
      <c r="M1424" t="s">
        <v>247</v>
      </c>
      <c r="O1424" t="s">
        <v>40</v>
      </c>
      <c r="P1424" t="s">
        <v>280</v>
      </c>
      <c r="R1424" t="s">
        <v>921</v>
      </c>
      <c r="S1424" t="s">
        <v>1003</v>
      </c>
      <c r="T1424" t="s">
        <v>54</v>
      </c>
      <c r="U1424" t="s">
        <v>88</v>
      </c>
      <c r="V1424">
        <v>1</v>
      </c>
      <c r="AB1424" t="s">
        <v>1008</v>
      </c>
    </row>
    <row r="1425" spans="1:28" hidden="1" x14ac:dyDescent="0.2">
      <c r="A1425" s="3">
        <v>45212</v>
      </c>
      <c r="D1425" s="5">
        <v>0.87306712962962962</v>
      </c>
      <c r="E1425">
        <v>-76.722949999999997</v>
      </c>
      <c r="F1425">
        <v>3.4791416669999999</v>
      </c>
      <c r="G1425">
        <v>2100</v>
      </c>
      <c r="H1425" s="7" t="s">
        <v>918</v>
      </c>
      <c r="I1425">
        <v>2023</v>
      </c>
      <c r="J1425">
        <v>10</v>
      </c>
      <c r="K1425" s="7">
        <v>30</v>
      </c>
      <c r="M1425" t="s">
        <v>247</v>
      </c>
      <c r="O1425" t="s">
        <v>40</v>
      </c>
      <c r="P1425" t="s">
        <v>280</v>
      </c>
      <c r="R1425" t="s">
        <v>921</v>
      </c>
      <c r="S1425" t="s">
        <v>946</v>
      </c>
      <c r="T1425" t="s">
        <v>54</v>
      </c>
      <c r="U1425" t="s">
        <v>88</v>
      </c>
      <c r="V1425">
        <v>5</v>
      </c>
      <c r="AB1425" t="s">
        <v>1008</v>
      </c>
    </row>
    <row r="1426" spans="1:28" hidden="1" x14ac:dyDescent="0.2">
      <c r="A1426" s="3">
        <v>45212</v>
      </c>
      <c r="D1426" s="5">
        <v>0.94750000000000001</v>
      </c>
      <c r="E1426">
        <v>-76.723613330000006</v>
      </c>
      <c r="F1426">
        <v>3.4846966670000001</v>
      </c>
      <c r="H1426" s="7" t="s">
        <v>918</v>
      </c>
      <c r="I1426">
        <v>2023</v>
      </c>
      <c r="J1426">
        <v>5</v>
      </c>
      <c r="K1426" s="7">
        <v>12</v>
      </c>
      <c r="M1426" t="s">
        <v>247</v>
      </c>
      <c r="O1426" t="s">
        <v>40</v>
      </c>
      <c r="P1426" t="s">
        <v>248</v>
      </c>
      <c r="U1426" t="s">
        <v>36</v>
      </c>
      <c r="V1426">
        <v>0</v>
      </c>
    </row>
    <row r="1427" spans="1:28" hidden="1" x14ac:dyDescent="0.2">
      <c r="A1427" s="3">
        <v>45212</v>
      </c>
      <c r="D1427" s="5">
        <v>0.83006944444444442</v>
      </c>
      <c r="E1427">
        <v>-76.722605000000001</v>
      </c>
      <c r="F1427">
        <v>3.4776250000000002</v>
      </c>
      <c r="G1427">
        <v>2100</v>
      </c>
      <c r="H1427" s="7" t="s">
        <v>918</v>
      </c>
      <c r="I1427">
        <v>2023</v>
      </c>
      <c r="J1427">
        <v>10</v>
      </c>
      <c r="K1427" s="7">
        <v>22.5</v>
      </c>
      <c r="M1427" t="s">
        <v>247</v>
      </c>
      <c r="O1427" t="s">
        <v>38</v>
      </c>
      <c r="P1427" t="s">
        <v>280</v>
      </c>
      <c r="R1427" t="s">
        <v>921</v>
      </c>
      <c r="S1427" t="s">
        <v>1003</v>
      </c>
      <c r="T1427" t="s">
        <v>54</v>
      </c>
      <c r="U1427" t="s">
        <v>88</v>
      </c>
      <c r="V1427">
        <v>2</v>
      </c>
      <c r="AB1427" t="s">
        <v>1008</v>
      </c>
    </row>
    <row r="1428" spans="1:28" hidden="1" x14ac:dyDescent="0.2">
      <c r="A1428" s="3">
        <v>45212</v>
      </c>
      <c r="D1428" s="5">
        <v>0.89254629629629634</v>
      </c>
      <c r="E1428">
        <v>-76.723056670000005</v>
      </c>
      <c r="F1428">
        <v>3.4796466669999999</v>
      </c>
      <c r="G1428">
        <v>2100</v>
      </c>
      <c r="H1428" s="7" t="s">
        <v>918</v>
      </c>
      <c r="I1428">
        <v>2023</v>
      </c>
      <c r="J1428">
        <v>10</v>
      </c>
      <c r="K1428" s="7">
        <v>26</v>
      </c>
      <c r="M1428" t="s">
        <v>247</v>
      </c>
      <c r="O1428" t="s">
        <v>47</v>
      </c>
      <c r="P1428" t="s">
        <v>280</v>
      </c>
      <c r="R1428" t="s">
        <v>921</v>
      </c>
      <c r="S1428" t="s">
        <v>995</v>
      </c>
      <c r="T1428" t="s">
        <v>42</v>
      </c>
      <c r="U1428" t="s">
        <v>270</v>
      </c>
      <c r="V1428">
        <v>1</v>
      </c>
      <c r="AB1428" t="s">
        <v>1008</v>
      </c>
    </row>
    <row r="1429" spans="1:28" hidden="1" x14ac:dyDescent="0.2">
      <c r="A1429" s="3">
        <v>45212</v>
      </c>
      <c r="D1429" s="5">
        <v>0.9185416666666667</v>
      </c>
      <c r="E1429">
        <v>-76.723193330000001</v>
      </c>
      <c r="F1429">
        <v>3.480911667</v>
      </c>
      <c r="G1429">
        <v>2100</v>
      </c>
      <c r="H1429" s="7" t="s">
        <v>918</v>
      </c>
      <c r="I1429">
        <v>2023</v>
      </c>
      <c r="J1429">
        <v>10</v>
      </c>
      <c r="K1429" s="7">
        <v>21</v>
      </c>
      <c r="M1429" t="s">
        <v>247</v>
      </c>
      <c r="O1429" t="s">
        <v>58</v>
      </c>
      <c r="P1429" t="s">
        <v>280</v>
      </c>
      <c r="R1429" t="s">
        <v>921</v>
      </c>
      <c r="S1429" t="s">
        <v>946</v>
      </c>
      <c r="T1429" t="s">
        <v>54</v>
      </c>
      <c r="U1429" t="s">
        <v>88</v>
      </c>
      <c r="V1429">
        <v>1</v>
      </c>
      <c r="AB1429" t="s">
        <v>1008</v>
      </c>
    </row>
    <row r="1430" spans="1:28" hidden="1" x14ac:dyDescent="0.2">
      <c r="A1430" s="3">
        <v>45212</v>
      </c>
      <c r="D1430" s="5">
        <v>0.9185416666666667</v>
      </c>
      <c r="E1430">
        <v>-76.723193330000001</v>
      </c>
      <c r="F1430">
        <v>3.480911667</v>
      </c>
      <c r="G1430">
        <v>2100</v>
      </c>
      <c r="H1430" s="7" t="s">
        <v>918</v>
      </c>
      <c r="I1430">
        <v>2023</v>
      </c>
      <c r="J1430">
        <v>10</v>
      </c>
      <c r="K1430" s="7">
        <v>21</v>
      </c>
      <c r="M1430" t="s">
        <v>247</v>
      </c>
      <c r="O1430" t="s">
        <v>58</v>
      </c>
      <c r="P1430" t="s">
        <v>280</v>
      </c>
      <c r="R1430" t="s">
        <v>921</v>
      </c>
      <c r="S1430" t="s">
        <v>1003</v>
      </c>
      <c r="T1430" t="s">
        <v>42</v>
      </c>
      <c r="U1430" t="s">
        <v>270</v>
      </c>
      <c r="V1430">
        <v>1</v>
      </c>
      <c r="AB1430" t="s">
        <v>1008</v>
      </c>
    </row>
    <row r="1431" spans="1:28" hidden="1" x14ac:dyDescent="0.2">
      <c r="A1431" s="3">
        <v>45212</v>
      </c>
      <c r="D1431" s="5">
        <v>0.9185416666666667</v>
      </c>
      <c r="E1431">
        <v>-76.723193330000001</v>
      </c>
      <c r="F1431">
        <v>3.480911667</v>
      </c>
      <c r="G1431">
        <v>2100</v>
      </c>
      <c r="H1431" s="7" t="s">
        <v>918</v>
      </c>
      <c r="I1431">
        <v>2023</v>
      </c>
      <c r="J1431">
        <v>10</v>
      </c>
      <c r="K1431" s="7">
        <v>21</v>
      </c>
      <c r="M1431" t="s">
        <v>247</v>
      </c>
      <c r="O1431" t="s">
        <v>58</v>
      </c>
      <c r="P1431" t="s">
        <v>280</v>
      </c>
      <c r="R1431" t="s">
        <v>921</v>
      </c>
      <c r="S1431" t="s">
        <v>1003</v>
      </c>
      <c r="T1431" t="s">
        <v>54</v>
      </c>
      <c r="U1431" t="s">
        <v>88</v>
      </c>
      <c r="V1431">
        <v>1</v>
      </c>
      <c r="AB1431" t="s">
        <v>1008</v>
      </c>
    </row>
    <row r="1432" spans="1:28" hidden="1" x14ac:dyDescent="0.2">
      <c r="A1432" s="3">
        <v>45212</v>
      </c>
      <c r="D1432" s="5">
        <v>0.86357638888888888</v>
      </c>
      <c r="E1432">
        <v>-76.722828329999999</v>
      </c>
      <c r="F1432">
        <v>3.4787033329999999</v>
      </c>
      <c r="G1432">
        <v>2100</v>
      </c>
      <c r="H1432" s="7" t="s">
        <v>918</v>
      </c>
      <c r="I1432">
        <v>2023</v>
      </c>
      <c r="J1432">
        <v>10</v>
      </c>
      <c r="K1432" s="7">
        <v>30</v>
      </c>
      <c r="M1432" t="s">
        <v>247</v>
      </c>
      <c r="O1432" t="s">
        <v>40</v>
      </c>
      <c r="P1432" t="s">
        <v>280</v>
      </c>
      <c r="R1432" t="s">
        <v>921</v>
      </c>
      <c r="S1432" t="s">
        <v>1002</v>
      </c>
      <c r="T1432" t="s">
        <v>54</v>
      </c>
      <c r="U1432" t="s">
        <v>316</v>
      </c>
      <c r="V1432">
        <v>2</v>
      </c>
      <c r="AB1432" t="s">
        <v>1008</v>
      </c>
    </row>
    <row r="1433" spans="1:28" hidden="1" x14ac:dyDescent="0.2">
      <c r="A1433" s="3">
        <v>45212</v>
      </c>
      <c r="D1433" s="5">
        <v>0.81526620370370373</v>
      </c>
      <c r="E1433">
        <v>-76.722466670000003</v>
      </c>
      <c r="F1433">
        <v>3.4773516670000002</v>
      </c>
      <c r="G1433">
        <v>2100</v>
      </c>
      <c r="H1433" s="7" t="s">
        <v>918</v>
      </c>
      <c r="I1433">
        <v>2023</v>
      </c>
      <c r="J1433">
        <v>10</v>
      </c>
      <c r="K1433" s="7">
        <v>22.5</v>
      </c>
      <c r="M1433" t="s">
        <v>247</v>
      </c>
      <c r="O1433" t="s">
        <v>38</v>
      </c>
      <c r="P1433" t="s">
        <v>280</v>
      </c>
      <c r="R1433" t="s">
        <v>921</v>
      </c>
      <c r="S1433" t="s">
        <v>1003</v>
      </c>
      <c r="T1433" t="s">
        <v>54</v>
      </c>
      <c r="U1433" t="s">
        <v>316</v>
      </c>
      <c r="V1433">
        <v>1</v>
      </c>
      <c r="AB1433" t="s">
        <v>1008</v>
      </c>
    </row>
    <row r="1434" spans="1:28" hidden="1" x14ac:dyDescent="0.2">
      <c r="A1434" s="3">
        <v>45212</v>
      </c>
      <c r="D1434" s="5">
        <v>0.85158564814814819</v>
      </c>
      <c r="E1434">
        <v>-76.722763330000006</v>
      </c>
      <c r="F1434">
        <v>3.4783083330000002</v>
      </c>
      <c r="G1434">
        <v>2100</v>
      </c>
      <c r="H1434" s="7" t="s">
        <v>918</v>
      </c>
      <c r="I1434">
        <v>2023</v>
      </c>
      <c r="J1434">
        <v>10</v>
      </c>
      <c r="K1434" s="7">
        <v>30</v>
      </c>
      <c r="M1434" t="s">
        <v>247</v>
      </c>
      <c r="O1434" t="s">
        <v>40</v>
      </c>
      <c r="P1434" t="s">
        <v>280</v>
      </c>
      <c r="R1434" t="s">
        <v>921</v>
      </c>
      <c r="S1434" t="s">
        <v>1004</v>
      </c>
      <c r="T1434" t="s">
        <v>54</v>
      </c>
      <c r="U1434" t="s">
        <v>296</v>
      </c>
      <c r="V1434">
        <v>2</v>
      </c>
      <c r="AB1434" t="s">
        <v>1008</v>
      </c>
    </row>
    <row r="1435" spans="1:28" hidden="1" x14ac:dyDescent="0.2">
      <c r="A1435" s="3">
        <v>45212</v>
      </c>
      <c r="D1435" s="5">
        <v>0.92055555555555557</v>
      </c>
      <c r="E1435">
        <v>-76.723176670000001</v>
      </c>
      <c r="F1435">
        <v>3.4809733330000001</v>
      </c>
      <c r="G1435">
        <v>2100</v>
      </c>
      <c r="H1435" s="7" t="s">
        <v>918</v>
      </c>
      <c r="I1435">
        <v>2023</v>
      </c>
      <c r="J1435">
        <v>10</v>
      </c>
      <c r="K1435" s="7">
        <v>21</v>
      </c>
      <c r="M1435" t="s">
        <v>247</v>
      </c>
      <c r="O1435" t="s">
        <v>58</v>
      </c>
      <c r="P1435" t="s">
        <v>280</v>
      </c>
      <c r="R1435" t="s">
        <v>921</v>
      </c>
      <c r="S1435" t="s">
        <v>946</v>
      </c>
      <c r="T1435" t="s">
        <v>54</v>
      </c>
      <c r="U1435" t="s">
        <v>371</v>
      </c>
      <c r="V1435">
        <v>1</v>
      </c>
      <c r="AB1435" t="s">
        <v>1008</v>
      </c>
    </row>
    <row r="1436" spans="1:28" hidden="1" x14ac:dyDescent="0.2">
      <c r="A1436" s="3">
        <v>45212</v>
      </c>
      <c r="D1436" s="5">
        <v>0.89119212962962968</v>
      </c>
      <c r="E1436">
        <v>-76.723070000000007</v>
      </c>
      <c r="F1436">
        <v>3.47966</v>
      </c>
      <c r="G1436">
        <v>2100</v>
      </c>
      <c r="H1436" s="7" t="s">
        <v>918</v>
      </c>
      <c r="I1436">
        <v>2023</v>
      </c>
      <c r="J1436">
        <v>10</v>
      </c>
      <c r="K1436" s="7">
        <v>26</v>
      </c>
      <c r="M1436" t="s">
        <v>247</v>
      </c>
      <c r="O1436" t="s">
        <v>47</v>
      </c>
      <c r="P1436" t="s">
        <v>280</v>
      </c>
      <c r="R1436" t="s">
        <v>921</v>
      </c>
      <c r="S1436" t="s">
        <v>995</v>
      </c>
      <c r="T1436" t="s">
        <v>54</v>
      </c>
      <c r="U1436" t="s">
        <v>937</v>
      </c>
      <c r="V1436">
        <v>1</v>
      </c>
      <c r="AB1436" t="s">
        <v>1008</v>
      </c>
    </row>
    <row r="1437" spans="1:28" hidden="1" x14ac:dyDescent="0.2">
      <c r="A1437" s="3">
        <v>45212</v>
      </c>
      <c r="D1437" s="5">
        <v>0.83994212962962966</v>
      </c>
      <c r="E1437">
        <v>-76.722768329999994</v>
      </c>
      <c r="F1437">
        <v>3.4778583329999999</v>
      </c>
      <c r="G1437">
        <v>2100</v>
      </c>
      <c r="H1437" s="7" t="s">
        <v>918</v>
      </c>
      <c r="I1437">
        <v>2023</v>
      </c>
      <c r="J1437">
        <v>10</v>
      </c>
      <c r="K1437" s="7">
        <v>22.5</v>
      </c>
      <c r="M1437" t="s">
        <v>247</v>
      </c>
      <c r="O1437" t="s">
        <v>38</v>
      </c>
      <c r="P1437" t="s">
        <v>280</v>
      </c>
      <c r="R1437" t="s">
        <v>921</v>
      </c>
      <c r="S1437" t="s">
        <v>1004</v>
      </c>
      <c r="T1437" t="s">
        <v>54</v>
      </c>
      <c r="U1437" t="s">
        <v>88</v>
      </c>
      <c r="V1437">
        <v>1</v>
      </c>
      <c r="AB1437" t="s">
        <v>1008</v>
      </c>
    </row>
    <row r="1438" spans="1:28" hidden="1" x14ac:dyDescent="0.2">
      <c r="A1438" s="3">
        <v>45212</v>
      </c>
      <c r="D1438" s="5">
        <v>0.83994212962962966</v>
      </c>
      <c r="E1438">
        <v>-76.722768329999994</v>
      </c>
      <c r="F1438">
        <v>3.4778583329999999</v>
      </c>
      <c r="G1438">
        <v>2100</v>
      </c>
      <c r="H1438" s="7" t="s">
        <v>918</v>
      </c>
      <c r="I1438">
        <v>2023</v>
      </c>
      <c r="J1438">
        <v>10</v>
      </c>
      <c r="K1438" s="7">
        <v>22.5</v>
      </c>
      <c r="M1438" t="s">
        <v>247</v>
      </c>
      <c r="O1438" t="s">
        <v>38</v>
      </c>
      <c r="P1438" t="s">
        <v>280</v>
      </c>
      <c r="R1438" t="s">
        <v>921</v>
      </c>
      <c r="S1438" t="s">
        <v>946</v>
      </c>
      <c r="T1438" t="s">
        <v>54</v>
      </c>
      <c r="U1438" t="s">
        <v>316</v>
      </c>
      <c r="V1438">
        <v>1</v>
      </c>
      <c r="AB1438" t="s">
        <v>66</v>
      </c>
    </row>
    <row r="1439" spans="1:28" hidden="1" x14ac:dyDescent="0.2">
      <c r="A1439" s="3">
        <v>45212</v>
      </c>
      <c r="D1439" s="5">
        <v>0.83994212962962966</v>
      </c>
      <c r="E1439">
        <v>-76.722768329999994</v>
      </c>
      <c r="F1439">
        <v>3.4778583329999999</v>
      </c>
      <c r="G1439">
        <v>2100</v>
      </c>
      <c r="H1439" s="7" t="s">
        <v>918</v>
      </c>
      <c r="I1439">
        <v>2023</v>
      </c>
      <c r="J1439">
        <v>10</v>
      </c>
      <c r="K1439" s="7">
        <v>22.5</v>
      </c>
      <c r="M1439" t="s">
        <v>247</v>
      </c>
      <c r="O1439" t="s">
        <v>38</v>
      </c>
      <c r="P1439" t="s">
        <v>280</v>
      </c>
      <c r="R1439" t="s">
        <v>921</v>
      </c>
      <c r="S1439" t="s">
        <v>1003</v>
      </c>
      <c r="T1439" t="s">
        <v>54</v>
      </c>
      <c r="U1439" t="s">
        <v>88</v>
      </c>
      <c r="V1439">
        <v>1</v>
      </c>
      <c r="AB1439" t="s">
        <v>1008</v>
      </c>
    </row>
    <row r="1440" spans="1:28" hidden="1" x14ac:dyDescent="0.2">
      <c r="A1440" s="3">
        <v>45213</v>
      </c>
      <c r="D1440" s="5">
        <v>0.80592592592592593</v>
      </c>
      <c r="E1440">
        <v>-76.718265000000002</v>
      </c>
      <c r="F1440">
        <v>3.4861566669999999</v>
      </c>
      <c r="H1440" s="7" t="s">
        <v>918</v>
      </c>
      <c r="I1440">
        <v>2023</v>
      </c>
      <c r="J1440">
        <v>5.5</v>
      </c>
      <c r="K1440" s="7" t="s">
        <v>918</v>
      </c>
      <c r="M1440" t="s">
        <v>247</v>
      </c>
      <c r="O1440" t="s">
        <v>47</v>
      </c>
      <c r="P1440" t="s">
        <v>272</v>
      </c>
      <c r="R1440" t="s">
        <v>273</v>
      </c>
      <c r="S1440" t="s">
        <v>1003</v>
      </c>
      <c r="T1440" t="s">
        <v>54</v>
      </c>
      <c r="U1440" t="s">
        <v>252</v>
      </c>
      <c r="V1440">
        <v>1</v>
      </c>
      <c r="AB1440" t="s">
        <v>66</v>
      </c>
    </row>
    <row r="1441" spans="1:28" hidden="1" x14ac:dyDescent="0.2">
      <c r="A1441" s="3">
        <v>45213</v>
      </c>
      <c r="D1441" s="5">
        <v>0.80592592592592593</v>
      </c>
      <c r="E1441">
        <v>-76.718265000000002</v>
      </c>
      <c r="F1441">
        <v>3.4861566669999999</v>
      </c>
      <c r="H1441" s="7" t="s">
        <v>918</v>
      </c>
      <c r="I1441">
        <v>2023</v>
      </c>
      <c r="J1441">
        <v>5.5</v>
      </c>
      <c r="K1441" s="7" t="s">
        <v>918</v>
      </c>
      <c r="M1441" t="s">
        <v>247</v>
      </c>
      <c r="O1441" t="s">
        <v>47</v>
      </c>
      <c r="P1441" t="s">
        <v>272</v>
      </c>
      <c r="R1441" t="s">
        <v>273</v>
      </c>
      <c r="S1441" t="s">
        <v>1003</v>
      </c>
      <c r="T1441" t="s">
        <v>54</v>
      </c>
      <c r="U1441" t="s">
        <v>928</v>
      </c>
      <c r="V1441">
        <v>1</v>
      </c>
      <c r="AB1441" t="s">
        <v>66</v>
      </c>
    </row>
    <row r="1442" spans="1:28" hidden="1" x14ac:dyDescent="0.2">
      <c r="A1442" s="3">
        <v>45213</v>
      </c>
      <c r="D1442" s="5">
        <v>0.79347222222222225</v>
      </c>
      <c r="E1442">
        <v>-76.718818330000005</v>
      </c>
      <c r="F1442">
        <v>3.487221667</v>
      </c>
      <c r="H1442" s="7" t="s">
        <v>918</v>
      </c>
      <c r="I1442">
        <v>2023</v>
      </c>
      <c r="J1442">
        <v>3.25</v>
      </c>
      <c r="K1442" s="7" t="s">
        <v>918</v>
      </c>
      <c r="M1442" t="s">
        <v>247</v>
      </c>
      <c r="O1442" t="s">
        <v>58</v>
      </c>
      <c r="P1442" t="s">
        <v>272</v>
      </c>
      <c r="R1442" t="s">
        <v>273</v>
      </c>
      <c r="S1442" t="s">
        <v>1003</v>
      </c>
      <c r="T1442" t="s">
        <v>54</v>
      </c>
      <c r="U1442" t="s">
        <v>238</v>
      </c>
      <c r="V1442">
        <v>3</v>
      </c>
      <c r="AB1442" t="s">
        <v>66</v>
      </c>
    </row>
    <row r="1443" spans="1:28" hidden="1" x14ac:dyDescent="0.2">
      <c r="A1443" s="3">
        <v>45213</v>
      </c>
      <c r="D1443" s="5">
        <v>0.79461805555555554</v>
      </c>
      <c r="E1443">
        <v>-76.718746670000002</v>
      </c>
      <c r="F1443">
        <v>3.4870450000000002</v>
      </c>
      <c r="H1443" s="7" t="s">
        <v>918</v>
      </c>
      <c r="I1443">
        <v>2023</v>
      </c>
      <c r="J1443">
        <v>3.25</v>
      </c>
      <c r="K1443" s="7" t="s">
        <v>918</v>
      </c>
      <c r="M1443" t="s">
        <v>247</v>
      </c>
      <c r="O1443" t="s">
        <v>58</v>
      </c>
      <c r="P1443" t="s">
        <v>272</v>
      </c>
      <c r="R1443" t="s">
        <v>273</v>
      </c>
      <c r="S1443" t="s">
        <v>1003</v>
      </c>
      <c r="T1443" t="s">
        <v>54</v>
      </c>
      <c r="U1443" t="s">
        <v>928</v>
      </c>
      <c r="V1443">
        <v>1</v>
      </c>
      <c r="AB1443" t="s">
        <v>66</v>
      </c>
    </row>
    <row r="1444" spans="1:28" hidden="1" x14ac:dyDescent="0.2">
      <c r="A1444" s="3">
        <v>45213</v>
      </c>
      <c r="D1444" s="5">
        <v>0.79811342592592593</v>
      </c>
      <c r="E1444">
        <v>-76.718553330000006</v>
      </c>
      <c r="F1444">
        <v>3.4866766669999998</v>
      </c>
      <c r="H1444" s="7" t="s">
        <v>918</v>
      </c>
      <c r="I1444">
        <v>2023</v>
      </c>
      <c r="J1444">
        <v>3.25</v>
      </c>
      <c r="K1444" s="7" t="s">
        <v>918</v>
      </c>
      <c r="M1444" t="s">
        <v>247</v>
      </c>
      <c r="O1444" t="s">
        <v>58</v>
      </c>
      <c r="P1444" t="s">
        <v>272</v>
      </c>
      <c r="R1444" t="s">
        <v>273</v>
      </c>
      <c r="S1444" t="s">
        <v>1003</v>
      </c>
      <c r="T1444" t="s">
        <v>91</v>
      </c>
      <c r="U1444" t="s">
        <v>928</v>
      </c>
      <c r="V1444">
        <v>1</v>
      </c>
      <c r="AB1444" t="s">
        <v>66</v>
      </c>
    </row>
    <row r="1445" spans="1:28" hidden="1" x14ac:dyDescent="0.2">
      <c r="A1445" s="3">
        <v>45213</v>
      </c>
      <c r="D1445" s="5">
        <v>0.81149305555555551</v>
      </c>
      <c r="E1445">
        <v>-76.717955000000003</v>
      </c>
      <c r="F1445">
        <v>3.486075</v>
      </c>
      <c r="H1445" s="7" t="s">
        <v>918</v>
      </c>
      <c r="I1445">
        <v>2023</v>
      </c>
      <c r="J1445">
        <v>5.5</v>
      </c>
      <c r="K1445" s="7" t="s">
        <v>918</v>
      </c>
      <c r="M1445" t="s">
        <v>247</v>
      </c>
      <c r="O1445" t="s">
        <v>47</v>
      </c>
      <c r="P1445" t="s">
        <v>272</v>
      </c>
      <c r="R1445" t="s">
        <v>273</v>
      </c>
      <c r="S1445" t="s">
        <v>946</v>
      </c>
      <c r="T1445" t="s">
        <v>54</v>
      </c>
      <c r="U1445" t="s">
        <v>928</v>
      </c>
      <c r="V1445">
        <v>2</v>
      </c>
      <c r="Z1445" t="s">
        <v>1011</v>
      </c>
      <c r="AB1445" t="s">
        <v>66</v>
      </c>
    </row>
    <row r="1446" spans="1:28" hidden="1" x14ac:dyDescent="0.2">
      <c r="A1446" s="3">
        <v>45253</v>
      </c>
      <c r="D1446" s="5">
        <v>0</v>
      </c>
      <c r="E1446">
        <v>-76.888499999999993</v>
      </c>
      <c r="F1446">
        <v>3.5971000000000002</v>
      </c>
      <c r="G1446">
        <v>563</v>
      </c>
      <c r="H1446" s="7" t="s">
        <v>918</v>
      </c>
      <c r="I1446">
        <v>2023</v>
      </c>
      <c r="J1446">
        <v>11.5</v>
      </c>
      <c r="K1446" s="7">
        <v>14</v>
      </c>
      <c r="M1446" t="s">
        <v>30</v>
      </c>
      <c r="O1446" t="s">
        <v>47</v>
      </c>
      <c r="P1446" t="s">
        <v>33</v>
      </c>
      <c r="R1446" t="s">
        <v>921</v>
      </c>
      <c r="S1446" t="s">
        <v>1005</v>
      </c>
      <c r="T1446" t="s">
        <v>54</v>
      </c>
      <c r="U1446" t="s">
        <v>935</v>
      </c>
      <c r="V1446">
        <v>1</v>
      </c>
      <c r="AB1446" t="s">
        <v>1008</v>
      </c>
    </row>
    <row r="1447" spans="1:28" hidden="1" x14ac:dyDescent="0.2">
      <c r="A1447" s="3">
        <v>45253</v>
      </c>
      <c r="D1447" s="5">
        <v>0</v>
      </c>
      <c r="E1447">
        <v>-76.888599999999997</v>
      </c>
      <c r="F1447">
        <v>3.597</v>
      </c>
      <c r="G1447">
        <v>563</v>
      </c>
      <c r="H1447" s="7" t="s">
        <v>918</v>
      </c>
      <c r="I1447">
        <v>2023</v>
      </c>
      <c r="J1447">
        <v>11.5</v>
      </c>
      <c r="K1447" s="7">
        <v>14</v>
      </c>
      <c r="M1447" t="s">
        <v>30</v>
      </c>
      <c r="O1447" t="s">
        <v>47</v>
      </c>
      <c r="P1447" t="s">
        <v>33</v>
      </c>
      <c r="R1447" t="s">
        <v>921</v>
      </c>
      <c r="S1447" t="s">
        <v>995</v>
      </c>
      <c r="T1447" t="s">
        <v>54</v>
      </c>
      <c r="U1447" t="s">
        <v>208</v>
      </c>
      <c r="V1447">
        <v>3</v>
      </c>
      <c r="AB1447" t="s">
        <v>1008</v>
      </c>
    </row>
    <row r="1448" spans="1:28" hidden="1" x14ac:dyDescent="0.2">
      <c r="A1448" s="3">
        <v>45253</v>
      </c>
      <c r="D1448" s="5">
        <v>0</v>
      </c>
      <c r="E1448">
        <v>-76.888499999999993</v>
      </c>
      <c r="F1448">
        <v>3.5971000000000002</v>
      </c>
      <c r="G1448">
        <v>563</v>
      </c>
      <c r="H1448" s="7" t="s">
        <v>918</v>
      </c>
      <c r="I1448">
        <v>2023</v>
      </c>
      <c r="J1448">
        <v>11.5</v>
      </c>
      <c r="K1448" s="7">
        <v>14</v>
      </c>
      <c r="M1448" t="s">
        <v>30</v>
      </c>
      <c r="O1448" t="s">
        <v>47</v>
      </c>
      <c r="P1448" t="s">
        <v>33</v>
      </c>
      <c r="R1448" t="s">
        <v>921</v>
      </c>
      <c r="S1448" t="s">
        <v>995</v>
      </c>
      <c r="T1448" t="s">
        <v>54</v>
      </c>
      <c r="U1448" t="s">
        <v>935</v>
      </c>
      <c r="V1448">
        <v>1</v>
      </c>
      <c r="AB1448" t="s">
        <v>66</v>
      </c>
    </row>
    <row r="1449" spans="1:28" hidden="1" x14ac:dyDescent="0.2">
      <c r="A1449" s="3">
        <v>45253</v>
      </c>
      <c r="D1449" s="5">
        <v>0</v>
      </c>
      <c r="E1449">
        <v>-76.888599999999997</v>
      </c>
      <c r="F1449">
        <v>3.5973999999999999</v>
      </c>
      <c r="G1449">
        <v>563</v>
      </c>
      <c r="H1449" s="7" t="s">
        <v>918</v>
      </c>
      <c r="I1449">
        <v>2023</v>
      </c>
      <c r="J1449">
        <v>11.5</v>
      </c>
      <c r="K1449" s="7">
        <v>14</v>
      </c>
      <c r="M1449" t="s">
        <v>30</v>
      </c>
      <c r="O1449" t="s">
        <v>47</v>
      </c>
      <c r="P1449" t="s">
        <v>33</v>
      </c>
      <c r="R1449" t="s">
        <v>921</v>
      </c>
      <c r="S1449" t="s">
        <v>1005</v>
      </c>
      <c r="T1449" t="s">
        <v>54</v>
      </c>
      <c r="U1449" t="s">
        <v>935</v>
      </c>
      <c r="V1449">
        <v>1</v>
      </c>
      <c r="AB1449" t="s">
        <v>1008</v>
      </c>
    </row>
    <row r="1450" spans="1:28" hidden="1" x14ac:dyDescent="0.2">
      <c r="A1450" s="3">
        <v>45246</v>
      </c>
      <c r="D1450" s="5">
        <v>0</v>
      </c>
      <c r="E1450">
        <v>-76.651899999999998</v>
      </c>
      <c r="F1450">
        <v>3.3534999999999999</v>
      </c>
      <c r="G1450">
        <v>2570</v>
      </c>
      <c r="H1450" s="7" t="s">
        <v>918</v>
      </c>
      <c r="I1450">
        <v>2023</v>
      </c>
      <c r="J1450">
        <v>33</v>
      </c>
      <c r="K1450" s="7">
        <v>15</v>
      </c>
      <c r="M1450" t="s">
        <v>624</v>
      </c>
      <c r="O1450" t="s">
        <v>47</v>
      </c>
      <c r="P1450" t="s">
        <v>690</v>
      </c>
      <c r="R1450" t="s">
        <v>919</v>
      </c>
      <c r="S1450" t="s">
        <v>946</v>
      </c>
      <c r="T1450" t="s">
        <v>42</v>
      </c>
      <c r="U1450" t="s">
        <v>371</v>
      </c>
      <c r="V1450">
        <v>1</v>
      </c>
      <c r="AB1450" t="s">
        <v>1008</v>
      </c>
    </row>
    <row r="1451" spans="1:28" hidden="1" x14ac:dyDescent="0.2">
      <c r="A1451" s="3">
        <v>45246</v>
      </c>
      <c r="D1451" s="5">
        <v>0</v>
      </c>
      <c r="E1451">
        <v>-76.652429209999994</v>
      </c>
      <c r="F1451">
        <v>3.3534943460000002</v>
      </c>
      <c r="G1451">
        <v>2550</v>
      </c>
      <c r="H1451" s="7" t="s">
        <v>918</v>
      </c>
      <c r="I1451">
        <v>2023</v>
      </c>
      <c r="J1451">
        <v>33</v>
      </c>
      <c r="K1451" s="7">
        <v>15</v>
      </c>
      <c r="M1451" t="s">
        <v>624</v>
      </c>
      <c r="O1451" t="s">
        <v>47</v>
      </c>
      <c r="P1451" t="s">
        <v>690</v>
      </c>
      <c r="R1451" t="s">
        <v>919</v>
      </c>
      <c r="S1451" t="s">
        <v>946</v>
      </c>
      <c r="T1451" t="s">
        <v>42</v>
      </c>
      <c r="U1451" t="s">
        <v>371</v>
      </c>
      <c r="V1451">
        <v>1</v>
      </c>
      <c r="AB1451" t="s">
        <v>1008</v>
      </c>
    </row>
    <row r="1452" spans="1:28" hidden="1" x14ac:dyDescent="0.2">
      <c r="A1452" s="3">
        <v>45253</v>
      </c>
      <c r="D1452" s="5">
        <v>0.48379629629629628</v>
      </c>
      <c r="E1452">
        <v>-76.880700000000004</v>
      </c>
      <c r="F1452">
        <v>3.5966</v>
      </c>
      <c r="G1452">
        <v>533</v>
      </c>
      <c r="H1452" s="7">
        <v>1</v>
      </c>
      <c r="I1452">
        <v>2023</v>
      </c>
      <c r="J1452">
        <v>21</v>
      </c>
      <c r="K1452" s="7">
        <v>30</v>
      </c>
      <c r="M1452" t="s">
        <v>30</v>
      </c>
      <c r="O1452" t="s">
        <v>47</v>
      </c>
      <c r="P1452" t="s">
        <v>52</v>
      </c>
      <c r="R1452" t="s">
        <v>922</v>
      </c>
      <c r="S1452" t="s">
        <v>995</v>
      </c>
      <c r="T1452" t="s">
        <v>42</v>
      </c>
      <c r="U1452" t="s">
        <v>84</v>
      </c>
      <c r="V1452">
        <v>1</v>
      </c>
      <c r="AB1452" t="s">
        <v>1008</v>
      </c>
    </row>
    <row r="1453" spans="1:28" hidden="1" x14ac:dyDescent="0.2">
      <c r="A1453" s="3">
        <v>45252</v>
      </c>
      <c r="D1453" s="5">
        <v>0</v>
      </c>
      <c r="E1453">
        <v>-76.88077586</v>
      </c>
      <c r="F1453">
        <v>3.5784978559999998</v>
      </c>
      <c r="H1453" s="7">
        <v>4</v>
      </c>
      <c r="I1453">
        <v>2023</v>
      </c>
      <c r="J1453">
        <v>25</v>
      </c>
      <c r="K1453" s="7">
        <v>37.5</v>
      </c>
      <c r="M1453" t="s">
        <v>30</v>
      </c>
      <c r="O1453" t="s">
        <v>40</v>
      </c>
      <c r="P1453" t="s">
        <v>98</v>
      </c>
      <c r="R1453" t="s">
        <v>922</v>
      </c>
      <c r="S1453" t="s">
        <v>995</v>
      </c>
      <c r="T1453" t="s">
        <v>42</v>
      </c>
      <c r="U1453" t="s">
        <v>43</v>
      </c>
      <c r="V1453">
        <v>1</v>
      </c>
      <c r="AB1453" t="s">
        <v>66</v>
      </c>
    </row>
    <row r="1454" spans="1:28" hidden="1" x14ac:dyDescent="0.2">
      <c r="A1454" s="3">
        <v>45246</v>
      </c>
      <c r="D1454" s="5">
        <v>0</v>
      </c>
      <c r="E1454">
        <v>-76.655500529999998</v>
      </c>
      <c r="F1454">
        <v>3.354115996</v>
      </c>
      <c r="G1454">
        <v>2604</v>
      </c>
      <c r="H1454" s="7" t="s">
        <v>918</v>
      </c>
      <c r="I1454">
        <v>2023</v>
      </c>
      <c r="J1454">
        <v>19</v>
      </c>
      <c r="K1454" s="7">
        <v>6</v>
      </c>
      <c r="M1454" t="s">
        <v>624</v>
      </c>
      <c r="O1454" t="s">
        <v>32</v>
      </c>
      <c r="P1454" t="s">
        <v>720</v>
      </c>
      <c r="R1454" t="s">
        <v>919</v>
      </c>
      <c r="S1454" t="s">
        <v>946</v>
      </c>
      <c r="T1454" t="s">
        <v>42</v>
      </c>
      <c r="U1454" t="s">
        <v>723</v>
      </c>
      <c r="V1454">
        <v>1</v>
      </c>
      <c r="AB1454" t="s">
        <v>1008</v>
      </c>
    </row>
    <row r="1455" spans="1:28" hidden="1" x14ac:dyDescent="0.2">
      <c r="A1455" s="3">
        <v>45246</v>
      </c>
      <c r="D1455" s="5">
        <v>0</v>
      </c>
      <c r="E1455">
        <v>-76.655600000000007</v>
      </c>
      <c r="F1455">
        <v>3.3542000000000001</v>
      </c>
      <c r="G1455">
        <v>2604</v>
      </c>
      <c r="H1455" s="7" t="s">
        <v>918</v>
      </c>
      <c r="I1455">
        <v>2023</v>
      </c>
      <c r="J1455">
        <v>19</v>
      </c>
      <c r="K1455" s="7">
        <v>6</v>
      </c>
      <c r="M1455" t="s">
        <v>624</v>
      </c>
      <c r="O1455" t="s">
        <v>32</v>
      </c>
      <c r="P1455" t="s">
        <v>720</v>
      </c>
      <c r="R1455" t="s">
        <v>919</v>
      </c>
      <c r="S1455" t="s">
        <v>946</v>
      </c>
      <c r="T1455" t="s">
        <v>91</v>
      </c>
      <c r="U1455" t="s">
        <v>723</v>
      </c>
      <c r="V1455">
        <v>1</v>
      </c>
      <c r="AB1455" t="s">
        <v>1008</v>
      </c>
    </row>
    <row r="1456" spans="1:28" hidden="1" x14ac:dyDescent="0.2">
      <c r="A1456" s="3">
        <v>45246</v>
      </c>
      <c r="D1456" s="5">
        <v>0</v>
      </c>
      <c r="E1456">
        <v>-76.655500529999998</v>
      </c>
      <c r="F1456">
        <v>3.354115996</v>
      </c>
      <c r="G1456">
        <v>2604</v>
      </c>
      <c r="H1456" s="7" t="s">
        <v>918</v>
      </c>
      <c r="I1456">
        <v>2023</v>
      </c>
      <c r="J1456">
        <v>19</v>
      </c>
      <c r="K1456" s="7">
        <v>6</v>
      </c>
      <c r="M1456" t="s">
        <v>624</v>
      </c>
      <c r="O1456" t="s">
        <v>32</v>
      </c>
      <c r="P1456" t="s">
        <v>720</v>
      </c>
      <c r="R1456" t="s">
        <v>919</v>
      </c>
      <c r="S1456" t="s">
        <v>946</v>
      </c>
      <c r="T1456" t="s">
        <v>54</v>
      </c>
      <c r="U1456" t="s">
        <v>723</v>
      </c>
      <c r="V1456">
        <v>1</v>
      </c>
      <c r="AB1456" t="s">
        <v>1008</v>
      </c>
    </row>
    <row r="1457" spans="1:28" hidden="1" x14ac:dyDescent="0.2">
      <c r="A1457" s="3">
        <v>45246</v>
      </c>
      <c r="D1457" s="5">
        <v>0</v>
      </c>
      <c r="E1457">
        <v>-76.6554</v>
      </c>
      <c r="F1457">
        <v>3.3540000000000001</v>
      </c>
      <c r="G1457">
        <v>2604</v>
      </c>
      <c r="H1457" s="7" t="s">
        <v>918</v>
      </c>
      <c r="I1457">
        <v>2023</v>
      </c>
      <c r="J1457">
        <v>19</v>
      </c>
      <c r="K1457" s="7">
        <v>6</v>
      </c>
      <c r="M1457" t="s">
        <v>624</v>
      </c>
      <c r="O1457" t="s">
        <v>32</v>
      </c>
      <c r="P1457" t="s">
        <v>720</v>
      </c>
      <c r="R1457" t="s">
        <v>919</v>
      </c>
      <c r="S1457" t="s">
        <v>946</v>
      </c>
      <c r="T1457" t="s">
        <v>91</v>
      </c>
      <c r="U1457" t="s">
        <v>723</v>
      </c>
      <c r="V1457">
        <v>1</v>
      </c>
      <c r="AB1457" t="s">
        <v>1008</v>
      </c>
    </row>
    <row r="1458" spans="1:28" hidden="1" x14ac:dyDescent="0.2">
      <c r="A1458" s="3">
        <v>45210</v>
      </c>
      <c r="D1458" s="5">
        <v>0.87678240740740743</v>
      </c>
      <c r="E1458">
        <v>-76.725849999999994</v>
      </c>
      <c r="F1458">
        <v>3.4993783330000001</v>
      </c>
      <c r="H1458" s="7">
        <v>1.5</v>
      </c>
      <c r="I1458">
        <v>2023</v>
      </c>
      <c r="J1458">
        <v>2</v>
      </c>
      <c r="K1458" s="7" t="s">
        <v>918</v>
      </c>
      <c r="M1458" t="s">
        <v>247</v>
      </c>
      <c r="O1458" t="s">
        <v>38</v>
      </c>
      <c r="P1458" t="s">
        <v>340</v>
      </c>
      <c r="R1458" t="s">
        <v>922</v>
      </c>
      <c r="S1458" t="s">
        <v>1004</v>
      </c>
      <c r="T1458" t="s">
        <v>54</v>
      </c>
      <c r="U1458" t="s">
        <v>252</v>
      </c>
      <c r="V1458">
        <v>1</v>
      </c>
      <c r="AB1458" t="s">
        <v>1008</v>
      </c>
    </row>
    <row r="1459" spans="1:28" hidden="1" x14ac:dyDescent="0.2">
      <c r="A1459" s="3">
        <v>45210</v>
      </c>
      <c r="D1459" s="5">
        <v>0.84461805555555558</v>
      </c>
      <c r="E1459">
        <v>-76.726468330000003</v>
      </c>
      <c r="F1459">
        <v>3.5000466669999999</v>
      </c>
      <c r="G1459">
        <v>1785</v>
      </c>
      <c r="H1459" s="7">
        <v>6.6</v>
      </c>
      <c r="I1459">
        <v>2023</v>
      </c>
      <c r="J1459">
        <v>1.75</v>
      </c>
      <c r="K1459" s="7" t="s">
        <v>918</v>
      </c>
      <c r="M1459" t="s">
        <v>247</v>
      </c>
      <c r="O1459" t="s">
        <v>32</v>
      </c>
      <c r="P1459" t="s">
        <v>340</v>
      </c>
      <c r="R1459" t="s">
        <v>922</v>
      </c>
      <c r="S1459" t="s">
        <v>1004</v>
      </c>
      <c r="T1459" t="s">
        <v>54</v>
      </c>
      <c r="U1459" t="s">
        <v>252</v>
      </c>
      <c r="V1459">
        <v>1</v>
      </c>
      <c r="AB1459" t="s">
        <v>1008</v>
      </c>
    </row>
    <row r="1460" spans="1:28" hidden="1" x14ac:dyDescent="0.2">
      <c r="A1460" s="3">
        <v>45210</v>
      </c>
      <c r="D1460" s="5">
        <v>0.8636342592592593</v>
      </c>
      <c r="E1460">
        <v>-76.726005000000001</v>
      </c>
      <c r="F1460">
        <v>3.4994200000000002</v>
      </c>
      <c r="H1460" s="7">
        <v>1.5</v>
      </c>
      <c r="I1460">
        <v>2023</v>
      </c>
      <c r="J1460">
        <v>2</v>
      </c>
      <c r="K1460" s="7" t="s">
        <v>918</v>
      </c>
      <c r="M1460" t="s">
        <v>247</v>
      </c>
      <c r="O1460" t="s">
        <v>38</v>
      </c>
      <c r="P1460" t="s">
        <v>340</v>
      </c>
      <c r="R1460" t="s">
        <v>922</v>
      </c>
      <c r="S1460" t="s">
        <v>1004</v>
      </c>
      <c r="T1460" t="s">
        <v>42</v>
      </c>
      <c r="U1460" t="s">
        <v>296</v>
      </c>
      <c r="V1460">
        <v>1</v>
      </c>
      <c r="AB1460" t="s">
        <v>1008</v>
      </c>
    </row>
    <row r="1461" spans="1:28" hidden="1" x14ac:dyDescent="0.2">
      <c r="A1461" s="3">
        <v>45210</v>
      </c>
      <c r="D1461" s="5">
        <v>0.80186342592592597</v>
      </c>
      <c r="E1461">
        <v>-76.726733330000002</v>
      </c>
      <c r="F1461">
        <v>3.5001466670000001</v>
      </c>
      <c r="H1461" s="7">
        <v>6.6</v>
      </c>
      <c r="I1461">
        <v>2023</v>
      </c>
      <c r="J1461">
        <v>1.75</v>
      </c>
      <c r="K1461" s="7" t="s">
        <v>918</v>
      </c>
      <c r="M1461" t="s">
        <v>247</v>
      </c>
      <c r="O1461" t="s">
        <v>32</v>
      </c>
      <c r="P1461" t="s">
        <v>340</v>
      </c>
      <c r="R1461" t="s">
        <v>922</v>
      </c>
      <c r="S1461" t="s">
        <v>946</v>
      </c>
      <c r="T1461" t="s">
        <v>42</v>
      </c>
      <c r="U1461" t="s">
        <v>252</v>
      </c>
      <c r="V1461">
        <v>1</v>
      </c>
      <c r="AB1461" t="s">
        <v>1008</v>
      </c>
    </row>
    <row r="1462" spans="1:28" hidden="1" x14ac:dyDescent="0.2">
      <c r="A1462" s="3">
        <v>45210</v>
      </c>
      <c r="D1462" s="5">
        <v>0.86128472222222219</v>
      </c>
      <c r="E1462">
        <v>-76.726074999999994</v>
      </c>
      <c r="F1462">
        <v>3.4994116669999999</v>
      </c>
      <c r="H1462" s="7">
        <v>1.5</v>
      </c>
      <c r="I1462">
        <v>2023</v>
      </c>
      <c r="J1462">
        <v>2</v>
      </c>
      <c r="K1462" s="7" t="s">
        <v>918</v>
      </c>
      <c r="M1462" t="s">
        <v>247</v>
      </c>
      <c r="O1462" t="s">
        <v>38</v>
      </c>
      <c r="P1462" t="s">
        <v>340</v>
      </c>
      <c r="R1462" t="s">
        <v>922</v>
      </c>
      <c r="S1462" t="s">
        <v>1004</v>
      </c>
      <c r="T1462" t="s">
        <v>91</v>
      </c>
      <c r="U1462" t="s">
        <v>296</v>
      </c>
      <c r="V1462">
        <v>1</v>
      </c>
      <c r="AB1462" t="s">
        <v>66</v>
      </c>
    </row>
    <row r="1463" spans="1:28" hidden="1" x14ac:dyDescent="0.2">
      <c r="A1463" s="3">
        <v>45210</v>
      </c>
      <c r="D1463" s="5">
        <v>0.85944444444444446</v>
      </c>
      <c r="E1463">
        <v>-76.726076669999998</v>
      </c>
      <c r="F1463">
        <v>3.4994366669999999</v>
      </c>
      <c r="H1463" s="7">
        <v>1.5</v>
      </c>
      <c r="I1463">
        <v>2023</v>
      </c>
      <c r="J1463">
        <v>2</v>
      </c>
      <c r="K1463" s="7" t="s">
        <v>918</v>
      </c>
      <c r="M1463" t="s">
        <v>247</v>
      </c>
      <c r="O1463" t="s">
        <v>38</v>
      </c>
      <c r="P1463" t="s">
        <v>340</v>
      </c>
      <c r="R1463" t="s">
        <v>922</v>
      </c>
      <c r="S1463" t="s">
        <v>1004</v>
      </c>
      <c r="T1463" t="s">
        <v>91</v>
      </c>
      <c r="U1463" t="s">
        <v>88</v>
      </c>
      <c r="V1463">
        <v>1</v>
      </c>
      <c r="AB1463" t="s">
        <v>1008</v>
      </c>
    </row>
    <row r="1464" spans="1:28" hidden="1" x14ac:dyDescent="0.2">
      <c r="A1464" s="3">
        <v>45210</v>
      </c>
      <c r="D1464" s="5">
        <v>0.84783564814814816</v>
      </c>
      <c r="E1464">
        <v>-76.726418330000001</v>
      </c>
      <c r="F1464">
        <v>3.4998399999999998</v>
      </c>
      <c r="G1464">
        <v>1786</v>
      </c>
      <c r="H1464" s="7">
        <v>6.6</v>
      </c>
      <c r="I1464">
        <v>2023</v>
      </c>
      <c r="J1464">
        <v>1.75</v>
      </c>
      <c r="K1464" s="7" t="s">
        <v>918</v>
      </c>
      <c r="M1464" t="s">
        <v>247</v>
      </c>
      <c r="O1464" t="s">
        <v>32</v>
      </c>
      <c r="P1464" t="s">
        <v>340</v>
      </c>
      <c r="R1464" t="s">
        <v>922</v>
      </c>
      <c r="S1464" t="s">
        <v>1004</v>
      </c>
      <c r="T1464" t="s">
        <v>54</v>
      </c>
      <c r="U1464" t="s">
        <v>238</v>
      </c>
      <c r="V1464">
        <v>1</v>
      </c>
      <c r="AB1464" t="s">
        <v>1008</v>
      </c>
    </row>
    <row r="1465" spans="1:28" hidden="1" x14ac:dyDescent="0.2">
      <c r="A1465" s="3">
        <v>45210</v>
      </c>
      <c r="D1465" s="5">
        <v>0.81026620370370372</v>
      </c>
      <c r="E1465">
        <v>-76.726796669999999</v>
      </c>
      <c r="F1465">
        <v>3.5001600000000002</v>
      </c>
      <c r="G1465">
        <v>1754</v>
      </c>
      <c r="H1465" s="7">
        <v>6.6</v>
      </c>
      <c r="I1465">
        <v>2023</v>
      </c>
      <c r="J1465">
        <v>1.75</v>
      </c>
      <c r="K1465" s="7" t="s">
        <v>918</v>
      </c>
      <c r="M1465" t="s">
        <v>247</v>
      </c>
      <c r="O1465" t="s">
        <v>32</v>
      </c>
      <c r="P1465" t="s">
        <v>340</v>
      </c>
      <c r="R1465" t="s">
        <v>922</v>
      </c>
      <c r="S1465" t="s">
        <v>1004</v>
      </c>
      <c r="T1465" t="s">
        <v>54</v>
      </c>
      <c r="U1465" t="s">
        <v>238</v>
      </c>
      <c r="V1465">
        <v>1</v>
      </c>
      <c r="AB1465" t="s">
        <v>1008</v>
      </c>
    </row>
    <row r="1466" spans="1:28" hidden="1" x14ac:dyDescent="0.2">
      <c r="A1466" s="3">
        <v>45210</v>
      </c>
      <c r="D1466" s="5">
        <v>0.82026620370370373</v>
      </c>
      <c r="E1466">
        <v>-76.726786669999996</v>
      </c>
      <c r="F1466">
        <v>3.5001116670000001</v>
      </c>
      <c r="G1466">
        <v>1796</v>
      </c>
      <c r="H1466" s="7">
        <v>6.6</v>
      </c>
      <c r="I1466">
        <v>2023</v>
      </c>
      <c r="J1466">
        <v>1.75</v>
      </c>
      <c r="K1466" s="7" t="s">
        <v>918</v>
      </c>
      <c r="M1466" t="s">
        <v>247</v>
      </c>
      <c r="O1466" t="s">
        <v>32</v>
      </c>
      <c r="P1466" t="s">
        <v>340</v>
      </c>
      <c r="R1466" t="s">
        <v>922</v>
      </c>
      <c r="S1466" t="s">
        <v>946</v>
      </c>
      <c r="T1466" t="s">
        <v>91</v>
      </c>
      <c r="U1466" t="s">
        <v>68</v>
      </c>
      <c r="V1466">
        <v>1</v>
      </c>
      <c r="AB1466" t="s">
        <v>1008</v>
      </c>
    </row>
    <row r="1467" spans="1:28" hidden="1" x14ac:dyDescent="0.2">
      <c r="A1467" s="3">
        <v>45210</v>
      </c>
      <c r="D1467" s="5">
        <v>0.80917824074074074</v>
      </c>
      <c r="E1467">
        <v>-76.726743330000005</v>
      </c>
      <c r="F1467">
        <v>3.5001633330000002</v>
      </c>
      <c r="G1467">
        <v>1754</v>
      </c>
      <c r="H1467" s="7">
        <v>6.6</v>
      </c>
      <c r="I1467">
        <v>2023</v>
      </c>
      <c r="J1467">
        <v>1.75</v>
      </c>
      <c r="K1467" s="7" t="s">
        <v>918</v>
      </c>
      <c r="M1467" t="s">
        <v>247</v>
      </c>
      <c r="O1467" t="s">
        <v>32</v>
      </c>
      <c r="P1467" t="s">
        <v>340</v>
      </c>
      <c r="R1467" t="s">
        <v>922</v>
      </c>
      <c r="S1467" t="s">
        <v>1004</v>
      </c>
      <c r="T1467" t="s">
        <v>54</v>
      </c>
      <c r="U1467" t="s">
        <v>252</v>
      </c>
      <c r="V1467">
        <v>2</v>
      </c>
      <c r="AB1467" t="s">
        <v>1008</v>
      </c>
    </row>
    <row r="1468" spans="1:28" hidden="1" x14ac:dyDescent="0.2">
      <c r="A1468" s="3">
        <v>45210</v>
      </c>
      <c r="D1468" s="5">
        <v>0.85504629629629625</v>
      </c>
      <c r="E1468">
        <v>-76.726288330000003</v>
      </c>
      <c r="F1468">
        <v>3.4996933330000002</v>
      </c>
      <c r="G1468">
        <v>1793</v>
      </c>
      <c r="H1468" s="7">
        <v>1.5</v>
      </c>
      <c r="I1468">
        <v>2023</v>
      </c>
      <c r="J1468">
        <v>2</v>
      </c>
      <c r="K1468" s="7" t="s">
        <v>918</v>
      </c>
      <c r="M1468" t="s">
        <v>247</v>
      </c>
      <c r="O1468" t="s">
        <v>38</v>
      </c>
      <c r="P1468" t="s">
        <v>340</v>
      </c>
      <c r="R1468" t="s">
        <v>922</v>
      </c>
      <c r="S1468" t="s">
        <v>1004</v>
      </c>
      <c r="T1468" t="s">
        <v>54</v>
      </c>
      <c r="U1468" t="s">
        <v>238</v>
      </c>
      <c r="V1468">
        <v>1</v>
      </c>
      <c r="AB1468" t="s">
        <v>1008</v>
      </c>
    </row>
    <row r="1469" spans="1:28" hidden="1" x14ac:dyDescent="0.2">
      <c r="A1469" s="3">
        <v>45246</v>
      </c>
      <c r="D1469" s="5">
        <v>0.88831018518518523</v>
      </c>
      <c r="E1469">
        <v>-76.647900000000007</v>
      </c>
      <c r="F1469">
        <v>3.3519999999999999</v>
      </c>
      <c r="G1469">
        <v>2339</v>
      </c>
      <c r="H1469" s="7" t="s">
        <v>918</v>
      </c>
      <c r="I1469">
        <v>2023</v>
      </c>
      <c r="J1469">
        <v>16.5</v>
      </c>
      <c r="K1469" s="7">
        <v>11</v>
      </c>
      <c r="M1469" t="s">
        <v>624</v>
      </c>
      <c r="O1469" t="s">
        <v>32</v>
      </c>
      <c r="P1469" t="s">
        <v>690</v>
      </c>
      <c r="R1469" t="s">
        <v>919</v>
      </c>
      <c r="S1469" t="s">
        <v>695</v>
      </c>
      <c r="T1469" t="s">
        <v>54</v>
      </c>
      <c r="U1469" t="s">
        <v>316</v>
      </c>
      <c r="V1469">
        <v>1</v>
      </c>
      <c r="AB1469" t="s">
        <v>1008</v>
      </c>
    </row>
    <row r="1470" spans="1:28" hidden="1" x14ac:dyDescent="0.2">
      <c r="A1470" s="3">
        <v>45254</v>
      </c>
      <c r="D1470" s="5">
        <v>0</v>
      </c>
      <c r="E1470">
        <v>-76.888300000000001</v>
      </c>
      <c r="F1470">
        <v>3.5508000000000002</v>
      </c>
      <c r="G1470">
        <v>642</v>
      </c>
      <c r="H1470" s="7" t="s">
        <v>918</v>
      </c>
      <c r="I1470">
        <v>2023</v>
      </c>
      <c r="J1470">
        <v>30</v>
      </c>
      <c r="K1470" s="7">
        <v>22.5</v>
      </c>
      <c r="M1470" t="s">
        <v>30</v>
      </c>
      <c r="O1470" t="s">
        <v>40</v>
      </c>
      <c r="P1470" t="s">
        <v>119</v>
      </c>
      <c r="R1470" t="s">
        <v>921</v>
      </c>
      <c r="S1470" t="s">
        <v>1006</v>
      </c>
      <c r="T1470" t="s">
        <v>42</v>
      </c>
      <c r="U1470" t="s">
        <v>112</v>
      </c>
      <c r="V1470">
        <v>4</v>
      </c>
      <c r="AB1470" t="s">
        <v>1008</v>
      </c>
    </row>
    <row r="1471" spans="1:28" hidden="1" x14ac:dyDescent="0.2">
      <c r="A1471" s="3">
        <v>45253</v>
      </c>
      <c r="D1471" s="5">
        <v>0</v>
      </c>
      <c r="E1471">
        <v>-76.880708330000004</v>
      </c>
      <c r="F1471">
        <v>3.5954266669999999</v>
      </c>
      <c r="H1471" s="7" t="s">
        <v>918</v>
      </c>
      <c r="I1471">
        <v>2023</v>
      </c>
      <c r="J1471">
        <v>30</v>
      </c>
      <c r="K1471" s="7">
        <v>12.5</v>
      </c>
      <c r="M1471" t="s">
        <v>30</v>
      </c>
      <c r="O1471" t="s">
        <v>58</v>
      </c>
      <c r="P1471" t="s">
        <v>52</v>
      </c>
      <c r="U1471" t="s">
        <v>36</v>
      </c>
      <c r="V1471">
        <v>0</v>
      </c>
    </row>
    <row r="1472" spans="1:28" hidden="1" x14ac:dyDescent="0.2">
      <c r="A1472" s="3">
        <v>45244</v>
      </c>
      <c r="D1472" s="5">
        <v>0</v>
      </c>
      <c r="E1472">
        <v>-76.647099999999995</v>
      </c>
      <c r="F1472">
        <v>3.3496999999999999</v>
      </c>
      <c r="H1472" s="7">
        <v>1</v>
      </c>
      <c r="I1472">
        <v>2023</v>
      </c>
      <c r="J1472">
        <v>12.5</v>
      </c>
      <c r="K1472" s="7">
        <v>7.5</v>
      </c>
      <c r="M1472" t="s">
        <v>624</v>
      </c>
      <c r="O1472" t="s">
        <v>38</v>
      </c>
      <c r="P1472" t="s">
        <v>643</v>
      </c>
      <c r="R1472" t="s">
        <v>922</v>
      </c>
      <c r="S1472" t="s">
        <v>946</v>
      </c>
      <c r="T1472" t="s">
        <v>54</v>
      </c>
      <c r="U1472" t="s">
        <v>316</v>
      </c>
      <c r="V1472">
        <v>1</v>
      </c>
      <c r="AB1472" t="s">
        <v>1008</v>
      </c>
    </row>
    <row r="1473" spans="1:28" hidden="1" x14ac:dyDescent="0.2">
      <c r="A1473" s="3">
        <v>45251</v>
      </c>
      <c r="D1473" s="5">
        <v>0</v>
      </c>
      <c r="E1473">
        <v>-76.882099999999994</v>
      </c>
      <c r="F1473">
        <v>3.5523423670000001</v>
      </c>
      <c r="G1473">
        <v>567</v>
      </c>
      <c r="H1473" s="7" t="s">
        <v>918</v>
      </c>
      <c r="I1473">
        <v>2023</v>
      </c>
      <c r="J1473">
        <v>36</v>
      </c>
      <c r="K1473" s="7">
        <v>2</v>
      </c>
      <c r="M1473" t="s">
        <v>30</v>
      </c>
      <c r="O1473" t="s">
        <v>38</v>
      </c>
      <c r="P1473" t="s">
        <v>130</v>
      </c>
      <c r="R1473" t="s">
        <v>919</v>
      </c>
      <c r="S1473" t="s">
        <v>1005</v>
      </c>
      <c r="T1473" t="s">
        <v>42</v>
      </c>
      <c r="U1473" t="s">
        <v>112</v>
      </c>
      <c r="V1473">
        <v>1</v>
      </c>
      <c r="Z1473" t="s">
        <v>1012</v>
      </c>
      <c r="AB1473" t="s">
        <v>1008</v>
      </c>
    </row>
    <row r="1474" spans="1:28" hidden="1" x14ac:dyDescent="0.2">
      <c r="A1474" s="3">
        <v>45251</v>
      </c>
      <c r="D1474" s="5">
        <v>0</v>
      </c>
      <c r="E1474">
        <v>-76.882499999999993</v>
      </c>
      <c r="F1474">
        <v>3.5522</v>
      </c>
      <c r="G1474">
        <v>567</v>
      </c>
      <c r="H1474" s="7" t="s">
        <v>918</v>
      </c>
      <c r="I1474">
        <v>2023</v>
      </c>
      <c r="J1474">
        <v>36</v>
      </c>
      <c r="K1474" s="7">
        <v>2</v>
      </c>
      <c r="M1474" t="s">
        <v>30</v>
      </c>
      <c r="O1474" t="s">
        <v>38</v>
      </c>
      <c r="P1474" t="s">
        <v>130</v>
      </c>
      <c r="R1474" t="s">
        <v>919</v>
      </c>
      <c r="S1474" t="s">
        <v>995</v>
      </c>
      <c r="T1474" t="s">
        <v>42</v>
      </c>
      <c r="U1474" t="s">
        <v>943</v>
      </c>
      <c r="V1474">
        <v>1</v>
      </c>
      <c r="Z1474" t="s">
        <v>1012</v>
      </c>
      <c r="AB1474" t="s">
        <v>66</v>
      </c>
    </row>
    <row r="1475" spans="1:28" hidden="1" x14ac:dyDescent="0.2">
      <c r="A1475" s="3">
        <v>45251</v>
      </c>
      <c r="D1475" s="5">
        <v>0</v>
      </c>
      <c r="E1475">
        <v>-76.882324190000006</v>
      </c>
      <c r="F1475">
        <v>3.5523423670000001</v>
      </c>
      <c r="G1475">
        <v>567</v>
      </c>
      <c r="H1475" s="7" t="s">
        <v>918</v>
      </c>
      <c r="I1475">
        <v>2023</v>
      </c>
      <c r="J1475">
        <v>36</v>
      </c>
      <c r="K1475" s="7">
        <v>2</v>
      </c>
      <c r="M1475" t="s">
        <v>30</v>
      </c>
      <c r="O1475" t="s">
        <v>38</v>
      </c>
      <c r="P1475" t="s">
        <v>130</v>
      </c>
      <c r="R1475" t="s">
        <v>919</v>
      </c>
      <c r="S1475" t="s">
        <v>995</v>
      </c>
      <c r="T1475" t="s">
        <v>42</v>
      </c>
      <c r="U1475" t="s">
        <v>943</v>
      </c>
      <c r="V1475">
        <v>2</v>
      </c>
      <c r="AB1475" t="s">
        <v>66</v>
      </c>
    </row>
    <row r="1476" spans="1:28" hidden="1" x14ac:dyDescent="0.2">
      <c r="A1476" s="3">
        <v>45254</v>
      </c>
      <c r="D1476" s="5">
        <v>0</v>
      </c>
      <c r="E1476">
        <v>-76.889799999999994</v>
      </c>
      <c r="F1476">
        <v>3.5508898100000001</v>
      </c>
      <c r="G1476">
        <v>649</v>
      </c>
      <c r="H1476" s="7" t="s">
        <v>918</v>
      </c>
      <c r="I1476">
        <v>2023</v>
      </c>
      <c r="J1476">
        <v>26</v>
      </c>
      <c r="K1476" s="7">
        <v>10</v>
      </c>
      <c r="M1476" t="s">
        <v>30</v>
      </c>
      <c r="O1476" t="s">
        <v>38</v>
      </c>
      <c r="P1476" t="s">
        <v>119</v>
      </c>
      <c r="R1476" t="s">
        <v>921</v>
      </c>
      <c r="S1476" t="s">
        <v>1006</v>
      </c>
      <c r="T1476" t="s">
        <v>42</v>
      </c>
      <c r="U1476" t="s">
        <v>116</v>
      </c>
      <c r="V1476">
        <v>2</v>
      </c>
      <c r="AB1476" t="s">
        <v>1008</v>
      </c>
    </row>
    <row r="1477" spans="1:28" hidden="1" x14ac:dyDescent="0.2">
      <c r="A1477" s="3">
        <v>45254</v>
      </c>
      <c r="D1477" s="5">
        <v>0</v>
      </c>
      <c r="E1477">
        <v>-76.889700000000005</v>
      </c>
      <c r="F1477">
        <v>3.5508898100000001</v>
      </c>
      <c r="G1477">
        <v>649</v>
      </c>
      <c r="H1477" s="7" t="s">
        <v>918</v>
      </c>
      <c r="I1477">
        <v>2023</v>
      </c>
      <c r="J1477">
        <v>26</v>
      </c>
      <c r="K1477" s="7">
        <v>10</v>
      </c>
      <c r="M1477" t="s">
        <v>30</v>
      </c>
      <c r="O1477" t="s">
        <v>38</v>
      </c>
      <c r="P1477" t="s">
        <v>119</v>
      </c>
      <c r="R1477" t="s">
        <v>921</v>
      </c>
      <c r="S1477" t="s">
        <v>1002</v>
      </c>
      <c r="T1477" t="s">
        <v>42</v>
      </c>
      <c r="U1477" t="s">
        <v>112</v>
      </c>
      <c r="V1477">
        <v>6</v>
      </c>
      <c r="AB1477" t="s">
        <v>1008</v>
      </c>
    </row>
    <row r="1478" spans="1:28" hidden="1" x14ac:dyDescent="0.2">
      <c r="A1478" s="3">
        <v>45254</v>
      </c>
      <c r="D1478" s="5">
        <v>0</v>
      </c>
      <c r="E1478">
        <v>-76.889899999999997</v>
      </c>
      <c r="F1478">
        <v>3.5508898100000001</v>
      </c>
      <c r="G1478">
        <v>649</v>
      </c>
      <c r="H1478" s="7" t="s">
        <v>918</v>
      </c>
      <c r="I1478">
        <v>2023</v>
      </c>
      <c r="J1478">
        <v>26</v>
      </c>
      <c r="K1478" s="7">
        <v>10</v>
      </c>
      <c r="M1478" t="s">
        <v>30</v>
      </c>
      <c r="O1478" t="s">
        <v>38</v>
      </c>
      <c r="P1478" t="s">
        <v>119</v>
      </c>
      <c r="R1478" t="s">
        <v>921</v>
      </c>
      <c r="S1478" t="s">
        <v>1006</v>
      </c>
      <c r="T1478" t="s">
        <v>42</v>
      </c>
      <c r="U1478" t="s">
        <v>112</v>
      </c>
      <c r="V1478">
        <v>1</v>
      </c>
      <c r="AB1478" t="s">
        <v>1008</v>
      </c>
    </row>
    <row r="1479" spans="1:28" hidden="1" x14ac:dyDescent="0.2">
      <c r="A1479" s="3">
        <v>45254</v>
      </c>
      <c r="D1479" s="5">
        <v>0</v>
      </c>
      <c r="E1479">
        <v>-76.889399999999995</v>
      </c>
      <c r="F1479">
        <v>3.5508898100000001</v>
      </c>
      <c r="G1479">
        <v>649</v>
      </c>
      <c r="H1479" s="7" t="s">
        <v>918</v>
      </c>
      <c r="I1479">
        <v>2023</v>
      </c>
      <c r="J1479">
        <v>26</v>
      </c>
      <c r="K1479" s="7">
        <v>10</v>
      </c>
      <c r="M1479" t="s">
        <v>30</v>
      </c>
      <c r="O1479" t="s">
        <v>38</v>
      </c>
      <c r="P1479" t="s">
        <v>119</v>
      </c>
      <c r="R1479" t="s">
        <v>921</v>
      </c>
      <c r="S1479" t="s">
        <v>1002</v>
      </c>
      <c r="T1479" t="s">
        <v>42</v>
      </c>
      <c r="U1479" t="s">
        <v>112</v>
      </c>
      <c r="V1479">
        <v>1</v>
      </c>
      <c r="AB1479" t="s">
        <v>1008</v>
      </c>
    </row>
    <row r="1480" spans="1:28" hidden="1" x14ac:dyDescent="0.2">
      <c r="A1480" s="3">
        <v>45254</v>
      </c>
      <c r="D1480" s="5">
        <v>0</v>
      </c>
      <c r="E1480">
        <v>-76.889600000000002</v>
      </c>
      <c r="F1480">
        <v>3.5508898100000001</v>
      </c>
      <c r="G1480">
        <v>649</v>
      </c>
      <c r="H1480" s="7" t="s">
        <v>918</v>
      </c>
      <c r="I1480">
        <v>2023</v>
      </c>
      <c r="J1480">
        <v>26</v>
      </c>
      <c r="K1480" s="7">
        <v>10</v>
      </c>
      <c r="M1480" t="s">
        <v>30</v>
      </c>
      <c r="O1480" t="s">
        <v>38</v>
      </c>
      <c r="P1480" t="s">
        <v>119</v>
      </c>
      <c r="R1480" t="s">
        <v>921</v>
      </c>
      <c r="S1480" t="s">
        <v>1005</v>
      </c>
      <c r="T1480" t="s">
        <v>42</v>
      </c>
      <c r="U1480" t="s">
        <v>112</v>
      </c>
      <c r="V1480">
        <v>3</v>
      </c>
      <c r="AB1480" t="s">
        <v>1008</v>
      </c>
    </row>
    <row r="1481" spans="1:28" hidden="1" x14ac:dyDescent="0.2">
      <c r="A1481" s="3">
        <v>45254</v>
      </c>
      <c r="D1481" s="5">
        <v>0</v>
      </c>
      <c r="E1481">
        <v>-76.889700000000005</v>
      </c>
      <c r="F1481">
        <v>3.5508898100000001</v>
      </c>
      <c r="G1481">
        <v>649</v>
      </c>
      <c r="H1481" s="7" t="s">
        <v>918</v>
      </c>
      <c r="I1481">
        <v>2023</v>
      </c>
      <c r="J1481">
        <v>26</v>
      </c>
      <c r="K1481" s="7">
        <v>10</v>
      </c>
      <c r="M1481" t="s">
        <v>30</v>
      </c>
      <c r="O1481" t="s">
        <v>38</v>
      </c>
      <c r="P1481" t="s">
        <v>119</v>
      </c>
      <c r="R1481" t="s">
        <v>921</v>
      </c>
      <c r="S1481" t="s">
        <v>1002</v>
      </c>
      <c r="T1481" t="s">
        <v>42</v>
      </c>
      <c r="U1481" t="s">
        <v>112</v>
      </c>
      <c r="V1481">
        <v>4</v>
      </c>
      <c r="AB1481" t="s">
        <v>1008</v>
      </c>
    </row>
    <row r="1482" spans="1:28" hidden="1" x14ac:dyDescent="0.2">
      <c r="A1482" s="3">
        <v>45245</v>
      </c>
      <c r="D1482" s="5">
        <v>0</v>
      </c>
      <c r="E1482">
        <v>-76.642499999999998</v>
      </c>
      <c r="F1482">
        <v>3.3492000000000002</v>
      </c>
      <c r="H1482" s="7" t="s">
        <v>918</v>
      </c>
      <c r="I1482">
        <v>2023</v>
      </c>
      <c r="J1482">
        <v>19</v>
      </c>
      <c r="K1482" s="7">
        <v>23.5</v>
      </c>
      <c r="M1482" t="s">
        <v>624</v>
      </c>
      <c r="O1482" t="s">
        <v>40</v>
      </c>
      <c r="P1482" t="s">
        <v>625</v>
      </c>
      <c r="R1482" t="s">
        <v>919</v>
      </c>
      <c r="S1482" t="s">
        <v>946</v>
      </c>
      <c r="U1482" t="s">
        <v>238</v>
      </c>
      <c r="V1482">
        <v>4</v>
      </c>
      <c r="Z1482" t="s">
        <v>1014</v>
      </c>
      <c r="AB1482" t="s">
        <v>66</v>
      </c>
    </row>
    <row r="1483" spans="1:28" hidden="1" x14ac:dyDescent="0.2">
      <c r="A1483" s="3">
        <v>45245</v>
      </c>
      <c r="D1483" s="5">
        <v>0</v>
      </c>
      <c r="E1483">
        <v>-76.642595760000006</v>
      </c>
      <c r="F1483">
        <v>3.3490348440000002</v>
      </c>
      <c r="H1483" s="7" t="s">
        <v>918</v>
      </c>
      <c r="I1483">
        <v>2023</v>
      </c>
      <c r="J1483">
        <v>19</v>
      </c>
      <c r="K1483" s="7">
        <v>23.5</v>
      </c>
      <c r="M1483" t="s">
        <v>624</v>
      </c>
      <c r="O1483" t="s">
        <v>40</v>
      </c>
      <c r="P1483" t="s">
        <v>625</v>
      </c>
      <c r="R1483" t="s">
        <v>919</v>
      </c>
      <c r="S1483" t="s">
        <v>946</v>
      </c>
      <c r="T1483" t="s">
        <v>54</v>
      </c>
      <c r="U1483" t="s">
        <v>238</v>
      </c>
      <c r="V1483">
        <v>1</v>
      </c>
      <c r="AB1483" t="s">
        <v>1008</v>
      </c>
    </row>
    <row r="1484" spans="1:28" hidden="1" x14ac:dyDescent="0.2">
      <c r="A1484" s="3">
        <v>45252</v>
      </c>
      <c r="D1484" s="5">
        <v>0</v>
      </c>
      <c r="E1484">
        <v>-76.880200000000002</v>
      </c>
      <c r="F1484">
        <v>3.5768</v>
      </c>
      <c r="G1484">
        <v>712</v>
      </c>
      <c r="H1484" s="7" t="s">
        <v>918</v>
      </c>
      <c r="I1484">
        <v>2023</v>
      </c>
      <c r="J1484">
        <v>25</v>
      </c>
      <c r="K1484" s="7">
        <v>3.5</v>
      </c>
      <c r="M1484" t="s">
        <v>30</v>
      </c>
      <c r="O1484" t="s">
        <v>32</v>
      </c>
      <c r="P1484" t="s">
        <v>98</v>
      </c>
      <c r="R1484" t="s">
        <v>921</v>
      </c>
      <c r="S1484" t="s">
        <v>995</v>
      </c>
      <c r="T1484" t="s">
        <v>42</v>
      </c>
      <c r="U1484" t="s">
        <v>112</v>
      </c>
      <c r="V1484">
        <v>1</v>
      </c>
      <c r="AB1484" t="s">
        <v>1008</v>
      </c>
    </row>
    <row r="1485" spans="1:28" hidden="1" x14ac:dyDescent="0.2">
      <c r="A1485" s="3">
        <v>45252</v>
      </c>
      <c r="D1485" s="5">
        <v>0</v>
      </c>
      <c r="E1485">
        <v>-76.880417850000001</v>
      </c>
      <c r="F1485">
        <v>3.576938942</v>
      </c>
      <c r="G1485">
        <v>702</v>
      </c>
      <c r="H1485" s="7" t="s">
        <v>918</v>
      </c>
      <c r="I1485">
        <v>2023</v>
      </c>
      <c r="J1485">
        <v>21</v>
      </c>
      <c r="K1485" s="7">
        <v>5</v>
      </c>
      <c r="M1485" t="s">
        <v>30</v>
      </c>
      <c r="O1485" t="s">
        <v>32</v>
      </c>
      <c r="P1485" t="s">
        <v>98</v>
      </c>
      <c r="R1485" t="s">
        <v>921</v>
      </c>
      <c r="S1485" t="s">
        <v>995</v>
      </c>
      <c r="T1485" t="s">
        <v>54</v>
      </c>
      <c r="U1485" t="s">
        <v>935</v>
      </c>
      <c r="V1485">
        <v>1</v>
      </c>
      <c r="AB1485" t="s">
        <v>66</v>
      </c>
    </row>
    <row r="1486" spans="1:28" hidden="1" x14ac:dyDescent="0.2">
      <c r="A1486" s="3">
        <v>45252</v>
      </c>
      <c r="D1486" s="5">
        <v>0</v>
      </c>
      <c r="E1486">
        <v>-76.880713290000003</v>
      </c>
      <c r="F1486">
        <v>3.5779644660000001</v>
      </c>
      <c r="H1486" s="7">
        <v>4</v>
      </c>
      <c r="I1486">
        <v>2023</v>
      </c>
      <c r="J1486">
        <v>17.5</v>
      </c>
      <c r="K1486" s="7">
        <v>5</v>
      </c>
      <c r="M1486" t="s">
        <v>30</v>
      </c>
      <c r="O1486" t="s">
        <v>38</v>
      </c>
      <c r="P1486" t="s">
        <v>98</v>
      </c>
      <c r="U1486" t="s">
        <v>36</v>
      </c>
      <c r="V1486">
        <v>0</v>
      </c>
    </row>
    <row r="1487" spans="1:28" hidden="1" x14ac:dyDescent="0.2">
      <c r="A1487" s="3">
        <v>45252</v>
      </c>
      <c r="D1487" s="5">
        <v>0.44060185185185186</v>
      </c>
      <c r="E1487">
        <v>-76.880606670000006</v>
      </c>
      <c r="F1487">
        <v>3.5793733329999999</v>
      </c>
      <c r="G1487">
        <v>758</v>
      </c>
      <c r="H1487" s="7" t="s">
        <v>918</v>
      </c>
      <c r="I1487">
        <v>2023</v>
      </c>
      <c r="J1487">
        <v>23</v>
      </c>
      <c r="K1487" s="7">
        <v>27.5</v>
      </c>
      <c r="M1487" t="s">
        <v>30</v>
      </c>
      <c r="O1487" t="s">
        <v>47</v>
      </c>
      <c r="P1487" t="s">
        <v>98</v>
      </c>
      <c r="R1487" t="s">
        <v>921</v>
      </c>
      <c r="S1487" t="s">
        <v>995</v>
      </c>
      <c r="T1487" t="s">
        <v>42</v>
      </c>
      <c r="U1487" t="s">
        <v>43</v>
      </c>
      <c r="V1487">
        <v>1</v>
      </c>
      <c r="AB1487" t="s">
        <v>66</v>
      </c>
    </row>
    <row r="1488" spans="1:28" hidden="1" x14ac:dyDescent="0.2">
      <c r="A1488" s="3">
        <v>45252</v>
      </c>
      <c r="D1488" s="5">
        <v>0.4428125</v>
      </c>
      <c r="E1488">
        <v>-76.88063167</v>
      </c>
      <c r="F1488">
        <v>3.579615</v>
      </c>
      <c r="G1488">
        <v>758</v>
      </c>
      <c r="H1488" s="7" t="s">
        <v>918</v>
      </c>
      <c r="I1488">
        <v>2023</v>
      </c>
      <c r="J1488">
        <v>23</v>
      </c>
      <c r="K1488" s="7">
        <v>27.5</v>
      </c>
      <c r="M1488" t="s">
        <v>30</v>
      </c>
      <c r="O1488" t="s">
        <v>47</v>
      </c>
      <c r="P1488" t="s">
        <v>98</v>
      </c>
      <c r="R1488" t="s">
        <v>921</v>
      </c>
      <c r="S1488" t="s">
        <v>995</v>
      </c>
      <c r="T1488" t="s">
        <v>42</v>
      </c>
      <c r="U1488" t="s">
        <v>43</v>
      </c>
      <c r="V1488">
        <v>1</v>
      </c>
      <c r="AB1488" t="s">
        <v>1008</v>
      </c>
    </row>
    <row r="1489" spans="1:28" hidden="1" x14ac:dyDescent="0.2">
      <c r="A1489" s="3">
        <v>45252</v>
      </c>
      <c r="D1489" s="5">
        <v>0.44167824074074075</v>
      </c>
      <c r="E1489">
        <v>-76.880624999999995</v>
      </c>
      <c r="F1489">
        <v>3.5794433329999999</v>
      </c>
      <c r="G1489">
        <v>758</v>
      </c>
      <c r="H1489" s="7" t="s">
        <v>918</v>
      </c>
      <c r="I1489">
        <v>2023</v>
      </c>
      <c r="J1489">
        <v>23</v>
      </c>
      <c r="K1489" s="7">
        <v>27.5</v>
      </c>
      <c r="M1489" t="s">
        <v>30</v>
      </c>
      <c r="O1489" t="s">
        <v>47</v>
      </c>
      <c r="P1489" t="s">
        <v>98</v>
      </c>
      <c r="R1489" t="s">
        <v>921</v>
      </c>
      <c r="S1489" t="s">
        <v>1004</v>
      </c>
      <c r="T1489" t="s">
        <v>42</v>
      </c>
      <c r="U1489" t="s">
        <v>43</v>
      </c>
      <c r="V1489">
        <v>1</v>
      </c>
      <c r="AB1489" t="s">
        <v>1008</v>
      </c>
    </row>
    <row r="1490" spans="1:28" hidden="1" x14ac:dyDescent="0.2">
      <c r="A1490" s="3">
        <v>45252</v>
      </c>
      <c r="D1490" s="5">
        <v>0.43814814814814818</v>
      </c>
      <c r="E1490">
        <v>-76.880481669999995</v>
      </c>
      <c r="F1490">
        <v>3.5791116669999998</v>
      </c>
      <c r="G1490">
        <v>761</v>
      </c>
      <c r="H1490" s="7" t="s">
        <v>918</v>
      </c>
      <c r="I1490">
        <v>2023</v>
      </c>
      <c r="J1490">
        <v>23</v>
      </c>
      <c r="K1490" s="7">
        <v>27.5</v>
      </c>
      <c r="M1490" t="s">
        <v>30</v>
      </c>
      <c r="O1490" t="s">
        <v>47</v>
      </c>
      <c r="P1490" t="s">
        <v>98</v>
      </c>
      <c r="R1490" t="s">
        <v>921</v>
      </c>
      <c r="S1490" t="s">
        <v>1004</v>
      </c>
      <c r="T1490" t="s">
        <v>42</v>
      </c>
      <c r="U1490" t="s">
        <v>43</v>
      </c>
      <c r="V1490">
        <v>1</v>
      </c>
      <c r="AB1490" t="s">
        <v>66</v>
      </c>
    </row>
    <row r="1491" spans="1:28" hidden="1" x14ac:dyDescent="0.2">
      <c r="A1491" s="3">
        <v>45251</v>
      </c>
      <c r="D1491" s="5">
        <v>0</v>
      </c>
      <c r="E1491">
        <v>-76.878399999999999</v>
      </c>
      <c r="F1491">
        <v>3.5434000000000001</v>
      </c>
      <c r="G1491">
        <v>434</v>
      </c>
      <c r="H1491" s="7">
        <v>3</v>
      </c>
      <c r="I1491">
        <v>2023</v>
      </c>
      <c r="J1491">
        <v>16</v>
      </c>
      <c r="K1491" s="7">
        <v>6</v>
      </c>
      <c r="M1491" t="s">
        <v>30</v>
      </c>
      <c r="O1491" t="s">
        <v>32</v>
      </c>
      <c r="P1491" t="s">
        <v>111</v>
      </c>
      <c r="R1491" t="s">
        <v>922</v>
      </c>
      <c r="S1491" t="s">
        <v>1004</v>
      </c>
      <c r="T1491" t="s">
        <v>42</v>
      </c>
      <c r="U1491" t="s">
        <v>84</v>
      </c>
      <c r="V1491">
        <v>1</v>
      </c>
      <c r="AB1491" t="s">
        <v>66</v>
      </c>
    </row>
    <row r="1492" spans="1:28" hidden="1" x14ac:dyDescent="0.2">
      <c r="A1492" s="3">
        <v>45251</v>
      </c>
      <c r="D1492" s="5">
        <v>0</v>
      </c>
      <c r="E1492">
        <v>-76.878399999999999</v>
      </c>
      <c r="F1492">
        <v>3.5436000000000001</v>
      </c>
      <c r="G1492">
        <v>434</v>
      </c>
      <c r="H1492" s="7">
        <v>3</v>
      </c>
      <c r="I1492">
        <v>2023</v>
      </c>
      <c r="J1492">
        <v>16</v>
      </c>
      <c r="K1492" s="7">
        <v>6</v>
      </c>
      <c r="M1492" t="s">
        <v>30</v>
      </c>
      <c r="O1492" t="s">
        <v>32</v>
      </c>
      <c r="P1492" t="s">
        <v>111</v>
      </c>
      <c r="R1492" t="s">
        <v>922</v>
      </c>
      <c r="S1492" t="s">
        <v>1004</v>
      </c>
      <c r="T1492" t="s">
        <v>54</v>
      </c>
      <c r="U1492" t="s">
        <v>75</v>
      </c>
      <c r="V1492">
        <v>1</v>
      </c>
      <c r="AB1492" t="s">
        <v>1008</v>
      </c>
    </row>
    <row r="1493" spans="1:28" hidden="1" x14ac:dyDescent="0.2">
      <c r="A1493" s="3">
        <v>45251</v>
      </c>
      <c r="D1493" s="5">
        <v>0</v>
      </c>
      <c r="E1493">
        <v>-76.878399999999999</v>
      </c>
      <c r="F1493">
        <v>3.5434999999999999</v>
      </c>
      <c r="G1493">
        <v>434</v>
      </c>
      <c r="H1493" s="7">
        <v>3</v>
      </c>
      <c r="I1493">
        <v>2023</v>
      </c>
      <c r="J1493">
        <v>16</v>
      </c>
      <c r="K1493" s="7">
        <v>6</v>
      </c>
      <c r="M1493" t="s">
        <v>30</v>
      </c>
      <c r="O1493" t="s">
        <v>32</v>
      </c>
      <c r="P1493" t="s">
        <v>111</v>
      </c>
      <c r="R1493" t="s">
        <v>922</v>
      </c>
      <c r="S1493" t="s">
        <v>1004</v>
      </c>
      <c r="T1493" t="s">
        <v>42</v>
      </c>
      <c r="U1493" t="s">
        <v>112</v>
      </c>
      <c r="V1493">
        <v>1</v>
      </c>
      <c r="AB1493" t="s">
        <v>1008</v>
      </c>
    </row>
    <row r="1494" spans="1:28" hidden="1" x14ac:dyDescent="0.2">
      <c r="A1494" s="3">
        <v>45251</v>
      </c>
      <c r="D1494" s="5">
        <v>0</v>
      </c>
      <c r="E1494">
        <v>-76.878500000000003</v>
      </c>
      <c r="F1494">
        <v>3.5432000000000001</v>
      </c>
      <c r="G1494">
        <v>434</v>
      </c>
      <c r="H1494" s="7">
        <v>3</v>
      </c>
      <c r="I1494">
        <v>2023</v>
      </c>
      <c r="J1494">
        <v>16</v>
      </c>
      <c r="K1494" s="7">
        <v>6</v>
      </c>
      <c r="M1494" t="s">
        <v>30</v>
      </c>
      <c r="O1494" t="s">
        <v>32</v>
      </c>
      <c r="P1494" t="s">
        <v>111</v>
      </c>
      <c r="R1494" t="s">
        <v>922</v>
      </c>
      <c r="S1494" t="s">
        <v>1004</v>
      </c>
      <c r="T1494" t="s">
        <v>91</v>
      </c>
      <c r="U1494" t="s">
        <v>75</v>
      </c>
      <c r="V1494">
        <v>1</v>
      </c>
      <c r="AB1494" t="s">
        <v>1008</v>
      </c>
    </row>
    <row r="1495" spans="1:28" hidden="1" x14ac:dyDescent="0.2">
      <c r="A1495" s="3">
        <v>45251</v>
      </c>
      <c r="D1495" s="5">
        <v>0</v>
      </c>
      <c r="E1495">
        <v>-76.878299999999996</v>
      </c>
      <c r="F1495">
        <v>3.5438000000000001</v>
      </c>
      <c r="G1495">
        <v>434</v>
      </c>
      <c r="H1495" s="7">
        <v>4.5</v>
      </c>
      <c r="I1495">
        <v>2023</v>
      </c>
      <c r="J1495">
        <v>27.5</v>
      </c>
      <c r="K1495" s="7">
        <v>12.5</v>
      </c>
      <c r="M1495" t="s">
        <v>30</v>
      </c>
      <c r="O1495" t="s">
        <v>32</v>
      </c>
      <c r="P1495" t="s">
        <v>111</v>
      </c>
      <c r="R1495" t="s">
        <v>922</v>
      </c>
      <c r="S1495" t="s">
        <v>1004</v>
      </c>
      <c r="T1495" t="s">
        <v>91</v>
      </c>
      <c r="U1495" t="s">
        <v>75</v>
      </c>
      <c r="V1495">
        <v>1</v>
      </c>
      <c r="AB1495" t="s">
        <v>1008</v>
      </c>
    </row>
    <row r="1496" spans="1:28" hidden="1" x14ac:dyDescent="0.2">
      <c r="A1496" s="3">
        <v>45251</v>
      </c>
      <c r="D1496" s="5">
        <v>0</v>
      </c>
      <c r="E1496">
        <v>-76.87818</v>
      </c>
      <c r="F1496">
        <v>3.544</v>
      </c>
      <c r="G1496">
        <v>434</v>
      </c>
      <c r="H1496" s="7">
        <v>4.5</v>
      </c>
      <c r="I1496">
        <v>2023</v>
      </c>
      <c r="J1496">
        <v>27.5</v>
      </c>
      <c r="K1496" s="7">
        <v>12.5</v>
      </c>
      <c r="M1496" t="s">
        <v>30</v>
      </c>
      <c r="O1496" t="s">
        <v>32</v>
      </c>
      <c r="P1496" t="s">
        <v>111</v>
      </c>
      <c r="R1496" t="s">
        <v>922</v>
      </c>
      <c r="S1496" t="s">
        <v>1004</v>
      </c>
      <c r="T1496" t="s">
        <v>42</v>
      </c>
      <c r="U1496" t="s">
        <v>112</v>
      </c>
      <c r="V1496">
        <v>2</v>
      </c>
      <c r="AB1496" t="s">
        <v>1008</v>
      </c>
    </row>
    <row r="1497" spans="1:28" hidden="1" x14ac:dyDescent="0.2">
      <c r="A1497" s="3">
        <v>45251</v>
      </c>
      <c r="D1497" s="5">
        <v>0</v>
      </c>
      <c r="E1497">
        <v>-76.878299999999996</v>
      </c>
      <c r="F1497">
        <v>3.5438999999999998</v>
      </c>
      <c r="G1497">
        <v>434</v>
      </c>
      <c r="H1497" s="7">
        <v>4.5</v>
      </c>
      <c r="I1497">
        <v>2023</v>
      </c>
      <c r="J1497">
        <v>27.5</v>
      </c>
      <c r="K1497" s="7">
        <v>12.5</v>
      </c>
      <c r="M1497" t="s">
        <v>30</v>
      </c>
      <c r="O1497" t="s">
        <v>32</v>
      </c>
      <c r="P1497" t="s">
        <v>111</v>
      </c>
      <c r="R1497" t="s">
        <v>922</v>
      </c>
      <c r="S1497" t="s">
        <v>1004</v>
      </c>
      <c r="T1497" t="s">
        <v>91</v>
      </c>
      <c r="U1497" t="s">
        <v>75</v>
      </c>
      <c r="V1497">
        <v>2</v>
      </c>
      <c r="AB1497" t="s">
        <v>1008</v>
      </c>
    </row>
    <row r="1498" spans="1:28" hidden="1" x14ac:dyDescent="0.2">
      <c r="A1498" s="3">
        <v>45251</v>
      </c>
      <c r="D1498" s="5">
        <v>0</v>
      </c>
      <c r="E1498">
        <v>-76.878299999999996</v>
      </c>
      <c r="F1498">
        <v>3.5436999999999999</v>
      </c>
      <c r="G1498">
        <v>434</v>
      </c>
      <c r="H1498" s="7">
        <v>4.5</v>
      </c>
      <c r="I1498">
        <v>2023</v>
      </c>
      <c r="J1498">
        <v>27.5</v>
      </c>
      <c r="K1498" s="7">
        <v>12.5</v>
      </c>
      <c r="M1498" t="s">
        <v>30</v>
      </c>
      <c r="O1498" t="s">
        <v>32</v>
      </c>
      <c r="P1498" t="s">
        <v>111</v>
      </c>
      <c r="R1498" t="s">
        <v>922</v>
      </c>
      <c r="S1498" t="s">
        <v>1004</v>
      </c>
      <c r="T1498" t="s">
        <v>42</v>
      </c>
      <c r="U1498" t="s">
        <v>112</v>
      </c>
      <c r="V1498">
        <v>1</v>
      </c>
      <c r="AB1498" t="s">
        <v>1008</v>
      </c>
    </row>
    <row r="1499" spans="1:28" hidden="1" x14ac:dyDescent="0.2">
      <c r="A1499" s="3">
        <v>45251</v>
      </c>
      <c r="D1499" s="5">
        <v>0</v>
      </c>
      <c r="E1499">
        <v>-76.878342500000002</v>
      </c>
      <c r="F1499">
        <v>3.5436563950000002</v>
      </c>
      <c r="G1499">
        <v>434</v>
      </c>
      <c r="H1499" s="7">
        <v>4.5</v>
      </c>
      <c r="I1499">
        <v>2023</v>
      </c>
      <c r="J1499">
        <v>27.5</v>
      </c>
      <c r="K1499" s="7">
        <v>12.5</v>
      </c>
      <c r="M1499" t="s">
        <v>30</v>
      </c>
      <c r="O1499" t="s">
        <v>32</v>
      </c>
      <c r="P1499" t="s">
        <v>111</v>
      </c>
      <c r="R1499" t="s">
        <v>922</v>
      </c>
      <c r="S1499" t="s">
        <v>1004</v>
      </c>
      <c r="T1499" t="s">
        <v>54</v>
      </c>
      <c r="U1499" t="s">
        <v>112</v>
      </c>
      <c r="V1499">
        <v>1</v>
      </c>
      <c r="AB1499" t="s">
        <v>1008</v>
      </c>
    </row>
    <row r="1500" spans="1:28" hidden="1" x14ac:dyDescent="0.2">
      <c r="A1500" s="3">
        <v>45251</v>
      </c>
      <c r="D1500" s="5">
        <v>0</v>
      </c>
      <c r="E1500">
        <v>-76.882499999999993</v>
      </c>
      <c r="F1500">
        <v>3.5528</v>
      </c>
      <c r="H1500" s="7">
        <v>2.25</v>
      </c>
      <c r="I1500">
        <v>2023</v>
      </c>
      <c r="J1500">
        <v>25</v>
      </c>
      <c r="K1500" s="7">
        <v>0</v>
      </c>
      <c r="M1500" t="s">
        <v>30</v>
      </c>
      <c r="O1500" t="s">
        <v>47</v>
      </c>
      <c r="P1500" t="s">
        <v>130</v>
      </c>
      <c r="R1500" t="s">
        <v>922</v>
      </c>
      <c r="S1500" t="s">
        <v>1004</v>
      </c>
      <c r="T1500" t="s">
        <v>42</v>
      </c>
      <c r="U1500" t="s">
        <v>461</v>
      </c>
      <c r="V1500">
        <v>1</v>
      </c>
      <c r="AB1500" t="s">
        <v>66</v>
      </c>
    </row>
    <row r="1501" spans="1:28" hidden="1" x14ac:dyDescent="0.2">
      <c r="A1501" s="3">
        <v>45251</v>
      </c>
      <c r="D1501" s="5">
        <v>0</v>
      </c>
      <c r="E1501">
        <v>-76.882544330000002</v>
      </c>
      <c r="F1501">
        <v>3.5526869849999998</v>
      </c>
      <c r="H1501" s="7">
        <v>2.25</v>
      </c>
      <c r="I1501">
        <v>2023</v>
      </c>
      <c r="J1501">
        <v>25</v>
      </c>
      <c r="K1501" s="7">
        <v>0</v>
      </c>
      <c r="M1501" t="s">
        <v>30</v>
      </c>
      <c r="O1501" t="s">
        <v>47</v>
      </c>
      <c r="P1501" t="s">
        <v>130</v>
      </c>
      <c r="R1501" t="s">
        <v>922</v>
      </c>
      <c r="S1501" t="s">
        <v>1004</v>
      </c>
      <c r="T1501" t="s">
        <v>91</v>
      </c>
      <c r="U1501" t="s">
        <v>75</v>
      </c>
      <c r="V1501">
        <v>1</v>
      </c>
      <c r="AB1501" t="s">
        <v>1008</v>
      </c>
    </row>
    <row r="1502" spans="1:28" hidden="1" x14ac:dyDescent="0.2">
      <c r="A1502" s="3">
        <v>45254</v>
      </c>
      <c r="D1502" s="5">
        <v>0</v>
      </c>
      <c r="E1502">
        <v>-76.882599999999996</v>
      </c>
      <c r="F1502">
        <v>3.5527000000000002</v>
      </c>
      <c r="G1502">
        <v>598</v>
      </c>
      <c r="H1502" s="7">
        <v>1.5</v>
      </c>
      <c r="I1502">
        <v>2023</v>
      </c>
      <c r="J1502">
        <v>17.5</v>
      </c>
      <c r="K1502" s="7">
        <v>3.5</v>
      </c>
      <c r="M1502" t="s">
        <v>30</v>
      </c>
      <c r="O1502" t="s">
        <v>47</v>
      </c>
      <c r="P1502" t="s">
        <v>130</v>
      </c>
      <c r="R1502" t="s">
        <v>922</v>
      </c>
      <c r="T1502" t="s">
        <v>42</v>
      </c>
      <c r="U1502" t="s">
        <v>112</v>
      </c>
      <c r="V1502">
        <v>1</v>
      </c>
      <c r="AB1502" t="s">
        <v>1008</v>
      </c>
    </row>
    <row r="1503" spans="1:28" hidden="1" x14ac:dyDescent="0.2">
      <c r="A1503" s="3">
        <v>45254</v>
      </c>
      <c r="D1503" s="5">
        <v>0</v>
      </c>
      <c r="E1503">
        <v>-76.882599999999996</v>
      </c>
      <c r="F1503">
        <v>3.5527000000000002</v>
      </c>
      <c r="G1503">
        <v>598</v>
      </c>
      <c r="H1503" s="7">
        <v>1.5</v>
      </c>
      <c r="I1503">
        <v>2023</v>
      </c>
      <c r="J1503">
        <v>17.5</v>
      </c>
      <c r="K1503" s="7">
        <v>3.5</v>
      </c>
      <c r="M1503" t="s">
        <v>30</v>
      </c>
      <c r="O1503" t="s">
        <v>47</v>
      </c>
      <c r="P1503" t="s">
        <v>130</v>
      </c>
      <c r="R1503" t="s">
        <v>922</v>
      </c>
      <c r="T1503" t="s">
        <v>42</v>
      </c>
      <c r="U1503" t="s">
        <v>112</v>
      </c>
      <c r="V1503">
        <v>1</v>
      </c>
      <c r="AB1503" t="s">
        <v>1008</v>
      </c>
    </row>
    <row r="1504" spans="1:28" hidden="1" x14ac:dyDescent="0.2">
      <c r="A1504" s="3">
        <v>45254</v>
      </c>
      <c r="D1504" s="5">
        <v>0</v>
      </c>
      <c r="E1504">
        <v>-76.878500000000003</v>
      </c>
      <c r="F1504">
        <v>3.5438000000000001</v>
      </c>
      <c r="G1504">
        <v>590</v>
      </c>
      <c r="H1504" s="7">
        <v>4.5</v>
      </c>
      <c r="I1504">
        <v>2023</v>
      </c>
      <c r="J1504">
        <v>27.5</v>
      </c>
      <c r="K1504" s="7">
        <v>12.5</v>
      </c>
      <c r="M1504" t="s">
        <v>30</v>
      </c>
      <c r="O1504" t="s">
        <v>32</v>
      </c>
      <c r="P1504" t="s">
        <v>111</v>
      </c>
      <c r="R1504" t="s">
        <v>922</v>
      </c>
      <c r="T1504" t="s">
        <v>42</v>
      </c>
      <c r="U1504" t="s">
        <v>112</v>
      </c>
      <c r="V1504">
        <v>4</v>
      </c>
      <c r="AB1504" t="s">
        <v>1008</v>
      </c>
    </row>
    <row r="1505" spans="1:28" hidden="1" x14ac:dyDescent="0.2">
      <c r="A1505" s="3">
        <v>45254</v>
      </c>
      <c r="D1505" s="5">
        <v>0</v>
      </c>
      <c r="E1505">
        <v>-76.878299999999996</v>
      </c>
      <c r="F1505">
        <v>3.5436999999999999</v>
      </c>
      <c r="G1505">
        <v>590</v>
      </c>
      <c r="H1505" s="7">
        <v>4.5</v>
      </c>
      <c r="I1505">
        <v>2023</v>
      </c>
      <c r="J1505">
        <v>27.5</v>
      </c>
      <c r="K1505" s="7">
        <v>12.5</v>
      </c>
      <c r="M1505" t="s">
        <v>30</v>
      </c>
      <c r="O1505" t="s">
        <v>32</v>
      </c>
      <c r="P1505" t="s">
        <v>111</v>
      </c>
      <c r="R1505" t="s">
        <v>922</v>
      </c>
      <c r="T1505" t="s">
        <v>42</v>
      </c>
      <c r="U1505" t="s">
        <v>112</v>
      </c>
      <c r="V1505">
        <v>1</v>
      </c>
      <c r="AB1505" t="s">
        <v>1008</v>
      </c>
    </row>
    <row r="1506" spans="1:28" hidden="1" x14ac:dyDescent="0.2">
      <c r="A1506" s="3">
        <v>45254</v>
      </c>
      <c r="D1506" s="5">
        <v>0</v>
      </c>
      <c r="E1506">
        <v>-76.878299999999996</v>
      </c>
      <c r="F1506">
        <v>3.5436000000000001</v>
      </c>
      <c r="G1506">
        <v>590</v>
      </c>
      <c r="H1506" s="7">
        <v>4.5</v>
      </c>
      <c r="I1506">
        <v>2023</v>
      </c>
      <c r="J1506">
        <v>27.5</v>
      </c>
      <c r="K1506" s="7">
        <v>12.5</v>
      </c>
      <c r="M1506" t="s">
        <v>30</v>
      </c>
      <c r="O1506" t="s">
        <v>32</v>
      </c>
      <c r="P1506" t="s">
        <v>111</v>
      </c>
      <c r="R1506" t="s">
        <v>922</v>
      </c>
      <c r="T1506" t="s">
        <v>42</v>
      </c>
      <c r="U1506" t="s">
        <v>112</v>
      </c>
      <c r="V1506">
        <v>8</v>
      </c>
      <c r="AB1506" t="s">
        <v>1008</v>
      </c>
    </row>
    <row r="1507" spans="1:28" hidden="1" x14ac:dyDescent="0.2">
      <c r="A1507" s="3">
        <v>45253</v>
      </c>
      <c r="D1507" s="5">
        <v>0</v>
      </c>
      <c r="E1507">
        <v>-76.880799999999994</v>
      </c>
      <c r="F1507">
        <v>3.5960000000000001</v>
      </c>
      <c r="G1507">
        <v>512</v>
      </c>
      <c r="H1507" s="7" t="s">
        <v>918</v>
      </c>
      <c r="I1507">
        <v>2023</v>
      </c>
      <c r="J1507">
        <v>30</v>
      </c>
      <c r="K1507" s="7">
        <v>12.5</v>
      </c>
      <c r="M1507" t="s">
        <v>30</v>
      </c>
      <c r="O1507" t="s">
        <v>58</v>
      </c>
      <c r="P1507" t="s">
        <v>52</v>
      </c>
      <c r="R1507" t="s">
        <v>921</v>
      </c>
      <c r="T1507" t="s">
        <v>42</v>
      </c>
      <c r="U1507" t="s">
        <v>116</v>
      </c>
      <c r="V1507">
        <v>1</v>
      </c>
      <c r="Z1507" t="s">
        <v>1012</v>
      </c>
      <c r="AB1507" t="s">
        <v>1008</v>
      </c>
    </row>
    <row r="1508" spans="1:28" hidden="1" x14ac:dyDescent="0.2">
      <c r="A1508" s="3">
        <v>45253</v>
      </c>
      <c r="D1508" s="5">
        <v>0</v>
      </c>
      <c r="E1508">
        <v>-76.892063329999999</v>
      </c>
      <c r="F1508">
        <v>3.595215</v>
      </c>
      <c r="H1508" s="7" t="s">
        <v>918</v>
      </c>
      <c r="I1508">
        <v>2023</v>
      </c>
      <c r="J1508">
        <v>22.5</v>
      </c>
      <c r="K1508" s="7">
        <v>17.5</v>
      </c>
      <c r="M1508" t="s">
        <v>30</v>
      </c>
      <c r="O1508" t="s">
        <v>38</v>
      </c>
      <c r="P1508" t="s">
        <v>33</v>
      </c>
      <c r="U1508" t="s">
        <v>36</v>
      </c>
      <c r="V1508">
        <v>0</v>
      </c>
    </row>
    <row r="1509" spans="1:28" hidden="1" x14ac:dyDescent="0.2">
      <c r="A1509" s="3">
        <v>45244</v>
      </c>
      <c r="D1509" s="5">
        <v>0</v>
      </c>
      <c r="E1509">
        <v>-76.647300000000001</v>
      </c>
      <c r="F1509">
        <v>3.3481999999999998</v>
      </c>
      <c r="H1509" s="7">
        <v>1</v>
      </c>
      <c r="I1509">
        <v>2023</v>
      </c>
      <c r="J1509">
        <v>14</v>
      </c>
      <c r="K1509" s="7">
        <v>6</v>
      </c>
      <c r="M1509" t="s">
        <v>624</v>
      </c>
      <c r="O1509" t="s">
        <v>32</v>
      </c>
      <c r="P1509" t="s">
        <v>643</v>
      </c>
      <c r="U1509" t="s">
        <v>36</v>
      </c>
      <c r="V1509">
        <v>0</v>
      </c>
    </row>
    <row r="1510" spans="1:28" hidden="1" x14ac:dyDescent="0.2">
      <c r="A1510" s="3">
        <v>45251</v>
      </c>
      <c r="D1510" s="5">
        <v>0</v>
      </c>
      <c r="E1510">
        <v>-76.890325000000004</v>
      </c>
      <c r="F1510">
        <v>3.5508683329999999</v>
      </c>
      <c r="H1510" s="7" t="s">
        <v>918</v>
      </c>
      <c r="I1510">
        <v>2023</v>
      </c>
      <c r="J1510">
        <v>15</v>
      </c>
      <c r="K1510" s="7">
        <v>7.5</v>
      </c>
      <c r="M1510" t="s">
        <v>30</v>
      </c>
      <c r="O1510" t="s">
        <v>32</v>
      </c>
      <c r="P1510" t="s">
        <v>119</v>
      </c>
      <c r="R1510" t="s">
        <v>922</v>
      </c>
      <c r="S1510" t="s">
        <v>1004</v>
      </c>
      <c r="T1510" t="s">
        <v>54</v>
      </c>
      <c r="U1510" t="s">
        <v>75</v>
      </c>
      <c r="V1510">
        <v>3</v>
      </c>
      <c r="AB1510" t="s">
        <v>66</v>
      </c>
    </row>
    <row r="1511" spans="1:28" hidden="1" x14ac:dyDescent="0.2">
      <c r="A1511" s="3">
        <v>45251</v>
      </c>
      <c r="D1511" s="5">
        <v>0</v>
      </c>
      <c r="E1511">
        <v>-76.890325000000004</v>
      </c>
      <c r="F1511">
        <v>3.5508683329999999</v>
      </c>
      <c r="H1511" s="7" t="s">
        <v>918</v>
      </c>
      <c r="I1511">
        <v>2023</v>
      </c>
      <c r="J1511">
        <v>15</v>
      </c>
      <c r="K1511" s="7">
        <v>7.5</v>
      </c>
      <c r="M1511" t="s">
        <v>30</v>
      </c>
      <c r="O1511" t="s">
        <v>32</v>
      </c>
      <c r="P1511" t="s">
        <v>119</v>
      </c>
      <c r="R1511" t="s">
        <v>922</v>
      </c>
      <c r="S1511" t="s">
        <v>1004</v>
      </c>
      <c r="T1511" t="s">
        <v>54</v>
      </c>
      <c r="U1511" t="s">
        <v>92</v>
      </c>
      <c r="V1511">
        <v>1</v>
      </c>
      <c r="AB1511" t="s">
        <v>1008</v>
      </c>
    </row>
    <row r="1512" spans="1:28" hidden="1" x14ac:dyDescent="0.2">
      <c r="A1512" s="3">
        <v>45254</v>
      </c>
      <c r="D1512" s="5">
        <v>0</v>
      </c>
      <c r="E1512">
        <v>-76.87715</v>
      </c>
      <c r="F1512">
        <v>3.5433366670000002</v>
      </c>
      <c r="H1512" s="7" t="s">
        <v>918</v>
      </c>
      <c r="I1512">
        <v>2023</v>
      </c>
      <c r="J1512">
        <v>32.5</v>
      </c>
      <c r="K1512" s="7">
        <v>22.5</v>
      </c>
      <c r="M1512" t="s">
        <v>30</v>
      </c>
      <c r="O1512" t="s">
        <v>38</v>
      </c>
      <c r="P1512" t="s">
        <v>111</v>
      </c>
      <c r="U1512" t="s">
        <v>36</v>
      </c>
      <c r="V1512">
        <v>0</v>
      </c>
      <c r="Z1512" t="s">
        <v>1012</v>
      </c>
    </row>
    <row r="1513" spans="1:28" hidden="1" x14ac:dyDescent="0.2">
      <c r="A1513" s="3">
        <v>45253</v>
      </c>
      <c r="D1513" s="5">
        <v>0</v>
      </c>
      <c r="E1513">
        <v>-76.8827</v>
      </c>
      <c r="F1513">
        <v>3.5903</v>
      </c>
      <c r="G1513">
        <v>683</v>
      </c>
      <c r="H1513" s="7" t="s">
        <v>918</v>
      </c>
      <c r="I1513">
        <v>2023</v>
      </c>
      <c r="J1513" t="e">
        <v>#DIV/0!</v>
      </c>
      <c r="K1513" s="7" t="s">
        <v>918</v>
      </c>
      <c r="M1513" t="s">
        <v>30</v>
      </c>
      <c r="O1513" t="s">
        <v>38</v>
      </c>
      <c r="P1513" t="s">
        <v>52</v>
      </c>
      <c r="R1513" t="s">
        <v>922</v>
      </c>
      <c r="T1513" t="s">
        <v>54</v>
      </c>
      <c r="U1513" t="s">
        <v>92</v>
      </c>
      <c r="V1513">
        <v>1</v>
      </c>
      <c r="AB1513" t="s">
        <v>66</v>
      </c>
    </row>
    <row r="1514" spans="1:28" hidden="1" x14ac:dyDescent="0.2">
      <c r="A1514" s="3">
        <v>45253</v>
      </c>
      <c r="D1514" s="5">
        <v>0</v>
      </c>
      <c r="E1514">
        <v>-76.8827</v>
      </c>
      <c r="F1514">
        <v>3.5903</v>
      </c>
      <c r="G1514">
        <v>683</v>
      </c>
      <c r="H1514" s="7">
        <v>1.25</v>
      </c>
      <c r="I1514">
        <v>2023</v>
      </c>
      <c r="J1514">
        <v>27.5</v>
      </c>
      <c r="K1514" s="7">
        <v>45</v>
      </c>
      <c r="M1514" t="s">
        <v>30</v>
      </c>
      <c r="O1514" t="s">
        <v>38</v>
      </c>
      <c r="P1514" t="s">
        <v>52</v>
      </c>
      <c r="R1514" t="s">
        <v>922</v>
      </c>
      <c r="T1514" t="s">
        <v>54</v>
      </c>
      <c r="U1514" t="s">
        <v>178</v>
      </c>
      <c r="V1514">
        <v>1</v>
      </c>
      <c r="AB1514" t="s">
        <v>66</v>
      </c>
    </row>
    <row r="1515" spans="1:28" hidden="1" x14ac:dyDescent="0.2">
      <c r="A1515" s="3">
        <v>45245</v>
      </c>
      <c r="D1515" s="5">
        <v>0</v>
      </c>
      <c r="E1515">
        <v>-76.640676099999993</v>
      </c>
      <c r="F1515">
        <v>3.3500424560000002</v>
      </c>
      <c r="H1515" s="7" t="s">
        <v>918</v>
      </c>
      <c r="I1515">
        <v>2023</v>
      </c>
      <c r="J1515">
        <v>15</v>
      </c>
      <c r="K1515" s="7">
        <v>3.5</v>
      </c>
      <c r="M1515" t="s">
        <v>624</v>
      </c>
      <c r="O1515" t="s">
        <v>38</v>
      </c>
      <c r="P1515" t="s">
        <v>734</v>
      </c>
      <c r="R1515" t="s">
        <v>921</v>
      </c>
      <c r="S1515" t="s">
        <v>1004</v>
      </c>
      <c r="T1515" t="s">
        <v>54</v>
      </c>
      <c r="U1515" t="s">
        <v>238</v>
      </c>
      <c r="V1515">
        <v>1</v>
      </c>
      <c r="AB1515" t="s">
        <v>1008</v>
      </c>
    </row>
    <row r="1516" spans="1:28" hidden="1" x14ac:dyDescent="0.2">
      <c r="A1516" s="3">
        <v>45245</v>
      </c>
      <c r="D1516" s="5">
        <v>0</v>
      </c>
      <c r="E1516">
        <v>-76.640900000000002</v>
      </c>
      <c r="F1516">
        <v>3.35</v>
      </c>
      <c r="H1516" s="7" t="s">
        <v>918</v>
      </c>
      <c r="I1516">
        <v>2023</v>
      </c>
      <c r="J1516">
        <v>15</v>
      </c>
      <c r="K1516" s="7">
        <v>3.5</v>
      </c>
      <c r="M1516" t="s">
        <v>624</v>
      </c>
      <c r="O1516" t="s">
        <v>38</v>
      </c>
      <c r="P1516" t="s">
        <v>734</v>
      </c>
      <c r="R1516" t="s">
        <v>921</v>
      </c>
      <c r="S1516" t="s">
        <v>946</v>
      </c>
      <c r="T1516" t="s">
        <v>54</v>
      </c>
      <c r="U1516" t="s">
        <v>238</v>
      </c>
      <c r="V1516">
        <v>1</v>
      </c>
      <c r="AB1516" t="s">
        <v>1008</v>
      </c>
    </row>
    <row r="1517" spans="1:28" hidden="1" x14ac:dyDescent="0.2">
      <c r="A1517" s="3">
        <v>45245</v>
      </c>
      <c r="D1517" s="5">
        <v>0</v>
      </c>
      <c r="E1517">
        <v>-76.640600000000006</v>
      </c>
      <c r="F1517">
        <v>3.3502000000000001</v>
      </c>
      <c r="H1517" s="7" t="s">
        <v>918</v>
      </c>
      <c r="I1517">
        <v>2023</v>
      </c>
      <c r="J1517">
        <v>15</v>
      </c>
      <c r="K1517" s="7">
        <v>3.5</v>
      </c>
      <c r="M1517" t="s">
        <v>624</v>
      </c>
      <c r="O1517" t="s">
        <v>38</v>
      </c>
      <c r="P1517" t="s">
        <v>734</v>
      </c>
      <c r="R1517" t="s">
        <v>921</v>
      </c>
      <c r="S1517" t="s">
        <v>946</v>
      </c>
      <c r="U1517" t="s">
        <v>238</v>
      </c>
      <c r="V1517">
        <v>2</v>
      </c>
      <c r="AB1517" t="s">
        <v>66</v>
      </c>
    </row>
    <row r="1518" spans="1:28" hidden="1" x14ac:dyDescent="0.2">
      <c r="A1518" s="3">
        <v>45245</v>
      </c>
      <c r="D1518" s="5">
        <v>0</v>
      </c>
      <c r="E1518">
        <v>-76.640799999999999</v>
      </c>
      <c r="F1518">
        <v>3.35</v>
      </c>
      <c r="H1518" s="7" t="s">
        <v>918</v>
      </c>
      <c r="I1518">
        <v>2023</v>
      </c>
      <c r="J1518">
        <v>15</v>
      </c>
      <c r="K1518" s="7">
        <v>3.5</v>
      </c>
      <c r="M1518" t="s">
        <v>624</v>
      </c>
      <c r="O1518" t="s">
        <v>38</v>
      </c>
      <c r="P1518" t="s">
        <v>734</v>
      </c>
      <c r="R1518" t="s">
        <v>921</v>
      </c>
      <c r="S1518" t="s">
        <v>946</v>
      </c>
      <c r="T1518" t="s">
        <v>54</v>
      </c>
      <c r="U1518" t="s">
        <v>238</v>
      </c>
      <c r="V1518">
        <v>1</v>
      </c>
      <c r="AB1518" t="s">
        <v>1008</v>
      </c>
    </row>
    <row r="1519" spans="1:28" hidden="1" x14ac:dyDescent="0.2">
      <c r="A1519" s="3">
        <v>45254</v>
      </c>
      <c r="D1519" s="5">
        <v>0</v>
      </c>
      <c r="E1519">
        <v>-76.881100000000004</v>
      </c>
      <c r="F1519">
        <v>3.5527000000000002</v>
      </c>
      <c r="G1519">
        <v>598</v>
      </c>
      <c r="H1519" s="7" t="s">
        <v>918</v>
      </c>
      <c r="I1519">
        <v>2023</v>
      </c>
      <c r="J1519">
        <v>20</v>
      </c>
      <c r="K1519" s="7">
        <v>15</v>
      </c>
      <c r="M1519" t="s">
        <v>30</v>
      </c>
      <c r="O1519" t="s">
        <v>32</v>
      </c>
      <c r="P1519" t="s">
        <v>130</v>
      </c>
      <c r="R1519" t="s">
        <v>921</v>
      </c>
      <c r="S1519" t="s">
        <v>995</v>
      </c>
      <c r="T1519" t="s">
        <v>42</v>
      </c>
      <c r="U1519" t="s">
        <v>943</v>
      </c>
      <c r="V1519">
        <v>1</v>
      </c>
      <c r="AB1519" t="s">
        <v>66</v>
      </c>
    </row>
    <row r="1520" spans="1:28" hidden="1" x14ac:dyDescent="0.2">
      <c r="A1520" s="3">
        <v>45254</v>
      </c>
      <c r="D1520" s="5">
        <v>0</v>
      </c>
      <c r="E1520">
        <v>-76.881399999999999</v>
      </c>
      <c r="F1520">
        <v>3.5527000000000002</v>
      </c>
      <c r="G1520">
        <v>598</v>
      </c>
      <c r="H1520" s="7" t="s">
        <v>918</v>
      </c>
      <c r="I1520">
        <v>2023</v>
      </c>
      <c r="J1520">
        <v>20</v>
      </c>
      <c r="K1520" s="7">
        <v>15</v>
      </c>
      <c r="M1520" t="s">
        <v>30</v>
      </c>
      <c r="O1520" t="s">
        <v>32</v>
      </c>
      <c r="P1520" t="s">
        <v>130</v>
      </c>
      <c r="R1520" t="s">
        <v>921</v>
      </c>
      <c r="S1520" t="s">
        <v>995</v>
      </c>
      <c r="T1520" t="s">
        <v>42</v>
      </c>
      <c r="U1520" t="s">
        <v>112</v>
      </c>
      <c r="V1520">
        <v>1</v>
      </c>
      <c r="Z1520" t="s">
        <v>1012</v>
      </c>
      <c r="AB1520" t="s">
        <v>66</v>
      </c>
    </row>
    <row r="1521" spans="1:28" hidden="1" x14ac:dyDescent="0.2">
      <c r="A1521" s="3">
        <v>45253</v>
      </c>
      <c r="D1521" s="5">
        <v>0.88335648148148149</v>
      </c>
      <c r="E1521">
        <v>-76.880700000000004</v>
      </c>
      <c r="F1521">
        <v>3.5962999999999998</v>
      </c>
      <c r="G1521">
        <v>559</v>
      </c>
      <c r="H1521" s="7">
        <v>1</v>
      </c>
      <c r="I1521">
        <v>2023</v>
      </c>
      <c r="J1521">
        <v>21</v>
      </c>
      <c r="K1521" s="7">
        <v>30</v>
      </c>
      <c r="M1521" t="s">
        <v>30</v>
      </c>
      <c r="O1521" t="s">
        <v>47</v>
      </c>
      <c r="P1521" t="s">
        <v>52</v>
      </c>
      <c r="R1521" t="s">
        <v>922</v>
      </c>
      <c r="T1521" t="s">
        <v>54</v>
      </c>
      <c r="U1521" t="s">
        <v>178</v>
      </c>
      <c r="V1521">
        <v>1</v>
      </c>
      <c r="AB1521" t="s">
        <v>1008</v>
      </c>
    </row>
    <row r="1522" spans="1:28" hidden="1" x14ac:dyDescent="0.2">
      <c r="A1522" s="3">
        <v>45253</v>
      </c>
      <c r="D1522" s="5">
        <v>0.88335648148148149</v>
      </c>
      <c r="E1522">
        <v>-76.880899999999997</v>
      </c>
      <c r="F1522">
        <v>3.5962999999999998</v>
      </c>
      <c r="G1522">
        <v>559</v>
      </c>
      <c r="H1522" s="7">
        <v>1</v>
      </c>
      <c r="I1522">
        <v>2023</v>
      </c>
      <c r="J1522">
        <v>21</v>
      </c>
      <c r="K1522" s="7">
        <v>30</v>
      </c>
      <c r="M1522" t="s">
        <v>30</v>
      </c>
      <c r="O1522" t="s">
        <v>47</v>
      </c>
      <c r="P1522" t="s">
        <v>52</v>
      </c>
      <c r="R1522" t="s">
        <v>922</v>
      </c>
      <c r="T1522" t="s">
        <v>54</v>
      </c>
      <c r="U1522" t="s">
        <v>178</v>
      </c>
      <c r="V1522">
        <v>1</v>
      </c>
      <c r="AB1522" t="s">
        <v>66</v>
      </c>
    </row>
    <row r="1523" spans="1:28" hidden="1" x14ac:dyDescent="0.2">
      <c r="A1523" s="3">
        <v>45253</v>
      </c>
      <c r="D1523" s="5">
        <v>0</v>
      </c>
      <c r="E1523">
        <v>-76.883099999999999</v>
      </c>
      <c r="F1523">
        <v>3.5897999999999999</v>
      </c>
      <c r="G1523">
        <v>492</v>
      </c>
      <c r="H1523" s="7">
        <v>1.75</v>
      </c>
      <c r="I1523">
        <v>2023</v>
      </c>
      <c r="J1523">
        <v>25</v>
      </c>
      <c r="K1523" s="7">
        <v>37.5</v>
      </c>
      <c r="M1523" t="s">
        <v>30</v>
      </c>
      <c r="O1523" t="s">
        <v>38</v>
      </c>
      <c r="P1523" t="s">
        <v>52</v>
      </c>
      <c r="R1523" t="s">
        <v>922</v>
      </c>
      <c r="T1523" t="s">
        <v>42</v>
      </c>
      <c r="U1523" t="s">
        <v>43</v>
      </c>
      <c r="V1523">
        <v>1</v>
      </c>
      <c r="AB1523" t="s">
        <v>1008</v>
      </c>
    </row>
    <row r="1524" spans="1:28" hidden="1" x14ac:dyDescent="0.2">
      <c r="A1524" s="3">
        <v>45252</v>
      </c>
      <c r="D1524" s="5">
        <v>0</v>
      </c>
      <c r="E1524">
        <v>-76.880499999999998</v>
      </c>
      <c r="F1524">
        <v>3.5794000000000001</v>
      </c>
      <c r="G1524">
        <v>741</v>
      </c>
      <c r="H1524" s="7" t="s">
        <v>918</v>
      </c>
      <c r="I1524">
        <v>2023</v>
      </c>
      <c r="J1524">
        <v>25</v>
      </c>
      <c r="K1524" s="7">
        <v>35</v>
      </c>
      <c r="M1524" t="s">
        <v>30</v>
      </c>
      <c r="O1524" t="s">
        <v>47</v>
      </c>
      <c r="P1524" t="s">
        <v>98</v>
      </c>
      <c r="R1524" t="s">
        <v>921</v>
      </c>
      <c r="T1524" t="s">
        <v>42</v>
      </c>
      <c r="U1524" t="s">
        <v>43</v>
      </c>
      <c r="V1524">
        <v>1</v>
      </c>
      <c r="AB1524" t="s">
        <v>66</v>
      </c>
    </row>
    <row r="1525" spans="1:28" hidden="1" x14ac:dyDescent="0.2">
      <c r="A1525" s="3">
        <v>45252</v>
      </c>
      <c r="D1525" s="5">
        <v>0</v>
      </c>
      <c r="E1525">
        <v>-76.880350469999996</v>
      </c>
      <c r="F1525">
        <v>3.5792999999999999</v>
      </c>
      <c r="G1525">
        <v>741</v>
      </c>
      <c r="H1525" s="7" t="s">
        <v>918</v>
      </c>
      <c r="I1525">
        <v>2023</v>
      </c>
      <c r="J1525">
        <v>25</v>
      </c>
      <c r="K1525" s="7">
        <v>35</v>
      </c>
      <c r="M1525" t="s">
        <v>30</v>
      </c>
      <c r="O1525" t="s">
        <v>47</v>
      </c>
      <c r="P1525" t="s">
        <v>98</v>
      </c>
      <c r="R1525" t="s">
        <v>921</v>
      </c>
      <c r="T1525" t="s">
        <v>42</v>
      </c>
      <c r="U1525" t="s">
        <v>43</v>
      </c>
      <c r="V1525">
        <v>1</v>
      </c>
      <c r="AB1525" t="s">
        <v>66</v>
      </c>
    </row>
    <row r="1526" spans="1:28" hidden="1" x14ac:dyDescent="0.2">
      <c r="A1526" s="3">
        <v>45252</v>
      </c>
      <c r="D1526" s="5">
        <v>0</v>
      </c>
      <c r="E1526">
        <v>-76.880600000000001</v>
      </c>
      <c r="F1526">
        <v>3.5796000000000001</v>
      </c>
      <c r="G1526">
        <v>741</v>
      </c>
      <c r="H1526" s="7" t="s">
        <v>918</v>
      </c>
      <c r="I1526">
        <v>2023</v>
      </c>
      <c r="J1526">
        <v>25</v>
      </c>
      <c r="K1526" s="7">
        <v>35</v>
      </c>
      <c r="M1526" t="s">
        <v>30</v>
      </c>
      <c r="O1526" t="s">
        <v>47</v>
      </c>
      <c r="P1526" t="s">
        <v>98</v>
      </c>
      <c r="R1526" t="s">
        <v>921</v>
      </c>
      <c r="T1526" t="s">
        <v>42</v>
      </c>
      <c r="U1526" t="s">
        <v>43</v>
      </c>
      <c r="V1526">
        <v>1</v>
      </c>
      <c r="AB1526" t="s">
        <v>66</v>
      </c>
    </row>
    <row r="1527" spans="1:28" hidden="1" x14ac:dyDescent="0.2">
      <c r="A1527" s="3">
        <v>45252</v>
      </c>
      <c r="D1527" s="5">
        <v>0</v>
      </c>
      <c r="E1527">
        <v>-76.880499999999998</v>
      </c>
      <c r="F1527">
        <v>3.5790999999999999</v>
      </c>
      <c r="G1527">
        <v>741</v>
      </c>
      <c r="H1527" s="7" t="s">
        <v>918</v>
      </c>
      <c r="I1527">
        <v>2023</v>
      </c>
      <c r="J1527">
        <v>25</v>
      </c>
      <c r="K1527" s="7">
        <v>35</v>
      </c>
      <c r="M1527" t="s">
        <v>30</v>
      </c>
      <c r="O1527" t="s">
        <v>47</v>
      </c>
      <c r="P1527" t="s">
        <v>98</v>
      </c>
      <c r="R1527" t="s">
        <v>921</v>
      </c>
      <c r="T1527" t="s">
        <v>42</v>
      </c>
      <c r="U1527" t="s">
        <v>43</v>
      </c>
      <c r="V1527">
        <v>1</v>
      </c>
      <c r="AB1527" t="s">
        <v>1008</v>
      </c>
    </row>
    <row r="1528" spans="1:28" hidden="1" x14ac:dyDescent="0.2">
      <c r="A1528" s="3">
        <v>45252</v>
      </c>
      <c r="D1528" s="5">
        <v>0</v>
      </c>
      <c r="E1528">
        <v>-76.880350469999996</v>
      </c>
      <c r="F1528">
        <v>3.5793394840000001</v>
      </c>
      <c r="G1528">
        <v>741</v>
      </c>
      <c r="H1528" s="7" t="s">
        <v>918</v>
      </c>
      <c r="I1528">
        <v>2023</v>
      </c>
      <c r="J1528">
        <v>25</v>
      </c>
      <c r="K1528" s="7">
        <v>35</v>
      </c>
      <c r="M1528" t="s">
        <v>30</v>
      </c>
      <c r="O1528" t="s">
        <v>47</v>
      </c>
      <c r="P1528" t="s">
        <v>98</v>
      </c>
      <c r="R1528" t="s">
        <v>921</v>
      </c>
      <c r="T1528" t="s">
        <v>42</v>
      </c>
      <c r="U1528" t="s">
        <v>43</v>
      </c>
      <c r="V1528">
        <v>1</v>
      </c>
      <c r="AB1528" t="s">
        <v>66</v>
      </c>
    </row>
    <row r="1529" spans="1:28" hidden="1" x14ac:dyDescent="0.2">
      <c r="A1529" s="3">
        <v>45246</v>
      </c>
      <c r="D1529" s="5">
        <v>0</v>
      </c>
      <c r="E1529">
        <v>-76.656000000000006</v>
      </c>
      <c r="F1529">
        <v>3.3546999999999998</v>
      </c>
      <c r="G1529">
        <v>2570</v>
      </c>
      <c r="H1529" s="7" t="s">
        <v>918</v>
      </c>
      <c r="I1529">
        <v>2023</v>
      </c>
      <c r="J1529" t="e">
        <v>#DIV/0!</v>
      </c>
      <c r="K1529" s="7" t="s">
        <v>918</v>
      </c>
      <c r="M1529" t="s">
        <v>624</v>
      </c>
      <c r="O1529" t="s">
        <v>38</v>
      </c>
      <c r="P1529" t="s">
        <v>720</v>
      </c>
      <c r="R1529" t="s">
        <v>919</v>
      </c>
      <c r="S1529" t="s">
        <v>1004</v>
      </c>
      <c r="T1529" t="s">
        <v>1007</v>
      </c>
      <c r="U1529" t="s">
        <v>371</v>
      </c>
      <c r="V1529">
        <v>1</v>
      </c>
      <c r="AB1529" t="s">
        <v>1008</v>
      </c>
    </row>
    <row r="1530" spans="1:28" hidden="1" x14ac:dyDescent="0.2">
      <c r="A1530" s="3">
        <v>45246</v>
      </c>
      <c r="D1530" s="5">
        <v>0</v>
      </c>
      <c r="E1530">
        <v>-76.656218330000002</v>
      </c>
      <c r="F1530">
        <v>3.3547473220000001</v>
      </c>
      <c r="G1530">
        <v>2570</v>
      </c>
      <c r="H1530" s="7" t="s">
        <v>918</v>
      </c>
      <c r="I1530">
        <v>2023</v>
      </c>
      <c r="J1530">
        <v>15</v>
      </c>
      <c r="K1530" s="7">
        <v>25</v>
      </c>
      <c r="M1530" t="s">
        <v>624</v>
      </c>
      <c r="O1530" t="s">
        <v>38</v>
      </c>
      <c r="P1530" t="s">
        <v>720</v>
      </c>
      <c r="R1530" t="s">
        <v>919</v>
      </c>
      <c r="S1530" t="s">
        <v>946</v>
      </c>
      <c r="U1530" t="s">
        <v>371</v>
      </c>
      <c r="V1530">
        <v>2</v>
      </c>
      <c r="AB1530" t="s">
        <v>66</v>
      </c>
    </row>
    <row r="1531" spans="1:28" hidden="1" x14ac:dyDescent="0.2">
      <c r="A1531" s="3">
        <v>45253</v>
      </c>
      <c r="D1531" s="5">
        <v>0</v>
      </c>
      <c r="E1531">
        <v>-76.877799999999993</v>
      </c>
      <c r="F1531">
        <v>3.585</v>
      </c>
      <c r="G1531">
        <v>559</v>
      </c>
      <c r="H1531" s="7">
        <v>1.25</v>
      </c>
      <c r="I1531">
        <v>2023</v>
      </c>
      <c r="J1531">
        <v>30</v>
      </c>
      <c r="K1531" s="7">
        <v>10</v>
      </c>
      <c r="M1531" t="s">
        <v>30</v>
      </c>
      <c r="O1531" t="s">
        <v>40</v>
      </c>
      <c r="P1531" t="s">
        <v>1150</v>
      </c>
      <c r="R1531" t="s">
        <v>922</v>
      </c>
      <c r="T1531" t="s">
        <v>42</v>
      </c>
      <c r="U1531" t="s">
        <v>92</v>
      </c>
      <c r="V1531">
        <v>2</v>
      </c>
      <c r="AB1531" t="s">
        <v>66</v>
      </c>
    </row>
    <row r="1532" spans="1:28" hidden="1" x14ac:dyDescent="0.2">
      <c r="A1532" s="3">
        <v>45253</v>
      </c>
      <c r="D1532" s="5">
        <v>0</v>
      </c>
      <c r="E1532">
        <v>-76.877799999999993</v>
      </c>
      <c r="F1532">
        <v>3.5851999999999999</v>
      </c>
      <c r="G1532">
        <v>559</v>
      </c>
      <c r="H1532" s="7">
        <v>1.25</v>
      </c>
      <c r="I1532">
        <v>2023</v>
      </c>
      <c r="J1532">
        <v>30</v>
      </c>
      <c r="K1532" s="7">
        <v>10</v>
      </c>
      <c r="M1532" t="s">
        <v>30</v>
      </c>
      <c r="O1532" t="s">
        <v>40</v>
      </c>
      <c r="P1532" t="s">
        <v>1150</v>
      </c>
      <c r="R1532" t="s">
        <v>922</v>
      </c>
      <c r="T1532" t="s">
        <v>54</v>
      </c>
      <c r="U1532" t="s">
        <v>92</v>
      </c>
      <c r="V1532">
        <v>1</v>
      </c>
      <c r="AB1532" t="s">
        <v>66</v>
      </c>
    </row>
    <row r="1533" spans="1:28" hidden="1" x14ac:dyDescent="0.2">
      <c r="A1533" s="3">
        <v>45253</v>
      </c>
      <c r="D1533" s="5">
        <v>0</v>
      </c>
      <c r="E1533">
        <v>-76.878</v>
      </c>
      <c r="F1533">
        <v>3.5853000000000002</v>
      </c>
      <c r="G1533">
        <v>559</v>
      </c>
      <c r="H1533" s="7">
        <v>1.25</v>
      </c>
      <c r="I1533">
        <v>2023</v>
      </c>
      <c r="J1533">
        <v>30</v>
      </c>
      <c r="K1533" s="7">
        <v>10</v>
      </c>
      <c r="M1533" t="s">
        <v>30</v>
      </c>
      <c r="O1533" t="s">
        <v>40</v>
      </c>
      <c r="P1533" t="s">
        <v>1150</v>
      </c>
      <c r="R1533" t="s">
        <v>922</v>
      </c>
      <c r="T1533" t="s">
        <v>54</v>
      </c>
      <c r="U1533" t="s">
        <v>92</v>
      </c>
      <c r="V1533">
        <v>1</v>
      </c>
      <c r="AB1533" t="s">
        <v>66</v>
      </c>
    </row>
    <row r="1534" spans="1:28" hidden="1" x14ac:dyDescent="0.2">
      <c r="A1534" s="3">
        <v>45253</v>
      </c>
      <c r="D1534" s="5">
        <v>0</v>
      </c>
      <c r="E1534">
        <v>-76.877799999999993</v>
      </c>
      <c r="F1534">
        <v>3.5851000000000002</v>
      </c>
      <c r="G1534">
        <v>559</v>
      </c>
      <c r="H1534" s="7">
        <v>1.25</v>
      </c>
      <c r="I1534">
        <v>2023</v>
      </c>
      <c r="J1534">
        <v>30</v>
      </c>
      <c r="K1534" s="7">
        <v>10</v>
      </c>
      <c r="M1534" t="s">
        <v>30</v>
      </c>
      <c r="O1534" t="s">
        <v>40</v>
      </c>
      <c r="P1534" t="s">
        <v>1150</v>
      </c>
      <c r="R1534" t="s">
        <v>922</v>
      </c>
      <c r="T1534" t="s">
        <v>54</v>
      </c>
      <c r="U1534" t="s">
        <v>178</v>
      </c>
      <c r="V1534">
        <v>1</v>
      </c>
      <c r="AB1534" t="s">
        <v>66</v>
      </c>
    </row>
    <row r="1535" spans="1:28" hidden="1" x14ac:dyDescent="0.2">
      <c r="A1535" s="3">
        <v>45251</v>
      </c>
      <c r="D1535" s="5">
        <v>0</v>
      </c>
      <c r="E1535">
        <v>-76.882999999999996</v>
      </c>
      <c r="F1535">
        <v>3.5525000000000002</v>
      </c>
      <c r="G1535">
        <v>575</v>
      </c>
      <c r="H1535" s="7" t="s">
        <v>918</v>
      </c>
      <c r="I1535">
        <v>2023</v>
      </c>
      <c r="J1535">
        <v>25</v>
      </c>
      <c r="K1535" s="7">
        <v>5</v>
      </c>
      <c r="M1535" t="s">
        <v>30</v>
      </c>
      <c r="O1535" t="s">
        <v>40</v>
      </c>
      <c r="P1535" t="s">
        <v>130</v>
      </c>
      <c r="R1535" t="s">
        <v>919</v>
      </c>
      <c r="S1535" t="s">
        <v>995</v>
      </c>
      <c r="T1535" t="s">
        <v>42</v>
      </c>
      <c r="U1535" t="s">
        <v>112</v>
      </c>
      <c r="V1535">
        <v>1</v>
      </c>
      <c r="Z1535" t="s">
        <v>1012</v>
      </c>
      <c r="AB1535" t="s">
        <v>1008</v>
      </c>
    </row>
    <row r="1536" spans="1:28" hidden="1" x14ac:dyDescent="0.2">
      <c r="A1536" s="3">
        <v>45251</v>
      </c>
      <c r="D1536" s="5">
        <v>0</v>
      </c>
      <c r="E1536">
        <v>-76.883099999999999</v>
      </c>
      <c r="F1536">
        <v>3.5525000000000002</v>
      </c>
      <c r="G1536">
        <v>575</v>
      </c>
      <c r="H1536" s="7" t="s">
        <v>918</v>
      </c>
      <c r="I1536">
        <v>2023</v>
      </c>
      <c r="J1536">
        <v>25</v>
      </c>
      <c r="K1536" s="7">
        <v>5</v>
      </c>
      <c r="M1536" t="s">
        <v>30</v>
      </c>
      <c r="O1536" t="s">
        <v>40</v>
      </c>
      <c r="P1536" t="s">
        <v>130</v>
      </c>
      <c r="R1536" t="s">
        <v>919</v>
      </c>
      <c r="S1536" t="s">
        <v>995</v>
      </c>
      <c r="T1536" t="s">
        <v>42</v>
      </c>
      <c r="U1536" t="s">
        <v>84</v>
      </c>
      <c r="V1536">
        <v>2</v>
      </c>
      <c r="Z1536" t="s">
        <v>1012</v>
      </c>
      <c r="AB1536" t="s">
        <v>1008</v>
      </c>
    </row>
    <row r="1537" spans="1:28" hidden="1" x14ac:dyDescent="0.2">
      <c r="A1537" s="3">
        <v>45252</v>
      </c>
      <c r="D1537" s="5">
        <v>0</v>
      </c>
      <c r="E1537">
        <v>-76.880417850000001</v>
      </c>
      <c r="F1537">
        <v>3.576938942</v>
      </c>
      <c r="H1537" s="7" t="s">
        <v>918</v>
      </c>
      <c r="I1537">
        <v>2023</v>
      </c>
      <c r="J1537">
        <v>21</v>
      </c>
      <c r="K1537" s="7">
        <v>5</v>
      </c>
      <c r="M1537" t="s">
        <v>30</v>
      </c>
      <c r="O1537" t="s">
        <v>32</v>
      </c>
      <c r="P1537" t="s">
        <v>98</v>
      </c>
      <c r="U1537" t="s">
        <v>36</v>
      </c>
      <c r="V1537">
        <v>0</v>
      </c>
    </row>
    <row r="1538" spans="1:28" hidden="1" x14ac:dyDescent="0.2">
      <c r="A1538" s="3">
        <v>45251</v>
      </c>
      <c r="D1538" s="5">
        <v>0</v>
      </c>
      <c r="E1538">
        <v>-76.878</v>
      </c>
      <c r="F1538">
        <v>3.5436999999999999</v>
      </c>
      <c r="G1538">
        <v>583</v>
      </c>
      <c r="H1538" s="7" t="s">
        <v>918</v>
      </c>
      <c r="I1538">
        <v>2023</v>
      </c>
      <c r="J1538">
        <v>20</v>
      </c>
      <c r="K1538" s="7">
        <v>19</v>
      </c>
      <c r="M1538" t="s">
        <v>30</v>
      </c>
      <c r="O1538" t="s">
        <v>38</v>
      </c>
      <c r="P1538" t="s">
        <v>111</v>
      </c>
      <c r="R1538" t="s">
        <v>921</v>
      </c>
      <c r="S1538" t="s">
        <v>1004</v>
      </c>
      <c r="T1538" t="s">
        <v>91</v>
      </c>
      <c r="U1538" t="s">
        <v>75</v>
      </c>
      <c r="V1538">
        <v>1</v>
      </c>
      <c r="Z1538" t="s">
        <v>1012</v>
      </c>
      <c r="AB1538" t="s">
        <v>1008</v>
      </c>
    </row>
    <row r="1539" spans="1:28" hidden="1" x14ac:dyDescent="0.2">
      <c r="A1539" s="3">
        <v>45251</v>
      </c>
      <c r="D1539" s="5">
        <v>0</v>
      </c>
      <c r="E1539">
        <v>-76.87778788</v>
      </c>
      <c r="F1539">
        <v>3.5435525459999999</v>
      </c>
      <c r="G1539">
        <v>583</v>
      </c>
      <c r="H1539" s="7" t="s">
        <v>918</v>
      </c>
      <c r="I1539">
        <v>2023</v>
      </c>
      <c r="J1539">
        <v>20</v>
      </c>
      <c r="K1539" s="7">
        <v>19</v>
      </c>
      <c r="M1539" t="s">
        <v>30</v>
      </c>
      <c r="O1539" t="s">
        <v>38</v>
      </c>
      <c r="P1539" t="s">
        <v>111</v>
      </c>
      <c r="R1539" t="s">
        <v>922</v>
      </c>
      <c r="S1539" t="s">
        <v>1004</v>
      </c>
      <c r="T1539" t="s">
        <v>42</v>
      </c>
      <c r="U1539" t="s">
        <v>84</v>
      </c>
      <c r="V1539">
        <v>1</v>
      </c>
      <c r="Z1539" t="s">
        <v>1012</v>
      </c>
      <c r="AB1539" t="s">
        <v>66</v>
      </c>
    </row>
    <row r="1540" spans="1:28" hidden="1" x14ac:dyDescent="0.2">
      <c r="A1540" s="3">
        <v>45251</v>
      </c>
      <c r="D1540" s="5">
        <v>0</v>
      </c>
      <c r="E1540">
        <v>-76.877700000000004</v>
      </c>
      <c r="F1540">
        <v>3.5434000000000001</v>
      </c>
      <c r="G1540">
        <v>583</v>
      </c>
      <c r="H1540" s="7" t="s">
        <v>918</v>
      </c>
      <c r="I1540">
        <v>2023</v>
      </c>
      <c r="J1540">
        <v>20</v>
      </c>
      <c r="K1540" s="7">
        <v>19</v>
      </c>
      <c r="M1540" t="s">
        <v>30</v>
      </c>
      <c r="O1540" t="s">
        <v>38</v>
      </c>
      <c r="P1540" t="s">
        <v>111</v>
      </c>
      <c r="R1540" t="s">
        <v>922</v>
      </c>
      <c r="S1540" t="s">
        <v>1004</v>
      </c>
      <c r="T1540" t="s">
        <v>54</v>
      </c>
      <c r="U1540" t="s">
        <v>75</v>
      </c>
      <c r="V1540">
        <v>2</v>
      </c>
      <c r="AB1540" t="s">
        <v>66</v>
      </c>
    </row>
    <row r="1541" spans="1:28" hidden="1" x14ac:dyDescent="0.2">
      <c r="A1541" s="3">
        <v>45254</v>
      </c>
      <c r="D1541" s="5">
        <v>0</v>
      </c>
      <c r="E1541">
        <v>-76.890600000000006</v>
      </c>
      <c r="F1541">
        <v>3.5508999999999999</v>
      </c>
      <c r="G1541">
        <v>648</v>
      </c>
      <c r="H1541" s="7">
        <v>7</v>
      </c>
      <c r="I1541">
        <v>2023</v>
      </c>
      <c r="J1541">
        <v>15</v>
      </c>
      <c r="K1541" s="7">
        <v>7.5</v>
      </c>
      <c r="M1541" t="s">
        <v>30</v>
      </c>
      <c r="O1541" t="s">
        <v>32</v>
      </c>
      <c r="P1541" t="s">
        <v>119</v>
      </c>
      <c r="R1541" t="s">
        <v>922</v>
      </c>
      <c r="T1541" t="s">
        <v>42</v>
      </c>
      <c r="U1541" t="s">
        <v>112</v>
      </c>
      <c r="V1541">
        <v>5</v>
      </c>
      <c r="AB1541" t="s">
        <v>1008</v>
      </c>
    </row>
    <row r="1542" spans="1:28" hidden="1" x14ac:dyDescent="0.2">
      <c r="A1542" s="3">
        <v>45254</v>
      </c>
      <c r="D1542" s="5">
        <v>0</v>
      </c>
      <c r="E1542">
        <v>-76.882616670000004</v>
      </c>
      <c r="F1542">
        <v>3.5526783329999998</v>
      </c>
      <c r="H1542" s="7" t="s">
        <v>918</v>
      </c>
      <c r="I1542">
        <v>2023</v>
      </c>
      <c r="J1542">
        <v>30</v>
      </c>
      <c r="K1542" s="7">
        <v>5</v>
      </c>
      <c r="M1542" t="s">
        <v>30</v>
      </c>
      <c r="O1542" t="s">
        <v>38</v>
      </c>
      <c r="P1542" t="s">
        <v>130</v>
      </c>
      <c r="U1542" t="s">
        <v>36</v>
      </c>
      <c r="V1542">
        <v>0</v>
      </c>
      <c r="Z1542" t="s">
        <v>1012</v>
      </c>
    </row>
    <row r="1543" spans="1:28" hidden="1" x14ac:dyDescent="0.2">
      <c r="A1543" s="3">
        <v>45245</v>
      </c>
      <c r="D1543" s="5">
        <v>0</v>
      </c>
      <c r="E1543">
        <v>-76.644931700000001</v>
      </c>
      <c r="F1543">
        <v>3.3497404639999999</v>
      </c>
      <c r="G1543">
        <v>2478</v>
      </c>
      <c r="H1543" s="7" t="s">
        <v>918</v>
      </c>
      <c r="I1543">
        <v>2023</v>
      </c>
      <c r="J1543">
        <v>10</v>
      </c>
      <c r="K1543" s="7">
        <v>25</v>
      </c>
      <c r="M1543" t="s">
        <v>624</v>
      </c>
      <c r="O1543" t="s">
        <v>47</v>
      </c>
      <c r="P1543" t="s">
        <v>643</v>
      </c>
      <c r="R1543" t="s">
        <v>919</v>
      </c>
      <c r="S1543" t="s">
        <v>1004</v>
      </c>
      <c r="T1543" t="s">
        <v>42</v>
      </c>
      <c r="U1543" t="s">
        <v>252</v>
      </c>
      <c r="V1543">
        <v>1</v>
      </c>
      <c r="Z1543" t="s">
        <v>1014</v>
      </c>
      <c r="AB1543" t="s">
        <v>1008</v>
      </c>
    </row>
    <row r="1544" spans="1:28" hidden="1" x14ac:dyDescent="0.2">
      <c r="A1544" s="3">
        <v>45251</v>
      </c>
      <c r="D1544" s="5">
        <v>0</v>
      </c>
      <c r="E1544">
        <v>-76.889899999999997</v>
      </c>
      <c r="F1544">
        <v>3.5508898100000001</v>
      </c>
      <c r="H1544" s="7" t="s">
        <v>918</v>
      </c>
      <c r="I1544">
        <v>2023</v>
      </c>
      <c r="J1544">
        <v>27.5</v>
      </c>
      <c r="K1544" s="7">
        <v>12.5</v>
      </c>
      <c r="M1544" t="s">
        <v>30</v>
      </c>
      <c r="O1544" t="s">
        <v>38</v>
      </c>
      <c r="P1544" t="s">
        <v>119</v>
      </c>
      <c r="R1544" t="s">
        <v>921</v>
      </c>
      <c r="S1544" t="s">
        <v>1004</v>
      </c>
      <c r="T1544" t="s">
        <v>42</v>
      </c>
      <c r="U1544" t="s">
        <v>943</v>
      </c>
      <c r="V1544">
        <v>1</v>
      </c>
      <c r="AB1544" t="s">
        <v>66</v>
      </c>
    </row>
    <row r="1545" spans="1:28" hidden="1" x14ac:dyDescent="0.2">
      <c r="A1545" s="3">
        <v>45251</v>
      </c>
      <c r="D1545" s="5">
        <v>0</v>
      </c>
      <c r="E1545">
        <v>-76.88966053</v>
      </c>
      <c r="F1545">
        <v>3.5508898100000001</v>
      </c>
      <c r="H1545" s="7" t="s">
        <v>918</v>
      </c>
      <c r="I1545">
        <v>2023</v>
      </c>
      <c r="J1545">
        <v>27.5</v>
      </c>
      <c r="K1545" s="7">
        <v>12.5</v>
      </c>
      <c r="M1545" t="s">
        <v>30</v>
      </c>
      <c r="O1545" t="s">
        <v>38</v>
      </c>
      <c r="P1545" t="s">
        <v>119</v>
      </c>
      <c r="R1545" t="s">
        <v>921</v>
      </c>
      <c r="S1545" t="s">
        <v>1004</v>
      </c>
      <c r="T1545" t="s">
        <v>42</v>
      </c>
      <c r="U1545" t="s">
        <v>939</v>
      </c>
      <c r="V1545">
        <v>1</v>
      </c>
      <c r="AB1545" t="s">
        <v>66</v>
      </c>
    </row>
    <row r="1546" spans="1:28" hidden="1" x14ac:dyDescent="0.2">
      <c r="A1546" s="3">
        <v>45245</v>
      </c>
      <c r="D1546" s="5">
        <v>0.90979166666666667</v>
      </c>
      <c r="E1546">
        <v>-76.643799999999999</v>
      </c>
      <c r="F1546">
        <v>3.3499500000000002</v>
      </c>
      <c r="G1546">
        <v>2346</v>
      </c>
      <c r="H1546" s="7" t="s">
        <v>918</v>
      </c>
      <c r="I1546">
        <v>2023</v>
      </c>
      <c r="J1546">
        <v>19</v>
      </c>
      <c r="K1546" s="7">
        <v>11</v>
      </c>
      <c r="M1546" t="s">
        <v>624</v>
      </c>
      <c r="O1546" t="s">
        <v>32</v>
      </c>
      <c r="P1546" t="s">
        <v>625</v>
      </c>
      <c r="R1546" t="s">
        <v>919</v>
      </c>
      <c r="S1546" t="s">
        <v>946</v>
      </c>
      <c r="T1546" t="s">
        <v>54</v>
      </c>
      <c r="U1546" t="s">
        <v>238</v>
      </c>
      <c r="V1546">
        <v>1</v>
      </c>
      <c r="AB1546" t="s">
        <v>1008</v>
      </c>
    </row>
    <row r="1547" spans="1:28" hidden="1" x14ac:dyDescent="0.2">
      <c r="A1547" s="3">
        <v>45245</v>
      </c>
      <c r="D1547" s="5">
        <v>0.90979166666666667</v>
      </c>
      <c r="E1547">
        <v>-76.644400000000005</v>
      </c>
      <c r="F1547">
        <v>3.3498000000000001</v>
      </c>
      <c r="G1547">
        <v>2346</v>
      </c>
      <c r="H1547" s="7" t="s">
        <v>918</v>
      </c>
      <c r="I1547">
        <v>2023</v>
      </c>
      <c r="J1547">
        <v>19</v>
      </c>
      <c r="K1547" s="7">
        <v>11</v>
      </c>
      <c r="M1547" t="s">
        <v>624</v>
      </c>
      <c r="O1547" t="s">
        <v>32</v>
      </c>
      <c r="P1547" t="s">
        <v>625</v>
      </c>
      <c r="R1547" t="s">
        <v>919</v>
      </c>
      <c r="S1547" t="s">
        <v>1004</v>
      </c>
      <c r="T1547" t="s">
        <v>91</v>
      </c>
      <c r="U1547" t="s">
        <v>238</v>
      </c>
      <c r="V1547">
        <v>1</v>
      </c>
      <c r="AB1547" t="s">
        <v>1008</v>
      </c>
    </row>
    <row r="1548" spans="1:28" hidden="1" x14ac:dyDescent="0.2">
      <c r="A1548" s="3">
        <v>45245</v>
      </c>
      <c r="D1548" s="5">
        <v>0.90979166666666667</v>
      </c>
      <c r="E1548">
        <v>-76.643949599999999</v>
      </c>
      <c r="F1548">
        <v>3.349535135</v>
      </c>
      <c r="G1548">
        <v>2346</v>
      </c>
      <c r="H1548" s="7" t="s">
        <v>918</v>
      </c>
      <c r="I1548">
        <v>2023</v>
      </c>
      <c r="J1548">
        <v>19</v>
      </c>
      <c r="K1548" s="7">
        <v>11</v>
      </c>
      <c r="M1548" t="s">
        <v>624</v>
      </c>
      <c r="O1548" t="s">
        <v>32</v>
      </c>
      <c r="P1548" t="s">
        <v>625</v>
      </c>
      <c r="R1548" t="s">
        <v>919</v>
      </c>
      <c r="S1548" t="s">
        <v>1004</v>
      </c>
      <c r="T1548" t="s">
        <v>54</v>
      </c>
      <c r="U1548" t="s">
        <v>929</v>
      </c>
      <c r="V1548">
        <v>1</v>
      </c>
      <c r="AB1548" t="s">
        <v>1008</v>
      </c>
    </row>
    <row r="1549" spans="1:28" hidden="1" x14ac:dyDescent="0.2">
      <c r="A1549" s="3">
        <v>45245</v>
      </c>
      <c r="D1549" s="5">
        <v>0.90979166666666667</v>
      </c>
      <c r="E1549">
        <v>-76.644099999999995</v>
      </c>
      <c r="F1549">
        <v>3.3496999999999999</v>
      </c>
      <c r="G1549">
        <v>2346</v>
      </c>
      <c r="H1549" s="7" t="s">
        <v>918</v>
      </c>
      <c r="I1549">
        <v>2023</v>
      </c>
      <c r="J1549">
        <v>19</v>
      </c>
      <c r="K1549" s="7">
        <v>11</v>
      </c>
      <c r="M1549" t="s">
        <v>624</v>
      </c>
      <c r="O1549" t="s">
        <v>32</v>
      </c>
      <c r="P1549" t="s">
        <v>625</v>
      </c>
      <c r="R1549" t="s">
        <v>919</v>
      </c>
      <c r="S1549" t="s">
        <v>946</v>
      </c>
      <c r="T1549" t="s">
        <v>54</v>
      </c>
      <c r="U1549" t="s">
        <v>238</v>
      </c>
      <c r="V1549">
        <v>2</v>
      </c>
      <c r="Z1549" t="s">
        <v>1014</v>
      </c>
      <c r="AB1549" t="s">
        <v>1008</v>
      </c>
    </row>
    <row r="1550" spans="1:28" hidden="1" x14ac:dyDescent="0.2">
      <c r="A1550" s="3">
        <v>45245</v>
      </c>
      <c r="D1550" s="5">
        <v>0.90979166666666667</v>
      </c>
      <c r="E1550">
        <v>-76.643799999999999</v>
      </c>
      <c r="F1550">
        <v>3.3498999999999999</v>
      </c>
      <c r="G1550">
        <v>2346</v>
      </c>
      <c r="H1550" s="7" t="s">
        <v>918</v>
      </c>
      <c r="I1550">
        <v>2023</v>
      </c>
      <c r="J1550">
        <v>19</v>
      </c>
      <c r="K1550" s="7">
        <v>11</v>
      </c>
      <c r="M1550" t="s">
        <v>624</v>
      </c>
      <c r="O1550" t="s">
        <v>32</v>
      </c>
      <c r="P1550" t="s">
        <v>625</v>
      </c>
      <c r="R1550" t="s">
        <v>919</v>
      </c>
      <c r="S1550" t="s">
        <v>946</v>
      </c>
      <c r="T1550" t="s">
        <v>54</v>
      </c>
      <c r="U1550" t="s">
        <v>238</v>
      </c>
      <c r="V1550">
        <v>1</v>
      </c>
      <c r="AB1550" t="s">
        <v>1008</v>
      </c>
    </row>
    <row r="1551" spans="1:28" hidden="1" x14ac:dyDescent="0.2">
      <c r="A1551" s="3">
        <v>45245</v>
      </c>
      <c r="D1551" s="5">
        <v>0.90979166666666667</v>
      </c>
      <c r="E1551">
        <v>-76.643500000000003</v>
      </c>
      <c r="F1551">
        <v>3.3498000000000001</v>
      </c>
      <c r="G1551">
        <v>2346</v>
      </c>
      <c r="H1551" s="7" t="s">
        <v>918</v>
      </c>
      <c r="I1551">
        <v>2023</v>
      </c>
      <c r="J1551">
        <v>19</v>
      </c>
      <c r="K1551" s="7">
        <v>11</v>
      </c>
      <c r="M1551" t="s">
        <v>624</v>
      </c>
      <c r="O1551" t="s">
        <v>32</v>
      </c>
      <c r="P1551" t="s">
        <v>625</v>
      </c>
      <c r="R1551" t="s">
        <v>919</v>
      </c>
      <c r="S1551" t="s">
        <v>1004</v>
      </c>
      <c r="T1551" t="s">
        <v>54</v>
      </c>
      <c r="U1551" t="s">
        <v>238</v>
      </c>
      <c r="V1551">
        <v>1</v>
      </c>
      <c r="Z1551" t="s">
        <v>1014</v>
      </c>
      <c r="AB1551" t="s">
        <v>1008</v>
      </c>
    </row>
    <row r="1552" spans="1:28" hidden="1" x14ac:dyDescent="0.2">
      <c r="A1552" s="3">
        <v>45245</v>
      </c>
      <c r="D1552" s="5">
        <v>0.90979166666666667</v>
      </c>
      <c r="E1552">
        <v>-76.644300000000001</v>
      </c>
      <c r="F1552">
        <v>3.3496999999999999</v>
      </c>
      <c r="G1552">
        <v>2346</v>
      </c>
      <c r="H1552" s="7" t="s">
        <v>918</v>
      </c>
      <c r="I1552">
        <v>2023</v>
      </c>
      <c r="J1552">
        <v>19</v>
      </c>
      <c r="K1552" s="7">
        <v>11</v>
      </c>
      <c r="M1552" t="s">
        <v>624</v>
      </c>
      <c r="O1552" t="s">
        <v>32</v>
      </c>
      <c r="P1552" t="s">
        <v>625</v>
      </c>
      <c r="R1552" t="s">
        <v>919</v>
      </c>
      <c r="S1552" t="s">
        <v>1004</v>
      </c>
      <c r="T1552" t="s">
        <v>54</v>
      </c>
      <c r="U1552" t="s">
        <v>929</v>
      </c>
      <c r="V1552">
        <v>1</v>
      </c>
      <c r="AB1552" t="s">
        <v>1008</v>
      </c>
    </row>
    <row r="1553" spans="1:28" hidden="1" x14ac:dyDescent="0.2">
      <c r="A1553" s="3">
        <v>45253</v>
      </c>
      <c r="D1553" s="5">
        <v>0.38891203703703703</v>
      </c>
      <c r="E1553">
        <v>-76.891800000000003</v>
      </c>
      <c r="F1553">
        <v>3.5952000000000002</v>
      </c>
      <c r="H1553" s="7" t="s">
        <v>918</v>
      </c>
      <c r="I1553">
        <v>2023</v>
      </c>
      <c r="J1553">
        <v>28</v>
      </c>
      <c r="K1553" s="7">
        <v>17.5</v>
      </c>
      <c r="M1553" t="s">
        <v>30</v>
      </c>
      <c r="O1553" t="s">
        <v>38</v>
      </c>
      <c r="P1553" t="s">
        <v>33</v>
      </c>
      <c r="U1553" t="s">
        <v>36</v>
      </c>
      <c r="V1553">
        <v>0</v>
      </c>
    </row>
    <row r="1554" spans="1:28" hidden="1" x14ac:dyDescent="0.2">
      <c r="A1554" s="3">
        <v>45253</v>
      </c>
      <c r="D1554" s="5">
        <v>0</v>
      </c>
      <c r="E1554">
        <v>-76.883001669999999</v>
      </c>
      <c r="F1554">
        <v>3.5908666669999998</v>
      </c>
      <c r="H1554" s="7">
        <v>0.75</v>
      </c>
      <c r="I1554">
        <v>2023</v>
      </c>
      <c r="J1554">
        <v>22.5</v>
      </c>
      <c r="K1554" s="7">
        <v>45</v>
      </c>
      <c r="M1554" t="s">
        <v>30</v>
      </c>
      <c r="O1554" t="s">
        <v>32</v>
      </c>
      <c r="P1554" t="s">
        <v>52</v>
      </c>
      <c r="U1554" t="s">
        <v>36</v>
      </c>
      <c r="V1554">
        <v>0</v>
      </c>
    </row>
    <row r="1555" spans="1:28" hidden="1" x14ac:dyDescent="0.2">
      <c r="A1555" s="3">
        <v>45252</v>
      </c>
      <c r="D1555" s="5">
        <v>0</v>
      </c>
      <c r="E1555">
        <v>-76.880713290000003</v>
      </c>
      <c r="F1555">
        <v>3.5779644660000001</v>
      </c>
      <c r="G1555">
        <v>733</v>
      </c>
      <c r="H1555" s="7" t="s">
        <v>918</v>
      </c>
      <c r="I1555">
        <v>2023</v>
      </c>
      <c r="J1555">
        <v>27.5</v>
      </c>
      <c r="K1555" s="7">
        <v>47.5</v>
      </c>
      <c r="M1555" t="s">
        <v>30</v>
      </c>
      <c r="O1555" t="s">
        <v>40</v>
      </c>
      <c r="P1555" t="s">
        <v>98</v>
      </c>
      <c r="R1555" t="s">
        <v>921</v>
      </c>
      <c r="T1555" t="s">
        <v>42</v>
      </c>
      <c r="U1555" t="s">
        <v>943</v>
      </c>
      <c r="V1555">
        <v>1</v>
      </c>
      <c r="AB1555" t="s">
        <v>66</v>
      </c>
    </row>
    <row r="1556" spans="1:28" hidden="1" x14ac:dyDescent="0.2">
      <c r="A1556" s="3">
        <v>45252</v>
      </c>
      <c r="D1556" s="5">
        <v>0</v>
      </c>
      <c r="E1556">
        <v>-76.880713290000003</v>
      </c>
      <c r="F1556">
        <v>3.5779644660000001</v>
      </c>
      <c r="G1556">
        <v>730</v>
      </c>
      <c r="H1556" s="7" t="s">
        <v>918</v>
      </c>
      <c r="I1556">
        <v>2023</v>
      </c>
      <c r="J1556">
        <v>27.5</v>
      </c>
      <c r="K1556" s="7">
        <v>47.5</v>
      </c>
      <c r="M1556" t="s">
        <v>30</v>
      </c>
      <c r="O1556" t="s">
        <v>40</v>
      </c>
      <c r="P1556" t="s">
        <v>98</v>
      </c>
      <c r="R1556" t="s">
        <v>921</v>
      </c>
      <c r="T1556" t="s">
        <v>54</v>
      </c>
      <c r="U1556" t="s">
        <v>944</v>
      </c>
      <c r="V1556">
        <v>1</v>
      </c>
      <c r="AB1556" t="s">
        <v>1008</v>
      </c>
    </row>
    <row r="1557" spans="1:28" hidden="1" x14ac:dyDescent="0.2">
      <c r="A1557" s="3">
        <v>45252</v>
      </c>
      <c r="D1557" s="5">
        <v>0</v>
      </c>
      <c r="E1557">
        <v>-76.880713290000003</v>
      </c>
      <c r="F1557">
        <v>3.5779644660000001</v>
      </c>
      <c r="G1557">
        <v>733</v>
      </c>
      <c r="H1557" s="7" t="s">
        <v>918</v>
      </c>
      <c r="I1557">
        <v>2023</v>
      </c>
      <c r="J1557">
        <v>27.5</v>
      </c>
      <c r="K1557" s="7">
        <v>47.5</v>
      </c>
      <c r="M1557" t="s">
        <v>30</v>
      </c>
      <c r="O1557" t="s">
        <v>40</v>
      </c>
      <c r="P1557" t="s">
        <v>98</v>
      </c>
      <c r="R1557" t="s">
        <v>921</v>
      </c>
      <c r="T1557" t="s">
        <v>42</v>
      </c>
      <c r="U1557" t="s">
        <v>116</v>
      </c>
      <c r="V1557">
        <v>2</v>
      </c>
      <c r="AB1557" t="s">
        <v>66</v>
      </c>
    </row>
    <row r="1558" spans="1:28" hidden="1" x14ac:dyDescent="0.2">
      <c r="A1558" s="3">
        <v>45246</v>
      </c>
      <c r="D1558" s="5">
        <v>0.81497685185185187</v>
      </c>
      <c r="E1558">
        <v>-76.653145050000006</v>
      </c>
      <c r="F1558">
        <v>3.3532003420000001</v>
      </c>
      <c r="G1558">
        <v>2606</v>
      </c>
      <c r="H1558" s="7" t="s">
        <v>918</v>
      </c>
      <c r="I1558">
        <v>2023</v>
      </c>
      <c r="J1558">
        <v>22.5</v>
      </c>
      <c r="K1558" s="7">
        <v>27.5</v>
      </c>
      <c r="M1558" t="s">
        <v>624</v>
      </c>
      <c r="O1558" t="s">
        <v>58</v>
      </c>
      <c r="P1558" t="s">
        <v>690</v>
      </c>
      <c r="R1558" t="s">
        <v>919</v>
      </c>
      <c r="S1558" t="s">
        <v>1004</v>
      </c>
      <c r="T1558" t="s">
        <v>54</v>
      </c>
      <c r="U1558" t="s">
        <v>371</v>
      </c>
      <c r="V1558">
        <v>1</v>
      </c>
      <c r="AB1558" t="s">
        <v>1008</v>
      </c>
    </row>
    <row r="1559" spans="1:28" hidden="1" x14ac:dyDescent="0.2">
      <c r="A1559" s="3">
        <v>45246</v>
      </c>
      <c r="D1559" s="5">
        <v>0.81497685185185187</v>
      </c>
      <c r="E1559">
        <v>-76.653400000000005</v>
      </c>
      <c r="F1559">
        <v>3.3534000000000002</v>
      </c>
      <c r="G1559">
        <v>2606</v>
      </c>
      <c r="H1559" s="7" t="s">
        <v>918</v>
      </c>
      <c r="I1559">
        <v>2023</v>
      </c>
      <c r="J1559">
        <v>22.5</v>
      </c>
      <c r="K1559" s="7">
        <v>27.5</v>
      </c>
      <c r="M1559" t="s">
        <v>624</v>
      </c>
      <c r="O1559" t="s">
        <v>58</v>
      </c>
      <c r="P1559" t="s">
        <v>690</v>
      </c>
      <c r="R1559" t="s">
        <v>919</v>
      </c>
      <c r="S1559" t="s">
        <v>946</v>
      </c>
      <c r="T1559" t="s">
        <v>54</v>
      </c>
      <c r="U1559" t="s">
        <v>371</v>
      </c>
      <c r="V1559">
        <v>3</v>
      </c>
      <c r="AB1559" t="s">
        <v>1008</v>
      </c>
    </row>
    <row r="1560" spans="1:28" hidden="1" x14ac:dyDescent="0.2">
      <c r="A1560" s="3">
        <v>45252</v>
      </c>
      <c r="D1560" s="5">
        <v>0</v>
      </c>
      <c r="E1560">
        <v>-76.880713290000003</v>
      </c>
      <c r="F1560">
        <v>3.5779644660000001</v>
      </c>
      <c r="G1560">
        <v>727</v>
      </c>
      <c r="H1560" s="7" t="s">
        <v>918</v>
      </c>
      <c r="I1560">
        <v>2023</v>
      </c>
      <c r="J1560">
        <v>23.5</v>
      </c>
      <c r="K1560" s="7">
        <v>5</v>
      </c>
      <c r="M1560" t="s">
        <v>30</v>
      </c>
      <c r="O1560" t="s">
        <v>38</v>
      </c>
      <c r="P1560" t="s">
        <v>98</v>
      </c>
      <c r="R1560" t="s">
        <v>921</v>
      </c>
      <c r="T1560" t="s">
        <v>54</v>
      </c>
      <c r="U1560" t="s">
        <v>178</v>
      </c>
      <c r="V1560">
        <v>1</v>
      </c>
      <c r="AB1560" t="s">
        <v>1008</v>
      </c>
    </row>
    <row r="1561" spans="1:28" hidden="1" x14ac:dyDescent="0.2">
      <c r="A1561" s="3">
        <v>45245</v>
      </c>
      <c r="D1561" s="5">
        <v>0.86803240740740739</v>
      </c>
      <c r="E1561">
        <v>-76.641800000000003</v>
      </c>
      <c r="F1561">
        <v>3.3496999999999999</v>
      </c>
      <c r="G1561">
        <v>2346</v>
      </c>
      <c r="H1561" s="7" t="s">
        <v>918</v>
      </c>
      <c r="I1561">
        <v>2023</v>
      </c>
      <c r="J1561">
        <v>17.5</v>
      </c>
      <c r="K1561" s="7">
        <v>23.5</v>
      </c>
      <c r="M1561" t="s">
        <v>624</v>
      </c>
      <c r="O1561" t="s">
        <v>32</v>
      </c>
      <c r="P1561" t="s">
        <v>734</v>
      </c>
      <c r="R1561" t="s">
        <v>919</v>
      </c>
      <c r="S1561" t="s">
        <v>946</v>
      </c>
      <c r="T1561" t="s">
        <v>54</v>
      </c>
      <c r="U1561" t="s">
        <v>371</v>
      </c>
      <c r="V1561">
        <v>1</v>
      </c>
      <c r="AB1561" t="s">
        <v>1008</v>
      </c>
    </row>
    <row r="1562" spans="1:28" hidden="1" x14ac:dyDescent="0.2">
      <c r="A1562" s="3">
        <v>45245</v>
      </c>
      <c r="D1562" s="5">
        <v>0.86803240740740739</v>
      </c>
      <c r="E1562">
        <v>-76.641499999999994</v>
      </c>
      <c r="F1562">
        <v>3.3498000000000001</v>
      </c>
      <c r="G1562">
        <v>2346</v>
      </c>
      <c r="H1562" s="7" t="s">
        <v>918</v>
      </c>
      <c r="I1562">
        <v>2023</v>
      </c>
      <c r="J1562">
        <v>17.5</v>
      </c>
      <c r="K1562" s="7">
        <v>23.5</v>
      </c>
      <c r="M1562" t="s">
        <v>624</v>
      </c>
      <c r="O1562" t="s">
        <v>32</v>
      </c>
      <c r="P1562" t="s">
        <v>734</v>
      </c>
      <c r="R1562" t="s">
        <v>919</v>
      </c>
      <c r="S1562" t="s">
        <v>946</v>
      </c>
      <c r="T1562" t="s">
        <v>54</v>
      </c>
      <c r="U1562" t="s">
        <v>238</v>
      </c>
      <c r="V1562">
        <v>1</v>
      </c>
      <c r="Z1562" t="s">
        <v>1014</v>
      </c>
      <c r="AB1562" t="s">
        <v>1008</v>
      </c>
    </row>
    <row r="1563" spans="1:28" hidden="1" x14ac:dyDescent="0.2">
      <c r="A1563" s="3">
        <v>45245</v>
      </c>
      <c r="D1563" s="5">
        <v>0.86803240740740739</v>
      </c>
      <c r="E1563">
        <v>-76.641599999999997</v>
      </c>
      <c r="F1563">
        <v>3.3498000000000001</v>
      </c>
      <c r="G1563">
        <v>2346</v>
      </c>
      <c r="H1563" s="7" t="s">
        <v>918</v>
      </c>
      <c r="I1563">
        <v>2023</v>
      </c>
      <c r="J1563">
        <v>17.5</v>
      </c>
      <c r="K1563" s="7">
        <v>23.5</v>
      </c>
      <c r="M1563" t="s">
        <v>624</v>
      </c>
      <c r="O1563" t="s">
        <v>32</v>
      </c>
      <c r="P1563" t="s">
        <v>734</v>
      </c>
      <c r="R1563" t="s">
        <v>919</v>
      </c>
      <c r="S1563" t="s">
        <v>1004</v>
      </c>
      <c r="T1563" t="s">
        <v>54</v>
      </c>
      <c r="U1563" t="s">
        <v>371</v>
      </c>
      <c r="V1563">
        <v>1</v>
      </c>
      <c r="AB1563" t="s">
        <v>1008</v>
      </c>
    </row>
    <row r="1564" spans="1:28" hidden="1" x14ac:dyDescent="0.2">
      <c r="A1564" s="3">
        <v>45245</v>
      </c>
      <c r="D1564" s="5">
        <v>0.86803240740740739</v>
      </c>
      <c r="E1564">
        <v>-76.641594449999999</v>
      </c>
      <c r="F1564">
        <v>3.3496971289999999</v>
      </c>
      <c r="G1564">
        <v>2346</v>
      </c>
      <c r="H1564" s="7" t="s">
        <v>918</v>
      </c>
      <c r="I1564">
        <v>2023</v>
      </c>
      <c r="J1564">
        <v>17.5</v>
      </c>
      <c r="K1564" s="7">
        <v>23.5</v>
      </c>
      <c r="M1564" t="s">
        <v>624</v>
      </c>
      <c r="O1564" t="s">
        <v>32</v>
      </c>
      <c r="P1564" t="s">
        <v>734</v>
      </c>
      <c r="R1564" t="s">
        <v>919</v>
      </c>
      <c r="S1564" t="s">
        <v>1004</v>
      </c>
      <c r="U1564" t="s">
        <v>371</v>
      </c>
      <c r="V1564">
        <v>2</v>
      </c>
      <c r="Z1564" t="s">
        <v>1014</v>
      </c>
      <c r="AB1564" t="s">
        <v>66</v>
      </c>
    </row>
    <row r="1565" spans="1:28" hidden="1" x14ac:dyDescent="0.2">
      <c r="A1565" s="3">
        <v>45245</v>
      </c>
      <c r="D1565" s="5">
        <v>0.86803240740740739</v>
      </c>
      <c r="E1565">
        <v>-76.6417</v>
      </c>
      <c r="F1565">
        <v>3.3498000000000001</v>
      </c>
      <c r="G1565">
        <v>2346</v>
      </c>
      <c r="H1565" s="7" t="s">
        <v>918</v>
      </c>
      <c r="I1565">
        <v>2023</v>
      </c>
      <c r="J1565">
        <v>17.5</v>
      </c>
      <c r="K1565" s="7">
        <v>23.5</v>
      </c>
      <c r="M1565" t="s">
        <v>624</v>
      </c>
      <c r="O1565" t="s">
        <v>32</v>
      </c>
      <c r="P1565" t="s">
        <v>734</v>
      </c>
      <c r="R1565" t="s">
        <v>919</v>
      </c>
      <c r="S1565" t="s">
        <v>1004</v>
      </c>
      <c r="T1565" t="s">
        <v>54</v>
      </c>
      <c r="U1565" t="s">
        <v>238</v>
      </c>
      <c r="V1565">
        <v>1</v>
      </c>
      <c r="AB1565" t="s">
        <v>1008</v>
      </c>
    </row>
    <row r="1566" spans="1:28" hidden="1" x14ac:dyDescent="0.2">
      <c r="A1566" s="3">
        <v>45245</v>
      </c>
      <c r="D1566" s="5">
        <v>0.86803240740740739</v>
      </c>
      <c r="E1566">
        <v>-76.641999999999996</v>
      </c>
      <c r="F1566">
        <v>3.3496000000000001</v>
      </c>
      <c r="G1566">
        <v>2346</v>
      </c>
      <c r="H1566" s="7" t="s">
        <v>918</v>
      </c>
      <c r="I1566">
        <v>2023</v>
      </c>
      <c r="J1566">
        <v>17.5</v>
      </c>
      <c r="K1566" s="7">
        <v>23.5</v>
      </c>
      <c r="M1566" t="s">
        <v>624</v>
      </c>
      <c r="O1566" t="s">
        <v>32</v>
      </c>
      <c r="P1566" t="s">
        <v>734</v>
      </c>
      <c r="R1566" t="s">
        <v>919</v>
      </c>
      <c r="S1566" t="s">
        <v>1004</v>
      </c>
      <c r="T1566" t="s">
        <v>54</v>
      </c>
      <c r="U1566" t="s">
        <v>371</v>
      </c>
      <c r="V1566">
        <v>2</v>
      </c>
      <c r="AB1566" t="s">
        <v>66</v>
      </c>
    </row>
    <row r="1567" spans="1:28" hidden="1" x14ac:dyDescent="0.2">
      <c r="A1567" s="3">
        <v>45245</v>
      </c>
      <c r="D1567" s="5">
        <v>0.86803240740740739</v>
      </c>
      <c r="E1567">
        <v>-76.641400000000004</v>
      </c>
      <c r="F1567">
        <v>3.3498999999999999</v>
      </c>
      <c r="G1567">
        <v>2346</v>
      </c>
      <c r="H1567" s="7" t="s">
        <v>918</v>
      </c>
      <c r="I1567">
        <v>2023</v>
      </c>
      <c r="J1567">
        <v>17.5</v>
      </c>
      <c r="K1567" s="7">
        <v>23.5</v>
      </c>
      <c r="M1567" t="s">
        <v>624</v>
      </c>
      <c r="O1567" t="s">
        <v>32</v>
      </c>
      <c r="P1567" t="s">
        <v>734</v>
      </c>
      <c r="R1567" t="s">
        <v>919</v>
      </c>
      <c r="S1567" t="s">
        <v>946</v>
      </c>
      <c r="T1567" t="s">
        <v>54</v>
      </c>
      <c r="U1567" t="s">
        <v>238</v>
      </c>
      <c r="V1567">
        <v>1</v>
      </c>
      <c r="AB1567" t="s">
        <v>1008</v>
      </c>
    </row>
    <row r="1568" spans="1:28" hidden="1" x14ac:dyDescent="0.2">
      <c r="A1568" s="3">
        <v>45211</v>
      </c>
      <c r="D1568" s="5">
        <v>0.81469907407407405</v>
      </c>
      <c r="E1568">
        <v>-76.713885000000005</v>
      </c>
      <c r="F1568">
        <v>3.4876116669999999</v>
      </c>
      <c r="H1568" s="7" t="s">
        <v>918</v>
      </c>
      <c r="I1568">
        <v>2023</v>
      </c>
      <c r="J1568">
        <v>13.5</v>
      </c>
      <c r="K1568" s="7">
        <v>12</v>
      </c>
      <c r="M1568" t="s">
        <v>247</v>
      </c>
      <c r="O1568" t="s">
        <v>38</v>
      </c>
      <c r="P1568" t="s">
        <v>672</v>
      </c>
      <c r="R1568" t="s">
        <v>922</v>
      </c>
      <c r="S1568" t="s">
        <v>1004</v>
      </c>
      <c r="T1568" t="s">
        <v>504</v>
      </c>
      <c r="U1568" t="s">
        <v>68</v>
      </c>
      <c r="V1568">
        <v>5</v>
      </c>
      <c r="AB1568" t="s">
        <v>66</v>
      </c>
    </row>
    <row r="1569" spans="1:28" hidden="1" x14ac:dyDescent="0.2">
      <c r="A1569" s="3">
        <v>45211</v>
      </c>
      <c r="D1569" s="5">
        <v>0.81469907407407405</v>
      </c>
      <c r="E1569">
        <v>-76.713885000000005</v>
      </c>
      <c r="F1569">
        <v>3.4876116669999999</v>
      </c>
      <c r="G1569">
        <v>1816</v>
      </c>
      <c r="H1569" s="7" t="s">
        <v>918</v>
      </c>
      <c r="I1569">
        <v>2023</v>
      </c>
      <c r="J1569">
        <v>13.5</v>
      </c>
      <c r="K1569" s="7">
        <v>12</v>
      </c>
      <c r="M1569" t="s">
        <v>247</v>
      </c>
      <c r="O1569" t="s">
        <v>38</v>
      </c>
      <c r="P1569" t="s">
        <v>672</v>
      </c>
      <c r="R1569" t="s">
        <v>922</v>
      </c>
      <c r="S1569" t="s">
        <v>1004</v>
      </c>
      <c r="T1569" t="s">
        <v>54</v>
      </c>
      <c r="U1569" t="s">
        <v>88</v>
      </c>
      <c r="V1569">
        <v>1</v>
      </c>
      <c r="AB1569" t="s">
        <v>66</v>
      </c>
    </row>
    <row r="1570" spans="1:28" hidden="1" x14ac:dyDescent="0.2">
      <c r="A1570" s="3">
        <v>45211</v>
      </c>
      <c r="D1570" s="5">
        <v>0.81469907407407405</v>
      </c>
      <c r="E1570">
        <v>-76.713885000000005</v>
      </c>
      <c r="F1570">
        <v>3.4876116669999999</v>
      </c>
      <c r="G1570">
        <v>1816</v>
      </c>
      <c r="H1570" s="7" t="s">
        <v>918</v>
      </c>
      <c r="I1570">
        <v>2023</v>
      </c>
      <c r="J1570">
        <v>13.5</v>
      </c>
      <c r="K1570" s="7">
        <v>12</v>
      </c>
      <c r="M1570" t="s">
        <v>247</v>
      </c>
      <c r="O1570" t="s">
        <v>38</v>
      </c>
      <c r="P1570" t="s">
        <v>672</v>
      </c>
      <c r="R1570" t="s">
        <v>922</v>
      </c>
      <c r="S1570" t="s">
        <v>1004</v>
      </c>
      <c r="T1570" t="s">
        <v>54</v>
      </c>
      <c r="U1570" t="s">
        <v>296</v>
      </c>
      <c r="V1570">
        <v>1</v>
      </c>
      <c r="AB1570" t="s">
        <v>66</v>
      </c>
    </row>
    <row r="1571" spans="1:28" hidden="1" x14ac:dyDescent="0.2">
      <c r="A1571" s="3">
        <v>45211</v>
      </c>
      <c r="D1571" s="5">
        <v>0.82671296296296293</v>
      </c>
      <c r="E1571">
        <v>-76.713988330000006</v>
      </c>
      <c r="F1571">
        <v>3.4875949999999998</v>
      </c>
      <c r="G1571">
        <v>1816</v>
      </c>
      <c r="H1571" s="7" t="s">
        <v>918</v>
      </c>
      <c r="I1571">
        <v>2023</v>
      </c>
      <c r="J1571">
        <v>13.5</v>
      </c>
      <c r="K1571" s="7">
        <v>12</v>
      </c>
      <c r="M1571" t="s">
        <v>247</v>
      </c>
      <c r="O1571" t="s">
        <v>38</v>
      </c>
      <c r="P1571" t="s">
        <v>672</v>
      </c>
      <c r="R1571" t="s">
        <v>922</v>
      </c>
      <c r="S1571" t="s">
        <v>1004</v>
      </c>
      <c r="T1571" t="s">
        <v>42</v>
      </c>
      <c r="U1571" t="s">
        <v>270</v>
      </c>
      <c r="V1571">
        <v>1</v>
      </c>
      <c r="AB1571" t="s">
        <v>1008</v>
      </c>
    </row>
    <row r="1572" spans="1:28" hidden="1" x14ac:dyDescent="0.2">
      <c r="A1572" s="3">
        <v>45211</v>
      </c>
      <c r="D1572" s="5">
        <v>0.82435185185185189</v>
      </c>
      <c r="E1572">
        <v>-76.713926670000006</v>
      </c>
      <c r="F1572">
        <v>3.4875733329999998</v>
      </c>
      <c r="H1572" s="7" t="s">
        <v>918</v>
      </c>
      <c r="I1572">
        <v>2023</v>
      </c>
      <c r="J1572">
        <v>13.5</v>
      </c>
      <c r="K1572" s="7">
        <v>12</v>
      </c>
      <c r="M1572" t="s">
        <v>247</v>
      </c>
      <c r="O1572" t="s">
        <v>38</v>
      </c>
      <c r="P1572" t="s">
        <v>672</v>
      </c>
      <c r="R1572" t="s">
        <v>922</v>
      </c>
      <c r="S1572" t="s">
        <v>946</v>
      </c>
      <c r="T1572" t="s">
        <v>54</v>
      </c>
      <c r="U1572" t="s">
        <v>88</v>
      </c>
      <c r="V1572">
        <v>1</v>
      </c>
      <c r="AB1572" t="s">
        <v>1008</v>
      </c>
    </row>
    <row r="1573" spans="1:28" hidden="1" x14ac:dyDescent="0.2">
      <c r="A1573" s="3">
        <v>45211</v>
      </c>
      <c r="D1573" s="5">
        <v>0.82435185185185189</v>
      </c>
      <c r="E1573">
        <v>-76.713926670000006</v>
      </c>
      <c r="F1573">
        <v>3.4875733329999998</v>
      </c>
      <c r="G1573">
        <v>1</v>
      </c>
      <c r="H1573" s="7" t="s">
        <v>918</v>
      </c>
      <c r="I1573">
        <v>2023</v>
      </c>
      <c r="J1573">
        <v>13.5</v>
      </c>
      <c r="K1573" s="7">
        <v>12</v>
      </c>
      <c r="M1573" t="s">
        <v>247</v>
      </c>
      <c r="O1573" t="s">
        <v>38</v>
      </c>
      <c r="P1573" t="s">
        <v>672</v>
      </c>
      <c r="R1573" t="s">
        <v>922</v>
      </c>
      <c r="S1573" t="s">
        <v>1004</v>
      </c>
      <c r="T1573" t="s">
        <v>54</v>
      </c>
      <c r="U1573" t="s">
        <v>296</v>
      </c>
      <c r="V1573">
        <v>1</v>
      </c>
      <c r="AB1573" t="s">
        <v>1008</v>
      </c>
    </row>
    <row r="1574" spans="1:28" hidden="1" x14ac:dyDescent="0.2">
      <c r="A1574" s="3">
        <v>45211</v>
      </c>
      <c r="D1574" s="5">
        <v>0.83880787037037041</v>
      </c>
      <c r="E1574">
        <v>-76.714015000000003</v>
      </c>
      <c r="F1574">
        <v>3.4874116669999999</v>
      </c>
      <c r="G1574">
        <v>1816</v>
      </c>
      <c r="H1574" s="7" t="s">
        <v>918</v>
      </c>
      <c r="I1574">
        <v>2023</v>
      </c>
      <c r="J1574">
        <v>13.5</v>
      </c>
      <c r="K1574" s="7">
        <v>12</v>
      </c>
      <c r="M1574" t="s">
        <v>247</v>
      </c>
      <c r="O1574" t="s">
        <v>38</v>
      </c>
      <c r="P1574" t="s">
        <v>672</v>
      </c>
      <c r="R1574" t="s">
        <v>922</v>
      </c>
      <c r="S1574" t="s">
        <v>1004</v>
      </c>
      <c r="T1574" t="s">
        <v>42</v>
      </c>
      <c r="U1574" t="s">
        <v>270</v>
      </c>
      <c r="V1574">
        <v>1</v>
      </c>
      <c r="AB1574" t="s">
        <v>1008</v>
      </c>
    </row>
    <row r="1575" spans="1:28" hidden="1" x14ac:dyDescent="0.2">
      <c r="A1575" s="3">
        <v>45211</v>
      </c>
      <c r="D1575" s="5">
        <v>0.83988425925925925</v>
      </c>
      <c r="E1575">
        <v>-76.713893330000005</v>
      </c>
      <c r="F1575">
        <v>3.4873433330000001</v>
      </c>
      <c r="G1575">
        <v>1816</v>
      </c>
      <c r="H1575" s="7" t="s">
        <v>918</v>
      </c>
      <c r="I1575">
        <v>2023</v>
      </c>
      <c r="J1575">
        <v>13.5</v>
      </c>
      <c r="K1575" s="7">
        <v>12</v>
      </c>
      <c r="M1575" t="s">
        <v>247</v>
      </c>
      <c r="O1575" t="s">
        <v>38</v>
      </c>
      <c r="P1575" t="s">
        <v>672</v>
      </c>
      <c r="R1575" t="s">
        <v>922</v>
      </c>
      <c r="S1575" t="s">
        <v>1004</v>
      </c>
      <c r="T1575" t="s">
        <v>42</v>
      </c>
      <c r="U1575" t="s">
        <v>296</v>
      </c>
      <c r="V1575">
        <v>1</v>
      </c>
      <c r="AB1575" t="s">
        <v>1008</v>
      </c>
    </row>
    <row r="1576" spans="1:28" hidden="1" x14ac:dyDescent="0.2">
      <c r="A1576" s="3">
        <v>45211</v>
      </c>
      <c r="D1576" s="5">
        <v>0.81662037037037039</v>
      </c>
      <c r="E1576">
        <v>-76.713836670000006</v>
      </c>
      <c r="F1576">
        <v>3.4875799999999999</v>
      </c>
      <c r="H1576" s="7">
        <v>2</v>
      </c>
      <c r="I1576">
        <v>2023</v>
      </c>
      <c r="J1576">
        <v>10</v>
      </c>
      <c r="K1576" s="7">
        <v>11</v>
      </c>
      <c r="M1576" t="s">
        <v>247</v>
      </c>
      <c r="O1576" t="s">
        <v>32</v>
      </c>
      <c r="P1576" t="s">
        <v>672</v>
      </c>
      <c r="U1576" t="s">
        <v>36</v>
      </c>
      <c r="V1576">
        <v>0</v>
      </c>
      <c r="Z1576" t="s">
        <v>1015</v>
      </c>
    </row>
    <row r="1577" spans="1:28" hidden="1" x14ac:dyDescent="0.2">
      <c r="A1577" s="3">
        <v>45246</v>
      </c>
      <c r="D1577" s="5">
        <v>0</v>
      </c>
      <c r="E1577">
        <v>-76.656261670000006</v>
      </c>
      <c r="F1577">
        <v>3.3556400000000002</v>
      </c>
      <c r="H1577" s="7">
        <v>0.75</v>
      </c>
      <c r="I1577">
        <v>2023</v>
      </c>
      <c r="J1577">
        <v>28</v>
      </c>
      <c r="K1577" s="7">
        <v>16</v>
      </c>
      <c r="M1577" t="s">
        <v>624</v>
      </c>
      <c r="O1577" t="s">
        <v>40</v>
      </c>
      <c r="P1577" t="s">
        <v>720</v>
      </c>
      <c r="U1577" t="s">
        <v>36</v>
      </c>
      <c r="V1577">
        <v>0</v>
      </c>
      <c r="Z1577" t="s">
        <v>1013</v>
      </c>
    </row>
    <row r="1578" spans="1:28" hidden="1" x14ac:dyDescent="0.2">
      <c r="A1578" s="3">
        <v>45246</v>
      </c>
      <c r="D1578" s="5">
        <v>0</v>
      </c>
      <c r="E1578">
        <v>-76.648700000000005</v>
      </c>
      <c r="F1578">
        <v>3.3508</v>
      </c>
      <c r="G1578">
        <v>2336</v>
      </c>
      <c r="H1578" s="7" t="s">
        <v>918</v>
      </c>
      <c r="I1578">
        <v>2023</v>
      </c>
      <c r="J1578">
        <v>20</v>
      </c>
      <c r="K1578" s="7">
        <v>8.5</v>
      </c>
      <c r="M1578" t="s">
        <v>624</v>
      </c>
      <c r="O1578" t="s">
        <v>38</v>
      </c>
      <c r="P1578" t="s">
        <v>690</v>
      </c>
      <c r="R1578" t="s">
        <v>919</v>
      </c>
      <c r="S1578" t="s">
        <v>1004</v>
      </c>
      <c r="T1578" t="s">
        <v>54</v>
      </c>
      <c r="U1578" t="s">
        <v>238</v>
      </c>
      <c r="V1578">
        <v>1</v>
      </c>
      <c r="AB1578" t="s">
        <v>1008</v>
      </c>
    </row>
    <row r="1579" spans="1:28" hidden="1" x14ac:dyDescent="0.2">
      <c r="A1579" s="3">
        <v>45246</v>
      </c>
      <c r="D1579" s="5">
        <v>0</v>
      </c>
      <c r="E1579">
        <v>-76.649000000000001</v>
      </c>
      <c r="F1579">
        <v>3.3517000000000001</v>
      </c>
      <c r="G1579">
        <v>2335</v>
      </c>
      <c r="H1579" s="7" t="s">
        <v>918</v>
      </c>
      <c r="I1579">
        <v>2023</v>
      </c>
      <c r="J1579">
        <v>20</v>
      </c>
      <c r="K1579" s="7">
        <v>8.5</v>
      </c>
      <c r="M1579" t="s">
        <v>624</v>
      </c>
      <c r="O1579" t="s">
        <v>38</v>
      </c>
      <c r="P1579" t="s">
        <v>690</v>
      </c>
      <c r="R1579" t="s">
        <v>919</v>
      </c>
      <c r="S1579" t="s">
        <v>1004</v>
      </c>
      <c r="T1579" t="s">
        <v>54</v>
      </c>
      <c r="U1579" t="s">
        <v>723</v>
      </c>
      <c r="V1579">
        <v>1</v>
      </c>
      <c r="AB1579" t="s">
        <v>1008</v>
      </c>
    </row>
    <row r="1580" spans="1:28" hidden="1" x14ac:dyDescent="0.2">
      <c r="A1580" s="3">
        <v>45246</v>
      </c>
      <c r="D1580" s="5">
        <v>0</v>
      </c>
      <c r="E1580">
        <v>-76.648799999999994</v>
      </c>
      <c r="F1580">
        <v>3.3504999999999998</v>
      </c>
      <c r="G1580">
        <v>2336</v>
      </c>
      <c r="H1580" s="7" t="s">
        <v>918</v>
      </c>
      <c r="I1580">
        <v>2023</v>
      </c>
      <c r="J1580">
        <v>20</v>
      </c>
      <c r="K1580" s="7">
        <v>8.5</v>
      </c>
      <c r="M1580" t="s">
        <v>624</v>
      </c>
      <c r="O1580" t="s">
        <v>38</v>
      </c>
      <c r="P1580" t="s">
        <v>690</v>
      </c>
      <c r="R1580" t="s">
        <v>919</v>
      </c>
      <c r="S1580" t="s">
        <v>1004</v>
      </c>
      <c r="T1580" t="s">
        <v>54</v>
      </c>
      <c r="U1580" t="s">
        <v>238</v>
      </c>
      <c r="V1580">
        <v>1</v>
      </c>
      <c r="AB1580" t="s">
        <v>1008</v>
      </c>
    </row>
    <row r="1581" spans="1:28" hidden="1" x14ac:dyDescent="0.2">
      <c r="A1581" s="3">
        <v>45245</v>
      </c>
      <c r="D1581" s="5">
        <v>0</v>
      </c>
      <c r="E1581">
        <v>-76.639968800000005</v>
      </c>
      <c r="F1581">
        <v>3.3506699499999999</v>
      </c>
      <c r="H1581" s="7" t="s">
        <v>918</v>
      </c>
      <c r="I1581">
        <v>2023</v>
      </c>
      <c r="J1581">
        <v>15</v>
      </c>
      <c r="K1581" s="7">
        <v>7.5</v>
      </c>
      <c r="M1581" t="s">
        <v>624</v>
      </c>
      <c r="O1581" t="s">
        <v>40</v>
      </c>
      <c r="P1581" t="s">
        <v>734</v>
      </c>
      <c r="R1581" t="s">
        <v>921</v>
      </c>
      <c r="S1581" t="s">
        <v>946</v>
      </c>
      <c r="T1581" t="s">
        <v>54</v>
      </c>
      <c r="U1581" t="s">
        <v>238</v>
      </c>
      <c r="V1581">
        <v>1</v>
      </c>
      <c r="AB1581" t="s">
        <v>1008</v>
      </c>
    </row>
    <row r="1582" spans="1:28" hidden="1" x14ac:dyDescent="0.2">
      <c r="A1582" s="3">
        <v>45245</v>
      </c>
      <c r="D1582" s="5">
        <v>0</v>
      </c>
      <c r="E1582">
        <v>-76.639700000000005</v>
      </c>
      <c r="F1582">
        <v>3.3506999999999998</v>
      </c>
      <c r="H1582" s="7" t="s">
        <v>918</v>
      </c>
      <c r="I1582">
        <v>2023</v>
      </c>
      <c r="J1582">
        <v>15</v>
      </c>
      <c r="K1582" s="7">
        <v>7.5</v>
      </c>
      <c r="M1582" t="s">
        <v>624</v>
      </c>
      <c r="O1582" t="s">
        <v>40</v>
      </c>
      <c r="P1582" t="s">
        <v>734</v>
      </c>
      <c r="R1582" t="s">
        <v>921</v>
      </c>
      <c r="S1582" t="s">
        <v>946</v>
      </c>
      <c r="T1582" t="s">
        <v>54</v>
      </c>
      <c r="U1582" t="s">
        <v>238</v>
      </c>
      <c r="V1582">
        <v>1</v>
      </c>
      <c r="AB1582" t="s">
        <v>1008</v>
      </c>
    </row>
    <row r="1583" spans="1:28" hidden="1" x14ac:dyDescent="0.2">
      <c r="A1583" s="3">
        <v>45251</v>
      </c>
      <c r="D1583" s="5">
        <v>0</v>
      </c>
      <c r="E1583">
        <v>-76.881045209999996</v>
      </c>
      <c r="F1583">
        <v>3.552585788</v>
      </c>
      <c r="G1583">
        <v>567</v>
      </c>
      <c r="H1583" s="7" t="s">
        <v>918</v>
      </c>
      <c r="I1583">
        <v>2023</v>
      </c>
      <c r="J1583">
        <v>3</v>
      </c>
      <c r="K1583" s="7">
        <v>8</v>
      </c>
      <c r="M1583" t="s">
        <v>30</v>
      </c>
      <c r="O1583" t="s">
        <v>32</v>
      </c>
      <c r="P1583" t="s">
        <v>130</v>
      </c>
      <c r="R1583" t="s">
        <v>919</v>
      </c>
      <c r="S1583" t="s">
        <v>995</v>
      </c>
      <c r="T1583" t="s">
        <v>42</v>
      </c>
      <c r="U1583" t="s">
        <v>935</v>
      </c>
      <c r="V1583">
        <v>4</v>
      </c>
      <c r="Z1583" t="s">
        <v>1012</v>
      </c>
      <c r="AB1583" t="s">
        <v>66</v>
      </c>
    </row>
    <row r="1584" spans="1:28" hidden="1" x14ac:dyDescent="0.2">
      <c r="A1584" s="3">
        <v>45253</v>
      </c>
      <c r="D1584" s="5">
        <v>0</v>
      </c>
      <c r="E1584">
        <v>-76.892827659999995</v>
      </c>
      <c r="F1584">
        <v>3.5965284899999999</v>
      </c>
      <c r="G1584">
        <v>649</v>
      </c>
      <c r="H1584" s="7" t="s">
        <v>918</v>
      </c>
      <c r="I1584">
        <v>2023</v>
      </c>
      <c r="J1584">
        <v>20</v>
      </c>
      <c r="K1584" s="7">
        <v>37.5</v>
      </c>
      <c r="M1584" t="s">
        <v>30</v>
      </c>
      <c r="O1584" t="s">
        <v>40</v>
      </c>
      <c r="P1584" t="s">
        <v>33</v>
      </c>
      <c r="U1584" t="s">
        <v>36</v>
      </c>
      <c r="V1584">
        <v>0</v>
      </c>
    </row>
    <row r="1585" spans="1:45" hidden="1" x14ac:dyDescent="0.2">
      <c r="A1585" s="3">
        <v>45253</v>
      </c>
      <c r="D1585" s="5">
        <v>0</v>
      </c>
      <c r="E1585">
        <v>-76.88291667</v>
      </c>
      <c r="F1585">
        <v>3.5921599999999998</v>
      </c>
      <c r="H1585" s="7">
        <v>0.75</v>
      </c>
      <c r="I1585">
        <v>2023</v>
      </c>
      <c r="J1585">
        <v>22.5</v>
      </c>
      <c r="K1585" s="7">
        <v>45</v>
      </c>
      <c r="M1585" t="s">
        <v>30</v>
      </c>
      <c r="O1585" t="s">
        <v>32</v>
      </c>
      <c r="P1585" t="s">
        <v>52</v>
      </c>
      <c r="U1585" t="s">
        <v>36</v>
      </c>
      <c r="V1585">
        <v>0</v>
      </c>
    </row>
    <row r="1586" spans="1:45" hidden="1" x14ac:dyDescent="0.2">
      <c r="A1586" s="3">
        <v>45251</v>
      </c>
      <c r="D1586" s="5">
        <v>0</v>
      </c>
      <c r="E1586">
        <v>-76.88833769</v>
      </c>
      <c r="F1586">
        <v>3.5506537730000001</v>
      </c>
      <c r="H1586" s="7" t="s">
        <v>918</v>
      </c>
      <c r="I1586">
        <v>2023</v>
      </c>
      <c r="J1586">
        <v>30</v>
      </c>
      <c r="K1586" s="7">
        <v>22.5</v>
      </c>
      <c r="M1586" t="s">
        <v>30</v>
      </c>
      <c r="O1586" t="s">
        <v>40</v>
      </c>
      <c r="P1586" t="s">
        <v>119</v>
      </c>
      <c r="R1586" t="s">
        <v>921</v>
      </c>
      <c r="S1586" t="s">
        <v>1004</v>
      </c>
      <c r="T1586" t="s">
        <v>42</v>
      </c>
      <c r="U1586" t="s">
        <v>943</v>
      </c>
      <c r="V1586">
        <v>1</v>
      </c>
      <c r="AB1586" t="s">
        <v>66</v>
      </c>
    </row>
    <row r="1587" spans="1:45" hidden="1" x14ac:dyDescent="0.2">
      <c r="A1587" s="3">
        <v>45254</v>
      </c>
      <c r="D1587" s="5">
        <v>0</v>
      </c>
      <c r="E1587">
        <v>-76.883404999999996</v>
      </c>
      <c r="F1587">
        <v>3.5524766670000001</v>
      </c>
      <c r="H1587" s="7" t="s">
        <v>918</v>
      </c>
      <c r="I1587">
        <v>2023</v>
      </c>
      <c r="J1587">
        <v>20</v>
      </c>
      <c r="K1587" s="7">
        <v>10</v>
      </c>
      <c r="M1587" t="s">
        <v>30</v>
      </c>
      <c r="O1587" t="s">
        <v>40</v>
      </c>
      <c r="P1587" t="s">
        <v>130</v>
      </c>
      <c r="U1587" t="s">
        <v>36</v>
      </c>
      <c r="V1587">
        <v>0</v>
      </c>
    </row>
    <row r="1588" spans="1:45" hidden="1" x14ac:dyDescent="0.2">
      <c r="A1588" s="3">
        <v>45253</v>
      </c>
      <c r="D1588" s="5">
        <v>0</v>
      </c>
      <c r="E1588">
        <v>-76.891548330000006</v>
      </c>
      <c r="F1588">
        <v>3.5949516670000001</v>
      </c>
      <c r="H1588" s="7" t="s">
        <v>918</v>
      </c>
      <c r="I1588">
        <v>2023</v>
      </c>
      <c r="J1588">
        <v>27</v>
      </c>
      <c r="K1588" s="7">
        <v>22.5</v>
      </c>
      <c r="M1588" t="s">
        <v>30</v>
      </c>
      <c r="O1588" t="s">
        <v>32</v>
      </c>
      <c r="P1588" t="s">
        <v>33</v>
      </c>
      <c r="U1588" t="s">
        <v>36</v>
      </c>
      <c r="V1588">
        <v>0</v>
      </c>
    </row>
    <row r="1589" spans="1:45" hidden="1" x14ac:dyDescent="0.2">
      <c r="A1589" s="3">
        <v>45253</v>
      </c>
      <c r="D1589" s="5">
        <v>0</v>
      </c>
      <c r="E1589">
        <v>-76.891798550000004</v>
      </c>
      <c r="F1589">
        <v>3.5945087849999999</v>
      </c>
      <c r="H1589" s="7" t="s">
        <v>918</v>
      </c>
      <c r="I1589">
        <v>2023</v>
      </c>
      <c r="J1589">
        <v>17.5</v>
      </c>
      <c r="K1589" s="7">
        <v>2.5</v>
      </c>
      <c r="M1589" t="s">
        <v>30</v>
      </c>
      <c r="O1589" t="s">
        <v>32</v>
      </c>
      <c r="P1589" t="s">
        <v>33</v>
      </c>
      <c r="U1589" t="s">
        <v>36</v>
      </c>
      <c r="V1589">
        <v>0</v>
      </c>
    </row>
    <row r="1590" spans="1:45" x14ac:dyDescent="0.2">
      <c r="A1590" s="14">
        <v>44909</v>
      </c>
      <c r="B1590" s="14">
        <v>44909</v>
      </c>
      <c r="C1590" s="16"/>
      <c r="D1590" s="16"/>
      <c r="E1590" s="16"/>
      <c r="F1590" s="16"/>
      <c r="G1590" s="16"/>
      <c r="H1590" s="16"/>
      <c r="I1590" s="16">
        <v>2022</v>
      </c>
      <c r="J1590" s="16"/>
      <c r="K1590" s="16"/>
      <c r="L1590" s="16"/>
      <c r="M1590" s="17" t="s">
        <v>30</v>
      </c>
      <c r="N1590" s="16" t="s">
        <v>118</v>
      </c>
      <c r="O1590" s="18" t="s">
        <v>38</v>
      </c>
      <c r="P1590" s="15" t="s">
        <v>1149</v>
      </c>
      <c r="Q1590" s="16"/>
      <c r="R1590" s="16"/>
      <c r="S1590" s="16"/>
      <c r="T1590" s="16"/>
      <c r="U1590" s="16" t="s">
        <v>36</v>
      </c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</row>
    <row r="1591" spans="1:45" x14ac:dyDescent="0.2">
      <c r="A1591" s="14">
        <v>44909</v>
      </c>
      <c r="B1591" s="14">
        <v>44909</v>
      </c>
      <c r="C1591" s="16"/>
      <c r="D1591" s="16"/>
      <c r="E1591" s="16"/>
      <c r="F1591" s="16"/>
      <c r="G1591" s="16"/>
      <c r="H1591" s="16"/>
      <c r="I1591" s="16">
        <v>2022</v>
      </c>
      <c r="J1591" s="16"/>
      <c r="K1591" s="16"/>
      <c r="L1591" s="16"/>
      <c r="M1591" s="17" t="s">
        <v>30</v>
      </c>
      <c r="N1591" s="16" t="s">
        <v>118</v>
      </c>
      <c r="O1591" s="18" t="s">
        <v>40</v>
      </c>
      <c r="P1591" s="15" t="s">
        <v>1149</v>
      </c>
      <c r="Q1591" s="16"/>
      <c r="R1591" s="16"/>
      <c r="S1591" s="16"/>
      <c r="T1591" s="16"/>
      <c r="U1591" s="16" t="s">
        <v>36</v>
      </c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</row>
    <row r="1592" spans="1:45" x14ac:dyDescent="0.2">
      <c r="A1592" s="14">
        <v>44489</v>
      </c>
      <c r="B1592" s="14">
        <v>44489</v>
      </c>
      <c r="C1592" s="16"/>
      <c r="D1592" s="16"/>
      <c r="E1592" s="16"/>
      <c r="F1592" s="16"/>
      <c r="G1592" s="16"/>
      <c r="H1592" s="16"/>
      <c r="I1592" s="17">
        <v>2021</v>
      </c>
      <c r="J1592" s="16"/>
      <c r="K1592" s="16"/>
      <c r="L1592" s="16"/>
      <c r="M1592" s="17" t="s">
        <v>624</v>
      </c>
      <c r="N1592" s="16" t="s">
        <v>118</v>
      </c>
      <c r="O1592" s="16" t="s">
        <v>47</v>
      </c>
      <c r="P1592" s="15" t="s">
        <v>720</v>
      </c>
      <c r="Q1592" s="16"/>
      <c r="R1592" s="16"/>
      <c r="S1592" s="16"/>
      <c r="T1592" s="16"/>
      <c r="U1592" s="16" t="s">
        <v>36</v>
      </c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</row>
    <row r="1593" spans="1:45" x14ac:dyDescent="0.2">
      <c r="A1593" s="14">
        <v>44517</v>
      </c>
      <c r="B1593" s="14">
        <v>44517</v>
      </c>
      <c r="C1593" s="16"/>
      <c r="D1593" s="16"/>
      <c r="E1593" s="16"/>
      <c r="F1593" s="16"/>
      <c r="G1593" s="16"/>
      <c r="H1593" s="16"/>
      <c r="I1593" s="17">
        <v>2021</v>
      </c>
      <c r="J1593" s="16"/>
      <c r="K1593" s="16"/>
      <c r="L1593" s="16"/>
      <c r="M1593" s="17" t="s">
        <v>247</v>
      </c>
      <c r="N1593" s="16" t="s">
        <v>118</v>
      </c>
      <c r="O1593" s="16" t="s">
        <v>32</v>
      </c>
      <c r="P1593" s="15" t="s">
        <v>340</v>
      </c>
      <c r="Q1593" s="16"/>
      <c r="R1593" s="16"/>
      <c r="S1593" s="16"/>
      <c r="T1593" s="16"/>
      <c r="U1593" s="16" t="s">
        <v>36</v>
      </c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</row>
    <row r="1594" spans="1:45" x14ac:dyDescent="0.2">
      <c r="A1594" s="14">
        <v>44898</v>
      </c>
      <c r="B1594" s="14">
        <v>44898</v>
      </c>
      <c r="C1594" s="16"/>
      <c r="D1594" s="16"/>
      <c r="E1594" s="16"/>
      <c r="F1594" s="16"/>
      <c r="G1594" s="16"/>
      <c r="H1594" s="16"/>
      <c r="I1594" s="17">
        <v>2022</v>
      </c>
      <c r="J1594" s="16"/>
      <c r="K1594" s="16"/>
      <c r="L1594" s="16"/>
      <c r="M1594" s="17" t="s">
        <v>247</v>
      </c>
      <c r="N1594" s="16" t="s">
        <v>118</v>
      </c>
      <c r="O1594" s="16" t="s">
        <v>32</v>
      </c>
      <c r="P1594" s="15" t="s">
        <v>280</v>
      </c>
      <c r="Q1594" s="16"/>
      <c r="R1594" s="16"/>
      <c r="S1594" s="16"/>
      <c r="T1594" s="16"/>
      <c r="U1594" s="16" t="s">
        <v>36</v>
      </c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</row>
    <row r="1595" spans="1:45" x14ac:dyDescent="0.2">
      <c r="A1595" s="14">
        <v>44881</v>
      </c>
      <c r="B1595" s="14">
        <v>44881</v>
      </c>
      <c r="C1595" s="16"/>
      <c r="D1595" s="16"/>
      <c r="E1595" s="16"/>
      <c r="F1595" s="16"/>
      <c r="G1595" s="16"/>
      <c r="H1595" s="16"/>
      <c r="I1595" s="17">
        <v>2022</v>
      </c>
      <c r="J1595" s="16"/>
      <c r="K1595" s="16"/>
      <c r="L1595" s="16"/>
      <c r="M1595" s="17" t="s">
        <v>624</v>
      </c>
      <c r="N1595" s="16" t="s">
        <v>118</v>
      </c>
      <c r="O1595" s="16" t="s">
        <v>47</v>
      </c>
      <c r="P1595" s="15" t="s">
        <v>720</v>
      </c>
      <c r="Q1595" s="16"/>
      <c r="R1595" s="16"/>
      <c r="S1595" s="16"/>
      <c r="T1595" s="16"/>
      <c r="U1595" s="16" t="s">
        <v>36</v>
      </c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</row>
    <row r="1596" spans="1:45" x14ac:dyDescent="0.2">
      <c r="A1596" s="14">
        <v>44898</v>
      </c>
      <c r="B1596" s="14">
        <v>44898</v>
      </c>
      <c r="C1596" s="16"/>
      <c r="D1596" s="16"/>
      <c r="E1596" s="16"/>
      <c r="F1596" s="16"/>
      <c r="G1596" s="16"/>
      <c r="H1596" s="16"/>
      <c r="I1596" s="17">
        <v>2022</v>
      </c>
      <c r="J1596" s="16"/>
      <c r="K1596" s="16"/>
      <c r="L1596" s="16"/>
      <c r="M1596" s="17" t="s">
        <v>247</v>
      </c>
      <c r="N1596" s="18" t="s">
        <v>118</v>
      </c>
      <c r="O1596" s="16" t="s">
        <v>47</v>
      </c>
      <c r="P1596" s="15" t="s">
        <v>248</v>
      </c>
      <c r="Q1596" s="16"/>
      <c r="R1596" s="16"/>
      <c r="S1596" s="16"/>
      <c r="T1596" s="16"/>
      <c r="U1596" s="16" t="s">
        <v>36</v>
      </c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</row>
    <row r="1597" spans="1:45" x14ac:dyDescent="0.2">
      <c r="A1597" s="14">
        <v>45212</v>
      </c>
      <c r="B1597" s="14">
        <v>45212</v>
      </c>
      <c r="C1597" s="16"/>
      <c r="D1597" s="16"/>
      <c r="E1597" s="16"/>
      <c r="F1597" s="16"/>
      <c r="G1597" s="16"/>
      <c r="H1597" s="16"/>
      <c r="I1597" s="17">
        <v>2023</v>
      </c>
      <c r="J1597" s="16"/>
      <c r="K1597" s="16"/>
      <c r="L1597" s="16"/>
      <c r="M1597" s="17" t="s">
        <v>247</v>
      </c>
      <c r="N1597" s="16" t="s">
        <v>118</v>
      </c>
      <c r="O1597" s="16" t="s">
        <v>32</v>
      </c>
      <c r="P1597" s="15" t="s">
        <v>280</v>
      </c>
      <c r="Q1597" s="16"/>
      <c r="R1597" s="16"/>
      <c r="S1597" s="16"/>
      <c r="T1597" s="16"/>
      <c r="U1597" s="16" t="s">
        <v>36</v>
      </c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</row>
    <row r="1598" spans="1:45" x14ac:dyDescent="0.2">
      <c r="A1598" s="14">
        <v>45246</v>
      </c>
      <c r="B1598" s="14">
        <v>45246</v>
      </c>
      <c r="C1598" s="16"/>
      <c r="D1598" s="16"/>
      <c r="E1598" s="16"/>
      <c r="F1598" s="16"/>
      <c r="G1598" s="16"/>
      <c r="H1598" s="16"/>
      <c r="I1598" s="17">
        <v>2023</v>
      </c>
      <c r="J1598" s="16"/>
      <c r="K1598" s="16"/>
      <c r="L1598" s="16"/>
      <c r="M1598" s="17" t="s">
        <v>624</v>
      </c>
      <c r="N1598" s="16" t="s">
        <v>118</v>
      </c>
      <c r="O1598" s="16" t="s">
        <v>47</v>
      </c>
      <c r="P1598" s="15" t="s">
        <v>720</v>
      </c>
      <c r="Q1598" s="16"/>
      <c r="R1598" s="16"/>
      <c r="S1598" s="16"/>
      <c r="T1598" s="16"/>
      <c r="U1598" s="16" t="s">
        <v>36</v>
      </c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</row>
    <row r="1599" spans="1:45" x14ac:dyDescent="0.2">
      <c r="A1599" s="14">
        <v>45212</v>
      </c>
      <c r="B1599" s="14">
        <v>45212</v>
      </c>
      <c r="C1599" s="16"/>
      <c r="D1599" s="16"/>
      <c r="E1599" s="16"/>
      <c r="F1599" s="16"/>
      <c r="G1599" s="16"/>
      <c r="H1599" s="16"/>
      <c r="I1599" s="17">
        <v>2023</v>
      </c>
      <c r="J1599" s="16"/>
      <c r="K1599" s="16"/>
      <c r="L1599" s="16"/>
      <c r="M1599" s="17" t="s">
        <v>247</v>
      </c>
      <c r="N1599" s="16" t="s">
        <v>118</v>
      </c>
      <c r="O1599" s="16" t="s">
        <v>47</v>
      </c>
      <c r="P1599" s="15" t="s">
        <v>248</v>
      </c>
      <c r="Q1599" s="16"/>
      <c r="R1599" s="16"/>
      <c r="S1599" s="16"/>
      <c r="T1599" s="16"/>
      <c r="U1599" s="16" t="s">
        <v>36</v>
      </c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</row>
    <row r="1600" spans="1:45" x14ac:dyDescent="0.2">
      <c r="A1600" s="14">
        <v>45246</v>
      </c>
      <c r="B1600" s="14">
        <v>45246</v>
      </c>
      <c r="C1600" s="16"/>
      <c r="D1600" s="16"/>
      <c r="E1600" s="16"/>
      <c r="F1600" s="16"/>
      <c r="G1600" s="16"/>
      <c r="H1600" s="16"/>
      <c r="I1600" s="17">
        <v>2023</v>
      </c>
      <c r="J1600" s="16"/>
      <c r="K1600" s="16"/>
      <c r="L1600" s="16"/>
      <c r="M1600" s="17" t="s">
        <v>624</v>
      </c>
      <c r="N1600" s="16" t="s">
        <v>118</v>
      </c>
      <c r="O1600" s="16" t="s">
        <v>40</v>
      </c>
      <c r="P1600" s="15" t="s">
        <v>690</v>
      </c>
      <c r="Q1600" s="16"/>
      <c r="R1600" s="16"/>
      <c r="S1600" s="16"/>
      <c r="T1600" s="16"/>
      <c r="U1600" s="16" t="s">
        <v>36</v>
      </c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</row>
    <row r="1601" spans="1:45" x14ac:dyDescent="0.2">
      <c r="A1601" s="14">
        <v>45245</v>
      </c>
      <c r="B1601" s="14">
        <v>45245</v>
      </c>
      <c r="C1601" s="16"/>
      <c r="D1601" s="16"/>
      <c r="E1601" s="16"/>
      <c r="F1601" s="16"/>
      <c r="G1601" s="16"/>
      <c r="H1601" s="16"/>
      <c r="I1601" s="17">
        <v>2023</v>
      </c>
      <c r="J1601" s="16"/>
      <c r="K1601" s="16"/>
      <c r="L1601" s="16"/>
      <c r="M1601" s="17" t="s">
        <v>624</v>
      </c>
      <c r="N1601" s="16" t="s">
        <v>118</v>
      </c>
      <c r="O1601" s="16" t="s">
        <v>38</v>
      </c>
      <c r="P1601" s="15" t="s">
        <v>625</v>
      </c>
      <c r="Q1601" s="16"/>
      <c r="R1601" s="16"/>
      <c r="S1601" s="16"/>
      <c r="T1601" s="16"/>
      <c r="U1601" s="16" t="s">
        <v>36</v>
      </c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</row>
    <row r="1602" spans="1:45" x14ac:dyDescent="0.2">
      <c r="A1602" s="14">
        <v>45253</v>
      </c>
      <c r="B1602" s="14">
        <v>45253</v>
      </c>
      <c r="C1602" s="16"/>
      <c r="D1602" s="16"/>
      <c r="E1602" s="16"/>
      <c r="F1602" s="16"/>
      <c r="G1602" s="16"/>
      <c r="H1602" s="16"/>
      <c r="I1602" s="17">
        <v>2023</v>
      </c>
      <c r="J1602" s="16"/>
      <c r="K1602" s="16"/>
      <c r="L1602" s="16"/>
      <c r="M1602" s="17" t="s">
        <v>30</v>
      </c>
      <c r="N1602" s="16" t="s">
        <v>118</v>
      </c>
      <c r="O1602" s="16" t="s">
        <v>40</v>
      </c>
      <c r="P1602" s="15" t="s">
        <v>52</v>
      </c>
      <c r="Q1602" s="16"/>
      <c r="R1602" s="16"/>
      <c r="S1602" s="16"/>
      <c r="T1602" s="16"/>
      <c r="U1602" s="16" t="s">
        <v>36</v>
      </c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</row>
    <row r="1603" spans="1:45" x14ac:dyDescent="0.2">
      <c r="A1603" s="14">
        <v>45253</v>
      </c>
      <c r="B1603" s="14">
        <v>45253</v>
      </c>
      <c r="C1603" s="16"/>
      <c r="D1603" s="16"/>
      <c r="E1603" s="16"/>
      <c r="F1603" s="16"/>
      <c r="G1603" s="16"/>
      <c r="H1603" s="16"/>
      <c r="I1603" s="17">
        <v>2023</v>
      </c>
      <c r="J1603" s="16"/>
      <c r="K1603" s="16"/>
      <c r="L1603" s="16"/>
      <c r="M1603" s="17" t="s">
        <v>30</v>
      </c>
      <c r="N1603" s="18" t="s">
        <v>118</v>
      </c>
      <c r="O1603" s="16" t="s">
        <v>32</v>
      </c>
      <c r="P1603" s="15" t="s">
        <v>1150</v>
      </c>
      <c r="Q1603" s="16"/>
      <c r="R1603" s="16"/>
      <c r="S1603" s="16"/>
      <c r="T1603" s="16"/>
      <c r="U1603" s="16" t="s">
        <v>36</v>
      </c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</row>
    <row r="1604" spans="1:45" x14ac:dyDescent="0.2">
      <c r="A1604" s="14">
        <v>45253</v>
      </c>
      <c r="B1604" s="14">
        <v>45253</v>
      </c>
      <c r="C1604" s="16"/>
      <c r="D1604" s="16"/>
      <c r="E1604" s="16"/>
      <c r="F1604" s="16"/>
      <c r="G1604" s="16"/>
      <c r="H1604" s="16"/>
      <c r="I1604" s="17">
        <v>2023</v>
      </c>
      <c r="J1604" s="16"/>
      <c r="K1604" s="16"/>
      <c r="L1604" s="16"/>
      <c r="M1604" s="17" t="s">
        <v>30</v>
      </c>
      <c r="N1604" s="18" t="s">
        <v>118</v>
      </c>
      <c r="O1604" s="16" t="s">
        <v>38</v>
      </c>
      <c r="P1604" s="15" t="s">
        <v>1150</v>
      </c>
      <c r="Q1604" s="16"/>
      <c r="R1604" s="16"/>
      <c r="S1604" s="16"/>
      <c r="T1604" s="16"/>
      <c r="U1604" s="16" t="s">
        <v>36</v>
      </c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</row>
    <row r="1605" spans="1:45" x14ac:dyDescent="0.2">
      <c r="A1605" s="14">
        <v>45210</v>
      </c>
      <c r="B1605" s="14">
        <v>45210</v>
      </c>
      <c r="C1605" s="16"/>
      <c r="D1605" s="16"/>
      <c r="E1605" s="16"/>
      <c r="F1605" s="16"/>
      <c r="G1605" s="16"/>
      <c r="H1605" s="16"/>
      <c r="I1605" s="17">
        <v>2023</v>
      </c>
      <c r="J1605" s="16"/>
      <c r="K1605" s="16"/>
      <c r="L1605" s="16"/>
      <c r="M1605" s="17" t="s">
        <v>247</v>
      </c>
      <c r="N1605" s="16" t="s">
        <v>118</v>
      </c>
      <c r="O1605" s="16" t="s">
        <v>40</v>
      </c>
      <c r="P1605" s="15" t="s">
        <v>340</v>
      </c>
      <c r="Q1605" s="16"/>
      <c r="R1605" s="16"/>
      <c r="S1605" s="16"/>
      <c r="T1605" s="16"/>
      <c r="U1605" s="16" t="s">
        <v>36</v>
      </c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</row>
    <row r="1606" spans="1:45" x14ac:dyDescent="0.2">
      <c r="A1606" s="14">
        <v>45213</v>
      </c>
      <c r="B1606" s="14">
        <v>45213</v>
      </c>
      <c r="C1606" s="16"/>
      <c r="D1606" s="16"/>
      <c r="E1606" s="16"/>
      <c r="F1606" s="16"/>
      <c r="G1606" s="16"/>
      <c r="H1606" s="16"/>
      <c r="I1606" s="17">
        <v>2023</v>
      </c>
      <c r="J1606" s="16"/>
      <c r="K1606" s="16"/>
      <c r="L1606" s="16"/>
      <c r="M1606" s="17" t="s">
        <v>247</v>
      </c>
      <c r="N1606" s="16" t="s">
        <v>118</v>
      </c>
      <c r="O1606" s="16" t="s">
        <v>32</v>
      </c>
      <c r="P1606" s="15" t="s">
        <v>272</v>
      </c>
      <c r="Q1606" s="16"/>
      <c r="R1606" s="16"/>
      <c r="S1606" s="16"/>
      <c r="T1606" s="16"/>
      <c r="U1606" s="16" t="s">
        <v>36</v>
      </c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</row>
    <row r="1607" spans="1:45" x14ac:dyDescent="0.2">
      <c r="A1607" s="14">
        <v>45213</v>
      </c>
      <c r="B1607" s="14">
        <v>45213</v>
      </c>
      <c r="C1607" s="16"/>
      <c r="D1607" s="16"/>
      <c r="E1607" s="16"/>
      <c r="F1607" s="16"/>
      <c r="G1607" s="16"/>
      <c r="H1607" s="16"/>
      <c r="I1607" s="17">
        <v>2023</v>
      </c>
      <c r="J1607" s="16"/>
      <c r="K1607" s="16"/>
      <c r="L1607" s="16"/>
      <c r="M1607" s="17" t="s">
        <v>247</v>
      </c>
      <c r="N1607" s="16" t="s">
        <v>118</v>
      </c>
      <c r="O1607" s="16" t="s">
        <v>38</v>
      </c>
      <c r="P1607" s="15" t="s">
        <v>272</v>
      </c>
      <c r="Q1607" s="16"/>
      <c r="R1607" s="16"/>
      <c r="S1607" s="16"/>
      <c r="T1607" s="16"/>
      <c r="U1607" s="16" t="s">
        <v>36</v>
      </c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</row>
    <row r="1608" spans="1:45" x14ac:dyDescent="0.2">
      <c r="A1608" s="14">
        <v>45213</v>
      </c>
      <c r="B1608" s="14">
        <v>45213</v>
      </c>
      <c r="C1608" s="16"/>
      <c r="D1608" s="16"/>
      <c r="E1608" s="16"/>
      <c r="F1608" s="16"/>
      <c r="G1608" s="16"/>
      <c r="H1608" s="16"/>
      <c r="I1608" s="17">
        <v>2023</v>
      </c>
      <c r="J1608" s="16"/>
      <c r="K1608" s="16"/>
      <c r="L1608" s="16"/>
      <c r="M1608" s="17" t="s">
        <v>247</v>
      </c>
      <c r="N1608" s="16" t="s">
        <v>118</v>
      </c>
      <c r="O1608" s="16" t="s">
        <v>40</v>
      </c>
      <c r="P1608" s="15" t="s">
        <v>272</v>
      </c>
      <c r="Q1608" s="16"/>
      <c r="R1608" s="16"/>
      <c r="S1608" s="16"/>
      <c r="T1608" s="16"/>
      <c r="U1608" s="16" t="s">
        <v>36</v>
      </c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</row>
    <row r="1609" spans="1:45" x14ac:dyDescent="0.2">
      <c r="A1609" s="14">
        <v>45211</v>
      </c>
      <c r="B1609" s="14">
        <v>45211</v>
      </c>
      <c r="C1609" s="16"/>
      <c r="D1609" s="16"/>
      <c r="E1609" s="16"/>
      <c r="F1609" s="16"/>
      <c r="G1609" s="16"/>
      <c r="H1609" s="16"/>
      <c r="I1609" s="17">
        <v>2023</v>
      </c>
      <c r="J1609" s="16"/>
      <c r="K1609" s="16"/>
      <c r="L1609" s="16"/>
      <c r="M1609" s="17" t="s">
        <v>247</v>
      </c>
      <c r="N1609" s="18" t="s">
        <v>118</v>
      </c>
      <c r="O1609" s="16" t="s">
        <v>40</v>
      </c>
      <c r="P1609" s="15" t="s">
        <v>672</v>
      </c>
      <c r="Q1609" s="16"/>
      <c r="R1609" s="16"/>
      <c r="S1609" s="16"/>
      <c r="T1609" s="16"/>
      <c r="U1609" s="16" t="s">
        <v>36</v>
      </c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</row>
    <row r="1610" spans="1:45" x14ac:dyDescent="0.2">
      <c r="A1610" s="14">
        <v>45617</v>
      </c>
      <c r="B1610" s="14">
        <v>45617</v>
      </c>
      <c r="C1610" s="16"/>
      <c r="D1610" s="16"/>
      <c r="E1610" s="16"/>
      <c r="F1610" s="16"/>
      <c r="G1610" s="16"/>
      <c r="H1610" s="16"/>
      <c r="I1610" s="19">
        <v>2024</v>
      </c>
      <c r="J1610" s="16"/>
      <c r="K1610" s="16"/>
      <c r="L1610" s="16"/>
      <c r="M1610" s="19" t="s">
        <v>30</v>
      </c>
      <c r="N1610" s="16" t="s">
        <v>118</v>
      </c>
      <c r="O1610" s="16" t="s">
        <v>40</v>
      </c>
      <c r="P1610" s="15" t="s">
        <v>52</v>
      </c>
      <c r="Q1610" s="16"/>
      <c r="R1610" s="16"/>
      <c r="S1610" s="16"/>
      <c r="T1610" s="16"/>
      <c r="U1610" s="16" t="s">
        <v>36</v>
      </c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</row>
    <row r="1611" spans="1:45" x14ac:dyDescent="0.2">
      <c r="A1611" s="14">
        <v>45582</v>
      </c>
      <c r="B1611" s="14">
        <v>45582</v>
      </c>
      <c r="C1611" s="19" t="s">
        <v>651</v>
      </c>
      <c r="D1611" s="16"/>
      <c r="E1611" s="16"/>
      <c r="F1611" s="16"/>
      <c r="G1611" s="16"/>
      <c r="H1611" s="16"/>
      <c r="I1611" s="19">
        <v>2024</v>
      </c>
      <c r="J1611" s="16"/>
      <c r="K1611" s="16"/>
      <c r="L1611" s="16"/>
      <c r="M1611" s="19" t="s">
        <v>247</v>
      </c>
      <c r="N1611" s="19" t="s">
        <v>118</v>
      </c>
      <c r="O1611" s="16" t="s">
        <v>38</v>
      </c>
      <c r="P1611" s="15" t="s">
        <v>672</v>
      </c>
      <c r="Q1611" s="16"/>
      <c r="R1611" s="16"/>
      <c r="S1611" s="16"/>
      <c r="T1611" s="16"/>
      <c r="U1611" s="16" t="s">
        <v>36</v>
      </c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</row>
    <row r="1612" spans="1:45" x14ac:dyDescent="0.2">
      <c r="A1612" s="14">
        <v>45582</v>
      </c>
      <c r="B1612" s="14">
        <v>45582</v>
      </c>
      <c r="C1612" s="19" t="s">
        <v>651</v>
      </c>
      <c r="D1612" s="16"/>
      <c r="E1612" s="16"/>
      <c r="F1612" s="16"/>
      <c r="G1612" s="16"/>
      <c r="H1612" s="16"/>
      <c r="I1612" s="19">
        <v>2024</v>
      </c>
      <c r="J1612" s="16"/>
      <c r="K1612" s="16"/>
      <c r="L1612" s="16"/>
      <c r="M1612" s="19" t="s">
        <v>247</v>
      </c>
      <c r="N1612" s="19" t="s">
        <v>118</v>
      </c>
      <c r="O1612" s="16" t="s">
        <v>40</v>
      </c>
      <c r="P1612" s="15" t="s">
        <v>672</v>
      </c>
      <c r="Q1612" s="16"/>
      <c r="R1612" s="16"/>
      <c r="S1612" s="16"/>
      <c r="T1612" s="16"/>
      <c r="U1612" s="16" t="s">
        <v>36</v>
      </c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</row>
    <row r="1613" spans="1:45" x14ac:dyDescent="0.2">
      <c r="A1613" s="14">
        <v>45555</v>
      </c>
      <c r="B1613" s="14">
        <v>45555</v>
      </c>
      <c r="C1613" s="19" t="s">
        <v>651</v>
      </c>
      <c r="D1613" s="16"/>
      <c r="E1613" s="16"/>
      <c r="F1613" s="16"/>
      <c r="G1613" s="16"/>
      <c r="H1613" s="16"/>
      <c r="I1613" s="19">
        <v>2024</v>
      </c>
      <c r="J1613" s="16"/>
      <c r="K1613" s="16"/>
      <c r="L1613" s="16"/>
      <c r="M1613" s="17" t="s">
        <v>916</v>
      </c>
      <c r="N1613" s="16" t="s">
        <v>118</v>
      </c>
      <c r="O1613" s="16" t="s">
        <v>40</v>
      </c>
      <c r="P1613" s="15" t="s">
        <v>913</v>
      </c>
      <c r="Q1613" s="16"/>
      <c r="R1613" s="16"/>
      <c r="S1613" s="16"/>
      <c r="T1613" s="16"/>
      <c r="U1613" s="16" t="s">
        <v>36</v>
      </c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</row>
    <row r="1614" spans="1:45" x14ac:dyDescent="0.2">
      <c r="A1614" s="14">
        <v>45910</v>
      </c>
      <c r="B1614" s="14">
        <v>45910</v>
      </c>
      <c r="C1614" s="19" t="s">
        <v>1155</v>
      </c>
      <c r="D1614" s="16"/>
      <c r="E1614" s="16"/>
      <c r="F1614" s="16"/>
      <c r="G1614" s="16"/>
      <c r="H1614" s="16"/>
      <c r="I1614" s="19">
        <v>2025</v>
      </c>
      <c r="J1614" s="16"/>
      <c r="K1614" s="16"/>
      <c r="L1614" s="16"/>
      <c r="M1614" s="19" t="s">
        <v>247</v>
      </c>
      <c r="N1614" s="16" t="s">
        <v>118</v>
      </c>
      <c r="O1614" s="16" t="s">
        <v>32</v>
      </c>
      <c r="P1614" s="15" t="s">
        <v>272</v>
      </c>
      <c r="Q1614" s="16"/>
      <c r="R1614" s="16"/>
      <c r="S1614" s="16"/>
      <c r="T1614" s="16"/>
      <c r="U1614" s="16" t="s">
        <v>36</v>
      </c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</row>
    <row r="1615" spans="1:45" x14ac:dyDescent="0.2">
      <c r="A1615" s="23">
        <v>42998</v>
      </c>
      <c r="B1615" s="23">
        <v>42998</v>
      </c>
      <c r="C1615" s="20"/>
      <c r="D1615" s="20"/>
      <c r="E1615" s="20"/>
      <c r="F1615" s="20"/>
      <c r="G1615" s="20"/>
      <c r="H1615" s="20"/>
      <c r="I1615" s="19">
        <v>2017</v>
      </c>
      <c r="J1615" s="20"/>
      <c r="K1615" s="20"/>
      <c r="L1615" s="20"/>
      <c r="M1615" s="21" t="s">
        <v>916</v>
      </c>
      <c r="N1615" s="16" t="s">
        <v>118</v>
      </c>
      <c r="O1615" s="21" t="s">
        <v>38</v>
      </c>
      <c r="P1615" t="s">
        <v>1152</v>
      </c>
      <c r="Q1615" s="20"/>
      <c r="R1615" s="20"/>
      <c r="S1615" s="20"/>
      <c r="T1615" s="20"/>
      <c r="U1615" s="20" t="s">
        <v>36</v>
      </c>
      <c r="V1615" s="20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/>
      <c r="AR1615" s="20"/>
      <c r="AS1615" s="20"/>
    </row>
    <row r="1616" spans="1:45" x14ac:dyDescent="0.2">
      <c r="A1616" s="23">
        <v>42999</v>
      </c>
      <c r="B1616" s="23">
        <v>42999</v>
      </c>
      <c r="C1616" s="20"/>
      <c r="D1616" s="20"/>
      <c r="E1616" s="20"/>
      <c r="F1616" s="20"/>
      <c r="G1616" s="20"/>
      <c r="H1616" s="20"/>
      <c r="I1616" s="19">
        <v>2017</v>
      </c>
      <c r="J1616" s="20"/>
      <c r="K1616" s="20"/>
      <c r="L1616" s="20"/>
      <c r="M1616" s="21" t="s">
        <v>916</v>
      </c>
      <c r="N1616" s="16" t="s">
        <v>118</v>
      </c>
      <c r="O1616" s="21" t="s">
        <v>32</v>
      </c>
      <c r="P1616" t="s">
        <v>913</v>
      </c>
      <c r="Q1616" s="20"/>
      <c r="R1616" s="20"/>
      <c r="S1616" s="20"/>
      <c r="T1616" s="20"/>
      <c r="U1616" s="20" t="s">
        <v>36</v>
      </c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/>
      <c r="AR1616" s="20"/>
      <c r="AS1616" s="20"/>
    </row>
    <row r="1617" spans="1:45" x14ac:dyDescent="0.2">
      <c r="A1617" s="23">
        <v>42999</v>
      </c>
      <c r="B1617" s="23">
        <v>42999</v>
      </c>
      <c r="C1617" s="20"/>
      <c r="D1617" s="20"/>
      <c r="E1617" s="20"/>
      <c r="F1617" s="20"/>
      <c r="G1617" s="20"/>
      <c r="H1617" s="20"/>
      <c r="I1617" s="19">
        <v>2017</v>
      </c>
      <c r="J1617" s="20"/>
      <c r="K1617" s="20"/>
      <c r="L1617" s="20"/>
      <c r="M1617" s="21" t="s">
        <v>916</v>
      </c>
      <c r="N1617" s="16" t="s">
        <v>118</v>
      </c>
      <c r="O1617" s="21" t="s">
        <v>38</v>
      </c>
      <c r="P1617" t="s">
        <v>1146</v>
      </c>
      <c r="Q1617" s="20"/>
      <c r="R1617" s="20"/>
      <c r="S1617" s="20"/>
      <c r="T1617" s="20"/>
      <c r="U1617" s="20" t="s">
        <v>36</v>
      </c>
      <c r="V1617" s="20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/>
      <c r="AR1617" s="20"/>
      <c r="AS1617" s="20"/>
    </row>
    <row r="1618" spans="1:45" x14ac:dyDescent="0.2">
      <c r="A1618" s="23">
        <v>42999</v>
      </c>
      <c r="B1618" s="23">
        <v>42999</v>
      </c>
      <c r="C1618" s="20"/>
      <c r="D1618" s="20"/>
      <c r="E1618" s="20"/>
      <c r="F1618" s="20"/>
      <c r="G1618" s="20"/>
      <c r="H1618" s="20"/>
      <c r="I1618" s="19">
        <v>2017</v>
      </c>
      <c r="J1618" s="20"/>
      <c r="K1618" s="20"/>
      <c r="L1618" s="20"/>
      <c r="M1618" s="21" t="s">
        <v>916</v>
      </c>
      <c r="N1618" s="16" t="s">
        <v>118</v>
      </c>
      <c r="O1618" s="21" t="s">
        <v>40</v>
      </c>
      <c r="P1618" t="s">
        <v>1146</v>
      </c>
      <c r="Q1618" s="20"/>
      <c r="R1618" s="20"/>
      <c r="S1618" s="20"/>
      <c r="T1618" s="20"/>
      <c r="U1618" s="20" t="s">
        <v>36</v>
      </c>
      <c r="V1618" s="20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/>
      <c r="AR1618" s="20"/>
      <c r="AS1618" s="20"/>
    </row>
    <row r="1619" spans="1:45" x14ac:dyDescent="0.2">
      <c r="A1619" s="23">
        <v>43000</v>
      </c>
      <c r="B1619" s="23">
        <v>43000</v>
      </c>
      <c r="C1619" s="20"/>
      <c r="D1619" s="20"/>
      <c r="E1619" s="20"/>
      <c r="F1619" s="20"/>
      <c r="G1619" s="20"/>
      <c r="H1619" s="20"/>
      <c r="I1619" s="19">
        <v>2017</v>
      </c>
      <c r="J1619" s="20"/>
      <c r="K1619" s="20"/>
      <c r="L1619" s="20"/>
      <c r="M1619" s="21" t="s">
        <v>916</v>
      </c>
      <c r="N1619" s="16" t="s">
        <v>118</v>
      </c>
      <c r="O1619" s="21" t="s">
        <v>40</v>
      </c>
      <c r="P1619" t="s">
        <v>917</v>
      </c>
      <c r="Q1619" s="20"/>
      <c r="R1619" s="20"/>
      <c r="S1619" s="20"/>
      <c r="T1619" s="20"/>
      <c r="U1619" s="20" t="s">
        <v>36</v>
      </c>
      <c r="V1619" s="20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/>
      <c r="AR1619" s="20"/>
      <c r="AS1619" s="20"/>
    </row>
    <row r="1620" spans="1:45" x14ac:dyDescent="0.2">
      <c r="A1620" s="23">
        <v>43000</v>
      </c>
      <c r="B1620" s="23">
        <v>43000</v>
      </c>
      <c r="C1620" s="20"/>
      <c r="D1620" s="20"/>
      <c r="E1620" s="20"/>
      <c r="F1620" s="20"/>
      <c r="G1620" s="20"/>
      <c r="H1620" s="20"/>
      <c r="I1620" s="19">
        <v>2017</v>
      </c>
      <c r="J1620" s="20"/>
      <c r="K1620" s="20"/>
      <c r="L1620" s="20"/>
      <c r="M1620" s="21" t="s">
        <v>916</v>
      </c>
      <c r="N1620" s="16" t="s">
        <v>118</v>
      </c>
      <c r="O1620" s="21" t="s">
        <v>47</v>
      </c>
      <c r="P1620" t="s">
        <v>917</v>
      </c>
      <c r="Q1620" s="20"/>
      <c r="R1620" s="20"/>
      <c r="S1620" s="20"/>
      <c r="T1620" s="20"/>
      <c r="U1620" s="20" t="s">
        <v>36</v>
      </c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</row>
    <row r="1621" spans="1:45" x14ac:dyDescent="0.2">
      <c r="A1621" s="23">
        <v>43000</v>
      </c>
      <c r="B1621" s="23">
        <v>43000</v>
      </c>
      <c r="C1621" s="20"/>
      <c r="D1621" s="20"/>
      <c r="E1621" s="20"/>
      <c r="F1621" s="20"/>
      <c r="G1621" s="20"/>
      <c r="H1621" s="20"/>
      <c r="I1621" s="19">
        <v>2017</v>
      </c>
      <c r="J1621" s="20"/>
      <c r="K1621" s="20"/>
      <c r="L1621" s="20"/>
      <c r="M1621" s="21" t="s">
        <v>916</v>
      </c>
      <c r="N1621" s="16" t="s">
        <v>118</v>
      </c>
      <c r="O1621" s="21" t="s">
        <v>1156</v>
      </c>
      <c r="P1621" t="s">
        <v>917</v>
      </c>
      <c r="Q1621" s="20"/>
      <c r="R1621" s="20"/>
      <c r="S1621" s="20"/>
      <c r="T1621" s="20"/>
      <c r="U1621" s="20" t="s">
        <v>36</v>
      </c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</row>
    <row r="1622" spans="1:45" x14ac:dyDescent="0.2">
      <c r="A1622" s="23">
        <v>43000</v>
      </c>
      <c r="B1622" s="23">
        <v>43000</v>
      </c>
      <c r="C1622" s="20"/>
      <c r="D1622" s="20"/>
      <c r="E1622" s="20"/>
      <c r="F1622" s="20"/>
      <c r="G1622" s="20"/>
      <c r="H1622" s="20"/>
      <c r="I1622" s="19">
        <v>2017</v>
      </c>
      <c r="J1622" s="20"/>
      <c r="K1622" s="20"/>
      <c r="L1622" s="20"/>
      <c r="M1622" s="21" t="s">
        <v>916</v>
      </c>
      <c r="N1622" s="16" t="s">
        <v>118</v>
      </c>
      <c r="O1622" s="21" t="s">
        <v>1147</v>
      </c>
      <c r="P1622" t="s">
        <v>917</v>
      </c>
      <c r="Q1622" s="20"/>
      <c r="R1622" s="20"/>
      <c r="S1622" s="20"/>
      <c r="T1622" s="20"/>
      <c r="U1622" s="20" t="s">
        <v>36</v>
      </c>
      <c r="V1622" s="20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/>
      <c r="AR1622" s="20"/>
      <c r="AS1622" s="20"/>
    </row>
    <row r="1623" spans="1:45" x14ac:dyDescent="0.2">
      <c r="A1623" s="23">
        <v>43000</v>
      </c>
      <c r="B1623" s="23">
        <v>43000</v>
      </c>
      <c r="C1623" s="20"/>
      <c r="D1623" s="20"/>
      <c r="E1623" s="20"/>
      <c r="F1623" s="20"/>
      <c r="G1623" s="20"/>
      <c r="H1623" s="20"/>
      <c r="I1623" s="19">
        <v>2017</v>
      </c>
      <c r="J1623" s="20"/>
      <c r="K1623" s="20"/>
      <c r="L1623" s="20"/>
      <c r="M1623" s="21" t="s">
        <v>916</v>
      </c>
      <c r="N1623" s="16" t="s">
        <v>118</v>
      </c>
      <c r="O1623" s="21" t="s">
        <v>1148</v>
      </c>
      <c r="P1623" t="s">
        <v>917</v>
      </c>
      <c r="Q1623" s="20"/>
      <c r="R1623" s="20"/>
      <c r="S1623" s="20"/>
      <c r="T1623" s="20"/>
      <c r="U1623" s="20" t="s">
        <v>36</v>
      </c>
      <c r="V1623" s="20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/>
      <c r="AR1623" s="20"/>
      <c r="AS1623" s="20"/>
    </row>
    <row r="1624" spans="1:45" x14ac:dyDescent="0.2">
      <c r="A1624" s="23">
        <v>43060</v>
      </c>
      <c r="B1624" s="23">
        <v>43060</v>
      </c>
      <c r="C1624" s="20"/>
      <c r="D1624" s="20"/>
      <c r="E1624" s="20"/>
      <c r="F1624" s="20"/>
      <c r="G1624" s="20"/>
      <c r="H1624" s="20"/>
      <c r="I1624" s="19">
        <v>2017</v>
      </c>
      <c r="J1624" s="20"/>
      <c r="K1624" s="20"/>
      <c r="L1624" s="20"/>
      <c r="M1624" s="22" t="s">
        <v>247</v>
      </c>
      <c r="N1624" s="16" t="s">
        <v>118</v>
      </c>
      <c r="O1624" s="21" t="s">
        <v>32</v>
      </c>
      <c r="P1624" t="s">
        <v>280</v>
      </c>
      <c r="Q1624" s="20"/>
      <c r="R1624" s="20"/>
      <c r="S1624" s="20"/>
      <c r="T1624" s="20"/>
      <c r="U1624" s="20" t="s">
        <v>36</v>
      </c>
      <c r="V1624" s="20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/>
      <c r="AR1624" s="20"/>
      <c r="AS1624" s="20"/>
    </row>
    <row r="1625" spans="1:45" x14ac:dyDescent="0.2">
      <c r="A1625" s="23">
        <v>43060</v>
      </c>
      <c r="B1625" s="23">
        <v>43060</v>
      </c>
      <c r="C1625" s="20"/>
      <c r="D1625" s="20"/>
      <c r="E1625" s="20"/>
      <c r="F1625" s="20"/>
      <c r="G1625" s="20"/>
      <c r="H1625" s="20"/>
      <c r="I1625" s="19">
        <v>2017</v>
      </c>
      <c r="J1625" s="20"/>
      <c r="K1625" s="20"/>
      <c r="L1625" s="20"/>
      <c r="M1625" s="22" t="s">
        <v>247</v>
      </c>
      <c r="N1625" s="16" t="s">
        <v>118</v>
      </c>
      <c r="O1625" s="21" t="s">
        <v>38</v>
      </c>
      <c r="P1625" t="s">
        <v>280</v>
      </c>
      <c r="Q1625" s="20"/>
      <c r="R1625" s="20"/>
      <c r="S1625" s="20"/>
      <c r="T1625" s="20"/>
      <c r="U1625" s="20" t="s">
        <v>36</v>
      </c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/>
      <c r="AR1625" s="20"/>
      <c r="AS1625" s="20"/>
    </row>
    <row r="1626" spans="1:45" x14ac:dyDescent="0.2">
      <c r="A1626" s="23">
        <v>43060</v>
      </c>
      <c r="B1626" s="23">
        <v>43060</v>
      </c>
      <c r="C1626" s="20"/>
      <c r="D1626" s="20"/>
      <c r="E1626" s="20"/>
      <c r="F1626" s="20"/>
      <c r="G1626" s="20"/>
      <c r="H1626" s="20"/>
      <c r="I1626" s="19">
        <v>2017</v>
      </c>
      <c r="J1626" s="20"/>
      <c r="K1626" s="20"/>
      <c r="L1626" s="20"/>
      <c r="M1626" s="22" t="s">
        <v>247</v>
      </c>
      <c r="N1626" s="16" t="s">
        <v>118</v>
      </c>
      <c r="O1626" s="21" t="s">
        <v>40</v>
      </c>
      <c r="P1626" t="s">
        <v>280</v>
      </c>
      <c r="Q1626" s="20"/>
      <c r="R1626" s="20"/>
      <c r="S1626" s="20"/>
      <c r="T1626" s="20"/>
      <c r="U1626" s="20" t="s">
        <v>36</v>
      </c>
      <c r="V1626" s="20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/>
      <c r="AR1626" s="20"/>
      <c r="AS1626" s="20"/>
    </row>
    <row r="1627" spans="1:45" x14ac:dyDescent="0.2">
      <c r="A1627" s="23">
        <v>43060</v>
      </c>
      <c r="B1627" s="23">
        <v>43060</v>
      </c>
      <c r="C1627" s="20"/>
      <c r="D1627" s="20"/>
      <c r="E1627" s="20"/>
      <c r="F1627" s="20"/>
      <c r="G1627" s="20"/>
      <c r="H1627" s="20"/>
      <c r="I1627" s="19">
        <v>2017</v>
      </c>
      <c r="J1627" s="20"/>
      <c r="K1627" s="20"/>
      <c r="L1627" s="20"/>
      <c r="M1627" s="22" t="s">
        <v>247</v>
      </c>
      <c r="N1627" s="16" t="s">
        <v>118</v>
      </c>
      <c r="O1627" s="21" t="s">
        <v>47</v>
      </c>
      <c r="P1627" t="s">
        <v>280</v>
      </c>
      <c r="Q1627" s="20"/>
      <c r="R1627" s="20"/>
      <c r="S1627" s="20"/>
      <c r="T1627" s="20"/>
      <c r="U1627" s="20" t="s">
        <v>36</v>
      </c>
      <c r="V1627" s="20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/>
      <c r="AR1627" s="20"/>
      <c r="AS1627" s="20"/>
    </row>
    <row r="1628" spans="1:45" x14ac:dyDescent="0.2">
      <c r="A1628" s="23">
        <v>43060</v>
      </c>
      <c r="B1628" s="23">
        <v>43060</v>
      </c>
      <c r="C1628" s="20"/>
      <c r="D1628" s="20"/>
      <c r="E1628" s="20"/>
      <c r="F1628" s="20"/>
      <c r="G1628" s="20"/>
      <c r="H1628" s="20"/>
      <c r="I1628" s="19">
        <v>2017</v>
      </c>
      <c r="J1628" s="20"/>
      <c r="K1628" s="20"/>
      <c r="L1628" s="20"/>
      <c r="M1628" s="21" t="s">
        <v>247</v>
      </c>
      <c r="N1628" s="16" t="s">
        <v>118</v>
      </c>
      <c r="O1628" s="21" t="s">
        <v>40</v>
      </c>
      <c r="P1628" t="s">
        <v>248</v>
      </c>
      <c r="Q1628" s="20"/>
      <c r="R1628" s="20"/>
      <c r="S1628" s="20"/>
      <c r="T1628" s="20"/>
      <c r="U1628" s="20" t="s">
        <v>36</v>
      </c>
      <c r="V1628" s="20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/>
      <c r="AR1628" s="20"/>
      <c r="AS1628" s="20"/>
    </row>
    <row r="1629" spans="1:45" x14ac:dyDescent="0.2">
      <c r="A1629" s="23">
        <v>43060</v>
      </c>
      <c r="B1629" s="23">
        <v>43060</v>
      </c>
      <c r="C1629" s="20"/>
      <c r="D1629" s="20"/>
      <c r="E1629" s="20"/>
      <c r="F1629" s="20"/>
      <c r="G1629" s="20"/>
      <c r="H1629" s="20"/>
      <c r="I1629" s="19">
        <v>2017</v>
      </c>
      <c r="J1629" s="20"/>
      <c r="K1629" s="20"/>
      <c r="L1629" s="20"/>
      <c r="M1629" s="21" t="s">
        <v>247</v>
      </c>
      <c r="N1629" s="16" t="s">
        <v>118</v>
      </c>
      <c r="O1629" s="21" t="s">
        <v>47</v>
      </c>
      <c r="P1629" t="s">
        <v>248</v>
      </c>
      <c r="Q1629" s="20"/>
      <c r="R1629" s="20"/>
      <c r="S1629" s="20"/>
      <c r="T1629" s="20"/>
      <c r="U1629" s="20" t="s">
        <v>36</v>
      </c>
      <c r="V1629" s="20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/>
      <c r="AR1629" s="20"/>
      <c r="AS1629" s="20"/>
    </row>
    <row r="1630" spans="1:45" x14ac:dyDescent="0.2">
      <c r="A1630" s="23">
        <v>43013</v>
      </c>
      <c r="B1630" s="23">
        <v>43013</v>
      </c>
      <c r="C1630" s="20"/>
      <c r="D1630" s="20"/>
      <c r="E1630" s="20"/>
      <c r="F1630" s="20"/>
      <c r="G1630" s="20"/>
      <c r="H1630" s="20"/>
      <c r="I1630" s="19">
        <v>2017</v>
      </c>
      <c r="J1630" s="20"/>
      <c r="K1630" s="20"/>
      <c r="L1630" s="20"/>
      <c r="M1630" s="21" t="s">
        <v>624</v>
      </c>
      <c r="N1630" s="16" t="s">
        <v>118</v>
      </c>
      <c r="O1630" s="21" t="s">
        <v>40</v>
      </c>
      <c r="P1630" t="s">
        <v>625</v>
      </c>
      <c r="Q1630" s="20"/>
      <c r="R1630" s="20"/>
      <c r="S1630" s="20"/>
      <c r="T1630" s="20"/>
      <c r="U1630" s="20" t="s">
        <v>36</v>
      </c>
      <c r="V1630" s="20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/>
      <c r="AR1630" s="20"/>
      <c r="AS1630" s="20"/>
    </row>
    <row r="1631" spans="1:45" x14ac:dyDescent="0.2">
      <c r="A1631" s="23">
        <v>43014</v>
      </c>
      <c r="B1631" s="23">
        <v>43014</v>
      </c>
      <c r="C1631" s="20"/>
      <c r="D1631" s="20"/>
      <c r="E1631" s="20"/>
      <c r="F1631" s="20"/>
      <c r="G1631" s="20"/>
      <c r="H1631" s="20"/>
      <c r="I1631" s="19">
        <v>2017</v>
      </c>
      <c r="J1631" s="20"/>
      <c r="K1631" s="20"/>
      <c r="L1631" s="20"/>
      <c r="M1631" s="22" t="s">
        <v>624</v>
      </c>
      <c r="N1631" s="16" t="s">
        <v>118</v>
      </c>
      <c r="O1631" s="21" t="s">
        <v>32</v>
      </c>
      <c r="P1631" t="s">
        <v>643</v>
      </c>
      <c r="Q1631" s="20"/>
      <c r="R1631" s="20"/>
      <c r="S1631" s="20"/>
      <c r="T1631" s="20"/>
      <c r="U1631" s="20" t="s">
        <v>36</v>
      </c>
      <c r="V1631" s="20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/>
      <c r="AR1631" s="20"/>
      <c r="AS1631" s="20"/>
    </row>
    <row r="1632" spans="1:45" x14ac:dyDescent="0.2">
      <c r="A1632" s="23">
        <v>43014</v>
      </c>
      <c r="B1632" s="23">
        <v>43014</v>
      </c>
      <c r="C1632" s="20"/>
      <c r="D1632" s="20"/>
      <c r="E1632" s="20"/>
      <c r="F1632" s="20"/>
      <c r="G1632" s="20"/>
      <c r="H1632" s="20"/>
      <c r="I1632" s="19">
        <v>2017</v>
      </c>
      <c r="J1632" s="20"/>
      <c r="K1632" s="20"/>
      <c r="L1632" s="20"/>
      <c r="M1632" s="22" t="s">
        <v>624</v>
      </c>
      <c r="N1632" s="16" t="s">
        <v>118</v>
      </c>
      <c r="O1632" s="21" t="s">
        <v>40</v>
      </c>
      <c r="P1632" t="s">
        <v>643</v>
      </c>
      <c r="Q1632" s="20"/>
      <c r="R1632" s="20"/>
      <c r="S1632" s="20"/>
      <c r="T1632" s="20"/>
      <c r="U1632" s="20" t="s">
        <v>36</v>
      </c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/>
      <c r="AR1632" s="20"/>
      <c r="AS1632" s="20"/>
    </row>
    <row r="1633" spans="1:45" x14ac:dyDescent="0.2">
      <c r="A1633" s="23">
        <v>43014</v>
      </c>
      <c r="B1633" s="23">
        <v>43014</v>
      </c>
      <c r="C1633" s="20"/>
      <c r="D1633" s="20"/>
      <c r="E1633" s="20"/>
      <c r="F1633" s="20"/>
      <c r="G1633" s="20"/>
      <c r="H1633" s="20"/>
      <c r="I1633" s="19">
        <v>2017</v>
      </c>
      <c r="J1633" s="20"/>
      <c r="K1633" s="20"/>
      <c r="L1633" s="20"/>
      <c r="M1633" s="22" t="s">
        <v>624</v>
      </c>
      <c r="N1633" s="16" t="s">
        <v>118</v>
      </c>
      <c r="O1633" s="21" t="s">
        <v>47</v>
      </c>
      <c r="P1633" t="s">
        <v>643</v>
      </c>
      <c r="Q1633" s="20"/>
      <c r="R1633" s="20"/>
      <c r="S1633" s="20"/>
      <c r="T1633" s="20"/>
      <c r="U1633" s="20" t="s">
        <v>36</v>
      </c>
      <c r="V1633" s="20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/>
      <c r="AR1633" s="20"/>
      <c r="AS1633" s="20"/>
    </row>
    <row r="1634" spans="1:45" x14ac:dyDescent="0.2">
      <c r="A1634" s="23">
        <v>43014</v>
      </c>
      <c r="B1634" s="23">
        <v>43014</v>
      </c>
      <c r="C1634" s="20"/>
      <c r="D1634" s="20"/>
      <c r="E1634" s="20"/>
      <c r="F1634" s="20"/>
      <c r="G1634" s="20"/>
      <c r="H1634" s="20"/>
      <c r="I1634" s="19">
        <v>2017</v>
      </c>
      <c r="J1634" s="20"/>
      <c r="K1634" s="20"/>
      <c r="L1634" s="20"/>
      <c r="M1634" s="22" t="s">
        <v>624</v>
      </c>
      <c r="N1634" s="16" t="s">
        <v>118</v>
      </c>
      <c r="O1634" s="21" t="s">
        <v>32</v>
      </c>
      <c r="P1634" t="s">
        <v>720</v>
      </c>
      <c r="Q1634" s="20"/>
      <c r="R1634" s="20"/>
      <c r="S1634" s="20"/>
      <c r="T1634" s="20"/>
      <c r="U1634" s="20" t="s">
        <v>36</v>
      </c>
      <c r="V1634" s="20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/>
      <c r="AR1634" s="20"/>
      <c r="AS1634" s="20"/>
    </row>
    <row r="1635" spans="1:45" x14ac:dyDescent="0.2">
      <c r="A1635" s="23">
        <v>43014</v>
      </c>
      <c r="B1635" s="23">
        <v>43014</v>
      </c>
      <c r="C1635" s="20"/>
      <c r="D1635" s="20"/>
      <c r="E1635" s="20"/>
      <c r="F1635" s="20"/>
      <c r="G1635" s="20"/>
      <c r="H1635" s="20"/>
      <c r="I1635" s="19">
        <v>2017</v>
      </c>
      <c r="J1635" s="20"/>
      <c r="K1635" s="20"/>
      <c r="L1635" s="20"/>
      <c r="M1635" s="22" t="s">
        <v>624</v>
      </c>
      <c r="N1635" s="16" t="s">
        <v>118</v>
      </c>
      <c r="O1635" s="21" t="s">
        <v>47</v>
      </c>
      <c r="P1635" t="s">
        <v>720</v>
      </c>
      <c r="Q1635" s="20"/>
      <c r="R1635" s="20"/>
      <c r="S1635" s="20"/>
      <c r="T1635" s="20"/>
      <c r="U1635" s="20" t="s">
        <v>36</v>
      </c>
      <c r="V1635" s="20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/>
      <c r="AR1635" s="20"/>
      <c r="AS1635" s="20"/>
    </row>
    <row r="1636" spans="1:45" x14ac:dyDescent="0.2">
      <c r="A1636" s="23">
        <v>43014</v>
      </c>
      <c r="B1636" s="23">
        <v>43014</v>
      </c>
      <c r="C1636" s="20"/>
      <c r="D1636" s="20"/>
      <c r="E1636" s="20"/>
      <c r="F1636" s="20"/>
      <c r="G1636" s="20"/>
      <c r="H1636" s="20"/>
      <c r="I1636" s="19">
        <v>2017</v>
      </c>
      <c r="J1636" s="20"/>
      <c r="K1636" s="20"/>
      <c r="L1636" s="20"/>
      <c r="M1636" s="21" t="s">
        <v>624</v>
      </c>
      <c r="N1636" s="16" t="s">
        <v>118</v>
      </c>
      <c r="O1636" s="21" t="s">
        <v>32</v>
      </c>
      <c r="P1636" t="s">
        <v>690</v>
      </c>
      <c r="Q1636" s="20"/>
      <c r="R1636" s="20"/>
      <c r="S1636" s="20"/>
      <c r="T1636" s="20"/>
      <c r="U1636" s="20" t="s">
        <v>36</v>
      </c>
      <c r="V1636" s="20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/>
      <c r="AR1636" s="20"/>
      <c r="AS1636" s="20"/>
    </row>
    <row r="1637" spans="1:45" x14ac:dyDescent="0.2">
      <c r="A1637" s="23">
        <v>43014</v>
      </c>
      <c r="B1637" s="23">
        <v>43014</v>
      </c>
      <c r="C1637" s="20"/>
      <c r="D1637" s="20"/>
      <c r="E1637" s="20"/>
      <c r="F1637" s="20"/>
      <c r="G1637" s="20"/>
      <c r="H1637" s="20"/>
      <c r="I1637" s="19">
        <v>2017</v>
      </c>
      <c r="J1637" s="20"/>
      <c r="K1637" s="20"/>
      <c r="L1637" s="20"/>
      <c r="M1637" s="21" t="s">
        <v>624</v>
      </c>
      <c r="N1637" s="16" t="s">
        <v>118</v>
      </c>
      <c r="O1637" s="21" t="s">
        <v>38</v>
      </c>
      <c r="P1637" t="s">
        <v>690</v>
      </c>
      <c r="Q1637" s="20"/>
      <c r="R1637" s="20"/>
      <c r="S1637" s="20"/>
      <c r="T1637" s="20"/>
      <c r="U1637" s="20" t="s">
        <v>36</v>
      </c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/>
      <c r="AR1637" s="20"/>
      <c r="AS1637" s="20"/>
    </row>
    <row r="1638" spans="1:45" x14ac:dyDescent="0.2">
      <c r="A1638" s="23">
        <v>43014</v>
      </c>
      <c r="B1638" s="23">
        <v>43014</v>
      </c>
      <c r="C1638" s="20"/>
      <c r="D1638" s="20"/>
      <c r="E1638" s="20"/>
      <c r="F1638" s="20"/>
      <c r="G1638" s="20"/>
      <c r="H1638" s="20"/>
      <c r="I1638" s="19">
        <v>2017</v>
      </c>
      <c r="J1638" s="20"/>
      <c r="K1638" s="20"/>
      <c r="L1638" s="20"/>
      <c r="M1638" s="21" t="s">
        <v>624</v>
      </c>
      <c r="N1638" s="16" t="s">
        <v>118</v>
      </c>
      <c r="O1638" s="21" t="s">
        <v>40</v>
      </c>
      <c r="P1638" t="s">
        <v>690</v>
      </c>
      <c r="Q1638" s="20"/>
      <c r="R1638" s="20"/>
      <c r="S1638" s="20"/>
      <c r="T1638" s="20"/>
      <c r="U1638" s="20" t="s">
        <v>36</v>
      </c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/>
      <c r="AR1638" s="20"/>
      <c r="AS1638" s="20"/>
    </row>
    <row r="1639" spans="1:45" x14ac:dyDescent="0.2">
      <c r="A1639" s="23">
        <v>43214</v>
      </c>
      <c r="B1639" s="23">
        <v>43214</v>
      </c>
      <c r="C1639" s="20"/>
      <c r="D1639" s="20"/>
      <c r="E1639" s="20"/>
      <c r="F1639" s="20"/>
      <c r="G1639" s="20"/>
      <c r="H1639" s="20"/>
      <c r="I1639" s="19">
        <v>2018</v>
      </c>
      <c r="J1639" s="20"/>
      <c r="K1639" s="20"/>
      <c r="L1639" s="20"/>
      <c r="M1639" s="21" t="s">
        <v>247</v>
      </c>
      <c r="N1639" s="16" t="s">
        <v>118</v>
      </c>
      <c r="O1639" s="21" t="s">
        <v>32</v>
      </c>
      <c r="P1639" t="s">
        <v>280</v>
      </c>
      <c r="Q1639" s="20"/>
      <c r="R1639" s="20"/>
      <c r="S1639" s="20"/>
      <c r="T1639" s="20"/>
      <c r="U1639" s="20" t="s">
        <v>36</v>
      </c>
      <c r="V1639" s="20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/>
      <c r="AR1639" s="20"/>
      <c r="AS1639" s="20"/>
    </row>
    <row r="1640" spans="1:45" x14ac:dyDescent="0.2">
      <c r="A1640" s="23">
        <v>43438</v>
      </c>
      <c r="B1640" s="23">
        <v>43438</v>
      </c>
      <c r="C1640" s="20"/>
      <c r="D1640" s="20"/>
      <c r="E1640" s="20"/>
      <c r="F1640" s="20"/>
      <c r="G1640" s="20"/>
      <c r="H1640" s="20"/>
      <c r="I1640" s="19">
        <v>2018</v>
      </c>
      <c r="J1640" s="20"/>
      <c r="K1640" s="20"/>
      <c r="L1640" s="20"/>
      <c r="M1640" s="22" t="s">
        <v>1154</v>
      </c>
      <c r="N1640" s="16" t="s">
        <v>118</v>
      </c>
      <c r="O1640" s="21" t="s">
        <v>38</v>
      </c>
      <c r="P1640" t="s">
        <v>111</v>
      </c>
      <c r="Q1640" s="20"/>
      <c r="R1640" s="20"/>
      <c r="S1640" s="20"/>
      <c r="T1640" s="20"/>
      <c r="U1640" s="20" t="s">
        <v>36</v>
      </c>
      <c r="V1640" s="20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/>
      <c r="AR1640" s="20"/>
      <c r="AS1640" s="20"/>
    </row>
    <row r="1641" spans="1:45" x14ac:dyDescent="0.2">
      <c r="A1641" s="23">
        <v>43411</v>
      </c>
      <c r="B1641" s="23">
        <v>43411</v>
      </c>
      <c r="C1641" s="20"/>
      <c r="D1641" s="20"/>
      <c r="E1641" s="20"/>
      <c r="F1641" s="20"/>
      <c r="G1641" s="20"/>
      <c r="H1641" s="20"/>
      <c r="I1641" s="19">
        <v>2018</v>
      </c>
      <c r="J1641" s="20"/>
      <c r="K1641" s="20"/>
      <c r="L1641" s="20"/>
      <c r="M1641" s="22" t="s">
        <v>624</v>
      </c>
      <c r="N1641" s="16" t="s">
        <v>118</v>
      </c>
      <c r="O1641" s="21" t="s">
        <v>40</v>
      </c>
      <c r="P1641" t="s">
        <v>625</v>
      </c>
      <c r="Q1641" s="20"/>
      <c r="R1641" s="20"/>
      <c r="S1641" s="20"/>
      <c r="T1641" s="20"/>
      <c r="U1641" s="20" t="s">
        <v>36</v>
      </c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/>
      <c r="AR1641" s="20"/>
      <c r="AS1641" s="20"/>
    </row>
    <row r="1642" spans="1:45" x14ac:dyDescent="0.2">
      <c r="A1642" s="23">
        <v>43412</v>
      </c>
      <c r="B1642" s="23">
        <v>43412</v>
      </c>
      <c r="C1642" s="20"/>
      <c r="D1642" s="20"/>
      <c r="E1642" s="20"/>
      <c r="F1642" s="20"/>
      <c r="G1642" s="20"/>
      <c r="H1642" s="20"/>
      <c r="I1642" s="19">
        <v>2018</v>
      </c>
      <c r="J1642" s="20"/>
      <c r="K1642" s="20"/>
      <c r="L1642" s="20"/>
      <c r="M1642" s="22" t="s">
        <v>624</v>
      </c>
      <c r="N1642" s="16" t="s">
        <v>118</v>
      </c>
      <c r="O1642" s="21" t="s">
        <v>32</v>
      </c>
      <c r="P1642" t="s">
        <v>690</v>
      </c>
      <c r="Q1642" s="20"/>
      <c r="R1642" s="20"/>
      <c r="S1642" s="20"/>
      <c r="T1642" s="20"/>
      <c r="U1642" s="20" t="s">
        <v>36</v>
      </c>
      <c r="V1642" s="20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/>
      <c r="AR1642" s="20"/>
      <c r="AS1642" s="20"/>
    </row>
    <row r="1643" spans="1:45" x14ac:dyDescent="0.2">
      <c r="A1643" s="23">
        <v>43412</v>
      </c>
      <c r="B1643" s="23">
        <v>43412</v>
      </c>
      <c r="C1643" s="20"/>
      <c r="D1643" s="20"/>
      <c r="E1643" s="20"/>
      <c r="F1643" s="20"/>
      <c r="G1643" s="20"/>
      <c r="H1643" s="20"/>
      <c r="I1643" s="19">
        <v>2018</v>
      </c>
      <c r="J1643" s="20"/>
      <c r="K1643" s="20"/>
      <c r="L1643" s="20"/>
      <c r="M1643" s="22" t="s">
        <v>624</v>
      </c>
      <c r="N1643" s="16" t="s">
        <v>118</v>
      </c>
      <c r="O1643" s="21" t="s">
        <v>38</v>
      </c>
      <c r="P1643" t="s">
        <v>690</v>
      </c>
      <c r="Q1643" s="20"/>
      <c r="R1643" s="20"/>
      <c r="S1643" s="20"/>
      <c r="T1643" s="20"/>
      <c r="U1643" s="20" t="s">
        <v>36</v>
      </c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/>
      <c r="AR1643" s="20"/>
      <c r="AS1643" s="20"/>
    </row>
    <row r="1644" spans="1:45" x14ac:dyDescent="0.2">
      <c r="A1644" s="23">
        <v>43412</v>
      </c>
      <c r="B1644" s="23">
        <v>43412</v>
      </c>
      <c r="C1644" s="20"/>
      <c r="D1644" s="20"/>
      <c r="E1644" s="20"/>
      <c r="F1644" s="20"/>
      <c r="G1644" s="20"/>
      <c r="H1644" s="20"/>
      <c r="I1644" s="19">
        <v>2018</v>
      </c>
      <c r="J1644" s="20"/>
      <c r="K1644" s="20"/>
      <c r="L1644" s="20"/>
      <c r="M1644" s="22" t="s">
        <v>624</v>
      </c>
      <c r="N1644" s="16" t="s">
        <v>118</v>
      </c>
      <c r="O1644" s="21" t="s">
        <v>40</v>
      </c>
      <c r="P1644" t="s">
        <v>690</v>
      </c>
      <c r="Q1644" s="20"/>
      <c r="R1644" s="20"/>
      <c r="S1644" s="20"/>
      <c r="T1644" s="20"/>
      <c r="U1644" s="20" t="s">
        <v>36</v>
      </c>
      <c r="V1644" s="20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/>
      <c r="AR1644" s="20"/>
      <c r="AS1644" s="20"/>
    </row>
    <row r="1645" spans="1:45" x14ac:dyDescent="0.2">
      <c r="A1645" s="23">
        <v>43201</v>
      </c>
      <c r="B1645" s="23">
        <v>43201</v>
      </c>
      <c r="C1645" s="20"/>
      <c r="D1645" s="20"/>
      <c r="E1645" s="20"/>
      <c r="F1645" s="20"/>
      <c r="G1645" s="20"/>
      <c r="H1645" s="20"/>
      <c r="I1645" s="19">
        <v>2018</v>
      </c>
      <c r="J1645" s="20"/>
      <c r="K1645" s="20"/>
      <c r="L1645" s="20"/>
      <c r="M1645" s="21" t="s">
        <v>624</v>
      </c>
      <c r="N1645" s="16" t="s">
        <v>118</v>
      </c>
      <c r="O1645" s="21" t="s">
        <v>40</v>
      </c>
      <c r="P1645" t="s">
        <v>643</v>
      </c>
      <c r="Q1645" s="20"/>
      <c r="R1645" s="20"/>
      <c r="S1645" s="20"/>
      <c r="T1645" s="20"/>
      <c r="U1645" s="20" t="s">
        <v>36</v>
      </c>
      <c r="V1645" s="20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/>
      <c r="AR1645" s="20"/>
      <c r="AS1645" s="20"/>
    </row>
    <row r="1646" spans="1:45" x14ac:dyDescent="0.2">
      <c r="A1646" s="23">
        <v>43201</v>
      </c>
      <c r="B1646" s="23">
        <v>43201</v>
      </c>
      <c r="C1646" s="20"/>
      <c r="D1646" s="20"/>
      <c r="E1646" s="20"/>
      <c r="F1646" s="20"/>
      <c r="G1646" s="20"/>
      <c r="H1646" s="20"/>
      <c r="I1646" s="19">
        <v>2018</v>
      </c>
      <c r="J1646" s="20"/>
      <c r="K1646" s="20"/>
      <c r="L1646" s="20"/>
      <c r="M1646" s="21" t="s">
        <v>624</v>
      </c>
      <c r="N1646" s="16" t="s">
        <v>118</v>
      </c>
      <c r="O1646" s="21" t="s">
        <v>40</v>
      </c>
      <c r="P1646" t="s">
        <v>625</v>
      </c>
      <c r="Q1646" s="20"/>
      <c r="R1646" s="20"/>
      <c r="S1646" s="20"/>
      <c r="T1646" s="20"/>
      <c r="U1646" s="20" t="s">
        <v>36</v>
      </c>
      <c r="V1646" s="20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/>
      <c r="AR1646" s="20"/>
      <c r="AS1646" s="20"/>
    </row>
    <row r="1647" spans="1:45" x14ac:dyDescent="0.2">
      <c r="A1647" s="23">
        <v>43427</v>
      </c>
      <c r="B1647" s="23">
        <v>43427</v>
      </c>
      <c r="C1647" s="20"/>
      <c r="D1647" s="20"/>
      <c r="E1647" s="20"/>
      <c r="F1647" s="20"/>
      <c r="G1647" s="20"/>
      <c r="H1647" s="20"/>
      <c r="I1647" s="19">
        <v>2018</v>
      </c>
      <c r="J1647" s="20"/>
      <c r="K1647" s="20"/>
      <c r="L1647" s="20"/>
      <c r="M1647" s="22" t="s">
        <v>916</v>
      </c>
      <c r="N1647" s="16" t="s">
        <v>118</v>
      </c>
      <c r="O1647" s="21" t="s">
        <v>32</v>
      </c>
      <c r="P1647" t="s">
        <v>917</v>
      </c>
      <c r="Q1647" s="20"/>
      <c r="R1647" s="20"/>
      <c r="S1647" s="20"/>
      <c r="T1647" s="20"/>
      <c r="U1647" s="20" t="s">
        <v>36</v>
      </c>
      <c r="V1647" s="20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/>
      <c r="AR1647" s="20"/>
      <c r="AS1647" s="20"/>
    </row>
    <row r="1648" spans="1:45" x14ac:dyDescent="0.2">
      <c r="A1648" s="23">
        <v>43427</v>
      </c>
      <c r="B1648" s="23">
        <v>43427</v>
      </c>
      <c r="C1648" s="20"/>
      <c r="D1648" s="20"/>
      <c r="E1648" s="20"/>
      <c r="F1648" s="20"/>
      <c r="G1648" s="20"/>
      <c r="H1648" s="20"/>
      <c r="I1648" s="19">
        <v>2018</v>
      </c>
      <c r="J1648" s="20"/>
      <c r="K1648" s="20"/>
      <c r="L1648" s="20"/>
      <c r="M1648" s="22" t="s">
        <v>916</v>
      </c>
      <c r="N1648" s="16" t="s">
        <v>118</v>
      </c>
      <c r="O1648" s="21" t="s">
        <v>38</v>
      </c>
      <c r="P1648" t="s">
        <v>917</v>
      </c>
      <c r="Q1648" s="20"/>
      <c r="R1648" s="20"/>
      <c r="S1648" s="20"/>
      <c r="T1648" s="20"/>
      <c r="U1648" s="20" t="s">
        <v>36</v>
      </c>
      <c r="V1648" s="20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/>
      <c r="AR1648" s="20"/>
      <c r="AS1648" s="20"/>
    </row>
    <row r="1649" spans="1:45" x14ac:dyDescent="0.2">
      <c r="A1649" s="23">
        <v>43427</v>
      </c>
      <c r="B1649" s="23">
        <v>43427</v>
      </c>
      <c r="C1649" s="20"/>
      <c r="D1649" s="20"/>
      <c r="E1649" s="20"/>
      <c r="F1649" s="20"/>
      <c r="G1649" s="20"/>
      <c r="H1649" s="20"/>
      <c r="I1649" s="19">
        <v>2018</v>
      </c>
      <c r="J1649" s="20"/>
      <c r="K1649" s="20"/>
      <c r="L1649" s="20"/>
      <c r="M1649" s="22" t="s">
        <v>916</v>
      </c>
      <c r="N1649" s="16" t="s">
        <v>118</v>
      </c>
      <c r="O1649" s="21" t="s">
        <v>47</v>
      </c>
      <c r="P1649" t="s">
        <v>917</v>
      </c>
      <c r="Q1649" s="20"/>
      <c r="R1649" s="20"/>
      <c r="S1649" s="20"/>
      <c r="T1649" s="20"/>
      <c r="U1649" s="20" t="s">
        <v>36</v>
      </c>
      <c r="V1649" s="20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/>
      <c r="AR1649" s="20"/>
      <c r="AS1649" s="20"/>
    </row>
    <row r="1650" spans="1:45" x14ac:dyDescent="0.2">
      <c r="A1650" s="23">
        <v>43427</v>
      </c>
      <c r="B1650" s="23">
        <v>43427</v>
      </c>
      <c r="C1650" s="20"/>
      <c r="D1650" s="20"/>
      <c r="E1650" s="20"/>
      <c r="F1650" s="20"/>
      <c r="G1650" s="20"/>
      <c r="H1650" s="20"/>
      <c r="I1650" s="19">
        <v>2018</v>
      </c>
      <c r="J1650" s="20"/>
      <c r="K1650" s="20"/>
      <c r="L1650" s="20"/>
      <c r="M1650" s="22" t="s">
        <v>916</v>
      </c>
      <c r="N1650" s="16" t="s">
        <v>118</v>
      </c>
      <c r="O1650" s="21" t="s">
        <v>58</v>
      </c>
      <c r="P1650" t="s">
        <v>917</v>
      </c>
      <c r="Q1650" s="20"/>
      <c r="R1650" s="20"/>
      <c r="S1650" s="20"/>
      <c r="T1650" s="20"/>
      <c r="U1650" s="20" t="s">
        <v>36</v>
      </c>
      <c r="V1650" s="20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/>
      <c r="AR1650" s="20"/>
      <c r="AS1650" s="20"/>
    </row>
    <row r="1651" spans="1:45" x14ac:dyDescent="0.2">
      <c r="A1651" s="23">
        <v>43427</v>
      </c>
      <c r="B1651" s="23">
        <v>43427</v>
      </c>
      <c r="C1651" s="20"/>
      <c r="D1651" s="20"/>
      <c r="E1651" s="20"/>
      <c r="F1651" s="20"/>
      <c r="G1651" s="20"/>
      <c r="H1651" s="20"/>
      <c r="I1651" s="19">
        <v>2018</v>
      </c>
      <c r="J1651" s="20"/>
      <c r="K1651" s="20"/>
      <c r="L1651" s="20"/>
      <c r="M1651" s="22" t="s">
        <v>916</v>
      </c>
      <c r="N1651" s="16" t="s">
        <v>118</v>
      </c>
      <c r="O1651" s="21" t="s">
        <v>1156</v>
      </c>
      <c r="P1651" t="s">
        <v>917</v>
      </c>
      <c r="Q1651" s="20"/>
      <c r="R1651" s="20"/>
      <c r="S1651" s="20"/>
      <c r="T1651" s="20"/>
      <c r="U1651" s="20" t="s">
        <v>36</v>
      </c>
      <c r="V1651" s="20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/>
      <c r="AR1651" s="20"/>
      <c r="AS1651" s="20"/>
    </row>
    <row r="1652" spans="1:45" x14ac:dyDescent="0.2">
      <c r="A1652" s="23">
        <v>43428</v>
      </c>
      <c r="B1652" s="23">
        <v>43428</v>
      </c>
      <c r="C1652" s="20"/>
      <c r="D1652" s="20"/>
      <c r="E1652" s="20"/>
      <c r="F1652" s="20"/>
      <c r="G1652" s="20"/>
      <c r="H1652" s="20"/>
      <c r="I1652" s="19">
        <v>2018</v>
      </c>
      <c r="J1652" s="20"/>
      <c r="K1652" s="20"/>
      <c r="L1652" s="20"/>
      <c r="M1652" s="21" t="s">
        <v>916</v>
      </c>
      <c r="N1652" s="16" t="s">
        <v>118</v>
      </c>
      <c r="O1652" s="21" t="s">
        <v>38</v>
      </c>
      <c r="P1652" t="s">
        <v>1146</v>
      </c>
      <c r="Q1652" s="20"/>
      <c r="R1652" s="20"/>
      <c r="S1652" s="20"/>
      <c r="T1652" s="20"/>
      <c r="U1652" s="20" t="s">
        <v>36</v>
      </c>
      <c r="V1652" s="20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/>
      <c r="AR1652" s="20"/>
      <c r="AS1652" s="20"/>
    </row>
    <row r="1653" spans="1:45" x14ac:dyDescent="0.2">
      <c r="A1653" s="23">
        <v>43428</v>
      </c>
      <c r="B1653" s="23">
        <v>43428</v>
      </c>
      <c r="C1653" s="20"/>
      <c r="D1653" s="20"/>
      <c r="E1653" s="20"/>
      <c r="F1653" s="20"/>
      <c r="G1653" s="20"/>
      <c r="H1653" s="20"/>
      <c r="I1653" s="19">
        <v>2018</v>
      </c>
      <c r="J1653" s="20"/>
      <c r="K1653" s="20"/>
      <c r="L1653" s="20"/>
      <c r="M1653" s="21" t="s">
        <v>916</v>
      </c>
      <c r="N1653" s="16" t="s">
        <v>118</v>
      </c>
      <c r="O1653" s="21" t="s">
        <v>40</v>
      </c>
      <c r="P1653" t="s">
        <v>1146</v>
      </c>
      <c r="Q1653" s="20"/>
      <c r="R1653" s="20"/>
      <c r="S1653" s="20"/>
      <c r="T1653" s="20"/>
      <c r="U1653" s="20" t="s">
        <v>36</v>
      </c>
      <c r="V1653" s="20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/>
      <c r="AR1653" s="20"/>
      <c r="AS1653" s="20"/>
    </row>
    <row r="1654" spans="1:45" x14ac:dyDescent="0.2">
      <c r="A1654" s="23">
        <v>43438</v>
      </c>
      <c r="B1654" s="23">
        <v>43438</v>
      </c>
      <c r="C1654" s="20"/>
      <c r="D1654" s="20"/>
      <c r="E1654" s="20"/>
      <c r="F1654" s="20"/>
      <c r="G1654" s="20"/>
      <c r="H1654" s="20"/>
      <c r="I1654" s="19">
        <v>2018</v>
      </c>
      <c r="J1654" s="20"/>
      <c r="K1654" s="20"/>
      <c r="L1654" s="20"/>
      <c r="M1654" s="21" t="s">
        <v>1154</v>
      </c>
      <c r="N1654" s="16" t="s">
        <v>118</v>
      </c>
      <c r="O1654" s="21" t="s">
        <v>40</v>
      </c>
      <c r="P1654" t="s">
        <v>130</v>
      </c>
      <c r="Q1654" s="20"/>
      <c r="R1654" s="20"/>
      <c r="S1654" s="20"/>
      <c r="T1654" s="20"/>
      <c r="U1654" s="20" t="s">
        <v>36</v>
      </c>
      <c r="V1654" s="20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/>
      <c r="AR1654" s="20"/>
      <c r="AS1654" s="20"/>
    </row>
    <row r="1655" spans="1:45" x14ac:dyDescent="0.2">
      <c r="A1655" s="23">
        <v>43216</v>
      </c>
      <c r="B1655" s="23">
        <v>43216</v>
      </c>
      <c r="C1655" s="20"/>
      <c r="D1655" s="20"/>
      <c r="E1655" s="20"/>
      <c r="F1655" s="20"/>
      <c r="G1655" s="20"/>
      <c r="H1655" s="20"/>
      <c r="I1655" s="19">
        <v>2018</v>
      </c>
      <c r="J1655" s="20"/>
      <c r="K1655" s="20"/>
      <c r="L1655" s="20"/>
      <c r="M1655" s="22" t="s">
        <v>1154</v>
      </c>
      <c r="N1655" s="16" t="s">
        <v>118</v>
      </c>
      <c r="O1655" s="21" t="s">
        <v>38</v>
      </c>
      <c r="P1655" t="s">
        <v>130</v>
      </c>
      <c r="Q1655" s="20"/>
      <c r="R1655" s="20"/>
      <c r="S1655" s="20"/>
      <c r="T1655" s="20"/>
      <c r="U1655" s="20" t="s">
        <v>36</v>
      </c>
      <c r="V1655" s="20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0"/>
      <c r="AR1655" s="20"/>
      <c r="AS1655" s="20"/>
    </row>
    <row r="1656" spans="1:45" x14ac:dyDescent="0.2">
      <c r="A1656" s="23">
        <v>43581</v>
      </c>
      <c r="B1656" s="23">
        <v>43581</v>
      </c>
      <c r="C1656" s="20"/>
      <c r="D1656" s="20"/>
      <c r="E1656" s="20"/>
      <c r="F1656" s="20"/>
      <c r="G1656" s="20"/>
      <c r="H1656" s="20"/>
      <c r="I1656" s="19">
        <v>2018</v>
      </c>
      <c r="J1656" s="20"/>
      <c r="K1656" s="20"/>
      <c r="L1656" s="20"/>
      <c r="M1656" s="22" t="s">
        <v>1154</v>
      </c>
      <c r="N1656" s="16" t="s">
        <v>118</v>
      </c>
      <c r="O1656" s="21" t="s">
        <v>40</v>
      </c>
      <c r="P1656" t="s">
        <v>130</v>
      </c>
      <c r="Q1656" s="20"/>
      <c r="R1656" s="20"/>
      <c r="S1656" s="20"/>
      <c r="T1656" s="20"/>
      <c r="U1656" s="20" t="s">
        <v>36</v>
      </c>
      <c r="V1656" s="20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0"/>
      <c r="AR1656" s="20"/>
      <c r="AS1656" s="20"/>
    </row>
    <row r="1657" spans="1:45" x14ac:dyDescent="0.2">
      <c r="A1657" s="23">
        <v>43947</v>
      </c>
      <c r="B1657" s="23">
        <v>43947</v>
      </c>
      <c r="C1657" s="20"/>
      <c r="D1657" s="20"/>
      <c r="E1657" s="20"/>
      <c r="F1657" s="20"/>
      <c r="G1657" s="20"/>
      <c r="H1657" s="20"/>
      <c r="I1657" s="19">
        <v>2018</v>
      </c>
      <c r="J1657" s="20"/>
      <c r="K1657" s="20"/>
      <c r="L1657" s="20"/>
      <c r="M1657" s="22" t="s">
        <v>1154</v>
      </c>
      <c r="N1657" s="16" t="s">
        <v>118</v>
      </c>
      <c r="O1657" s="21" t="s">
        <v>47</v>
      </c>
      <c r="P1657" t="s">
        <v>130</v>
      </c>
      <c r="Q1657" s="20"/>
      <c r="R1657" s="20"/>
      <c r="S1657" s="20"/>
      <c r="T1657" s="20"/>
      <c r="U1657" s="20" t="s">
        <v>36</v>
      </c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0"/>
      <c r="AR1657" s="20"/>
      <c r="AS1657" s="20"/>
    </row>
    <row r="1658" spans="1:45" x14ac:dyDescent="0.2">
      <c r="A1658" s="23">
        <v>43216</v>
      </c>
      <c r="B1658" s="23">
        <v>43216</v>
      </c>
      <c r="C1658" s="20"/>
      <c r="D1658" s="20"/>
      <c r="E1658" s="20"/>
      <c r="F1658" s="20"/>
      <c r="G1658" s="20"/>
      <c r="H1658" s="20"/>
      <c r="I1658" s="19">
        <v>2018</v>
      </c>
      <c r="J1658" s="20"/>
      <c r="K1658" s="20"/>
      <c r="L1658" s="20"/>
      <c r="M1658" s="22" t="s">
        <v>1154</v>
      </c>
      <c r="N1658" s="16" t="s">
        <v>118</v>
      </c>
      <c r="O1658" s="21" t="s">
        <v>38</v>
      </c>
      <c r="P1658" t="s">
        <v>119</v>
      </c>
      <c r="Q1658" s="20"/>
      <c r="R1658" s="20"/>
      <c r="S1658" s="20"/>
      <c r="T1658" s="20"/>
      <c r="U1658" s="20" t="s">
        <v>36</v>
      </c>
      <c r="V1658" s="20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0"/>
      <c r="AR1658" s="20"/>
      <c r="AS1658" s="20"/>
    </row>
    <row r="1659" spans="1:45" x14ac:dyDescent="0.2">
      <c r="A1659" s="23">
        <v>43216</v>
      </c>
      <c r="B1659" s="23">
        <v>43216</v>
      </c>
      <c r="C1659" s="20"/>
      <c r="D1659" s="20"/>
      <c r="E1659" s="20"/>
      <c r="F1659" s="20"/>
      <c r="G1659" s="20"/>
      <c r="H1659" s="20"/>
      <c r="I1659" s="19">
        <v>2018</v>
      </c>
      <c r="J1659" s="20"/>
      <c r="K1659" s="20"/>
      <c r="L1659" s="20"/>
      <c r="M1659" s="22" t="s">
        <v>1154</v>
      </c>
      <c r="N1659" s="16" t="s">
        <v>118</v>
      </c>
      <c r="O1659" s="21" t="s">
        <v>40</v>
      </c>
      <c r="P1659" t="s">
        <v>119</v>
      </c>
      <c r="Q1659" s="20"/>
      <c r="R1659" s="20"/>
      <c r="S1659" s="20"/>
      <c r="T1659" s="20"/>
      <c r="U1659" s="20" t="s">
        <v>36</v>
      </c>
      <c r="V1659" s="20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0"/>
      <c r="AR1659" s="20"/>
      <c r="AS1659" s="20"/>
    </row>
    <row r="1660" spans="1:45" x14ac:dyDescent="0.2">
      <c r="A1660" s="23">
        <v>43218</v>
      </c>
      <c r="B1660" s="23">
        <v>43218</v>
      </c>
      <c r="C1660" s="20"/>
      <c r="D1660" s="20"/>
      <c r="E1660" s="20"/>
      <c r="F1660" s="20"/>
      <c r="G1660" s="20"/>
      <c r="H1660" s="20"/>
      <c r="I1660" s="19">
        <v>2018</v>
      </c>
      <c r="J1660" s="20"/>
      <c r="K1660" s="20"/>
      <c r="L1660" s="20"/>
      <c r="M1660" s="22" t="s">
        <v>1154</v>
      </c>
      <c r="N1660" s="16" t="s">
        <v>118</v>
      </c>
      <c r="O1660" s="21" t="s">
        <v>40</v>
      </c>
      <c r="P1660" t="s">
        <v>33</v>
      </c>
      <c r="Q1660" s="20"/>
      <c r="R1660" s="20"/>
      <c r="S1660" s="20"/>
      <c r="T1660" s="20"/>
      <c r="U1660" s="20" t="s">
        <v>36</v>
      </c>
      <c r="V1660" s="20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0"/>
      <c r="AR1660" s="20"/>
      <c r="AS1660" s="20"/>
    </row>
    <row r="1661" spans="1:45" x14ac:dyDescent="0.2">
      <c r="A1661" s="23">
        <v>43218</v>
      </c>
      <c r="B1661" s="23">
        <v>43218</v>
      </c>
      <c r="C1661" s="20"/>
      <c r="D1661" s="20"/>
      <c r="E1661" s="20"/>
      <c r="F1661" s="20"/>
      <c r="G1661" s="20"/>
      <c r="H1661" s="20"/>
      <c r="I1661" s="19">
        <v>2018</v>
      </c>
      <c r="J1661" s="20"/>
      <c r="K1661" s="20"/>
      <c r="L1661" s="20"/>
      <c r="M1661" s="22" t="s">
        <v>1154</v>
      </c>
      <c r="N1661" s="16" t="s">
        <v>118</v>
      </c>
      <c r="O1661" s="21" t="s">
        <v>47</v>
      </c>
      <c r="P1661" t="s">
        <v>33</v>
      </c>
      <c r="Q1661" s="20"/>
      <c r="R1661" s="20"/>
      <c r="S1661" s="20"/>
      <c r="T1661" s="20"/>
      <c r="U1661" s="20" t="s">
        <v>36</v>
      </c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0"/>
      <c r="AR1661" s="20"/>
      <c r="AS1661" s="20"/>
    </row>
    <row r="1662" spans="1:45" x14ac:dyDescent="0.2">
      <c r="A1662" s="23">
        <v>43202</v>
      </c>
      <c r="B1662" s="23">
        <v>43202</v>
      </c>
      <c r="C1662" s="20"/>
      <c r="D1662" s="20"/>
      <c r="E1662" s="20"/>
      <c r="F1662" s="20"/>
      <c r="G1662" s="20"/>
      <c r="H1662" s="20"/>
      <c r="I1662" s="19">
        <v>2018</v>
      </c>
      <c r="J1662" s="20"/>
      <c r="K1662" s="20"/>
      <c r="L1662" s="20"/>
      <c r="M1662" s="22" t="s">
        <v>624</v>
      </c>
      <c r="N1662" s="16" t="s">
        <v>118</v>
      </c>
      <c r="O1662" s="21" t="s">
        <v>32</v>
      </c>
      <c r="P1662" t="s">
        <v>690</v>
      </c>
      <c r="Q1662" s="20"/>
      <c r="R1662" s="20"/>
      <c r="S1662" s="20"/>
      <c r="T1662" s="20"/>
      <c r="U1662" s="20" t="s">
        <v>36</v>
      </c>
      <c r="V1662" s="20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  <c r="AP1662" s="20"/>
      <c r="AQ1662" s="20"/>
      <c r="AR1662" s="20"/>
      <c r="AS1662" s="20"/>
    </row>
    <row r="1663" spans="1:45" x14ac:dyDescent="0.2">
      <c r="A1663" s="23">
        <v>43202</v>
      </c>
      <c r="B1663" s="23">
        <v>43202</v>
      </c>
      <c r="C1663" s="20"/>
      <c r="D1663" s="20"/>
      <c r="E1663" s="20"/>
      <c r="F1663" s="20"/>
      <c r="G1663" s="20"/>
      <c r="H1663" s="20"/>
      <c r="I1663" s="19">
        <v>2018</v>
      </c>
      <c r="J1663" s="20"/>
      <c r="K1663" s="20"/>
      <c r="L1663" s="20"/>
      <c r="M1663" s="22" t="s">
        <v>624</v>
      </c>
      <c r="N1663" s="16" t="s">
        <v>118</v>
      </c>
      <c r="O1663" s="21" t="s">
        <v>38</v>
      </c>
      <c r="P1663" t="s">
        <v>690</v>
      </c>
      <c r="Q1663" s="20"/>
      <c r="R1663" s="20"/>
      <c r="S1663" s="20"/>
      <c r="T1663" s="20"/>
      <c r="U1663" s="20" t="s">
        <v>36</v>
      </c>
      <c r="V1663" s="20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  <c r="AP1663" s="20"/>
      <c r="AQ1663" s="20"/>
      <c r="AR1663" s="20"/>
      <c r="AS1663" s="20"/>
    </row>
    <row r="1664" spans="1:45" x14ac:dyDescent="0.2">
      <c r="A1664" s="23">
        <v>43202</v>
      </c>
      <c r="B1664" s="23">
        <v>43202</v>
      </c>
      <c r="C1664" s="20"/>
      <c r="D1664" s="20"/>
      <c r="E1664" s="20"/>
      <c r="F1664" s="20"/>
      <c r="G1664" s="20"/>
      <c r="H1664" s="20"/>
      <c r="I1664" s="19">
        <v>2018</v>
      </c>
      <c r="J1664" s="20"/>
      <c r="K1664" s="20"/>
      <c r="L1664" s="20"/>
      <c r="M1664" s="22" t="s">
        <v>624</v>
      </c>
      <c r="N1664" s="16" t="s">
        <v>118</v>
      </c>
      <c r="O1664" s="21" t="s">
        <v>40</v>
      </c>
      <c r="P1664" t="s">
        <v>690</v>
      </c>
      <c r="Q1664" s="20"/>
      <c r="R1664" s="20"/>
      <c r="S1664" s="20"/>
      <c r="T1664" s="20"/>
      <c r="U1664" s="20" t="s">
        <v>36</v>
      </c>
      <c r="V1664" s="20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/>
      <c r="AR1664" s="20"/>
      <c r="AS1664" s="20"/>
    </row>
    <row r="1665" spans="1:45" x14ac:dyDescent="0.2">
      <c r="A1665" s="23">
        <v>43440</v>
      </c>
      <c r="B1665" s="23">
        <v>43440</v>
      </c>
      <c r="C1665" s="20"/>
      <c r="D1665" s="20"/>
      <c r="E1665" s="20"/>
      <c r="F1665" s="20"/>
      <c r="G1665" s="20"/>
      <c r="H1665" s="20"/>
      <c r="I1665" s="19">
        <v>2018</v>
      </c>
      <c r="J1665" s="20"/>
      <c r="K1665" s="20"/>
      <c r="L1665" s="20"/>
      <c r="M1665" s="22" t="s">
        <v>1154</v>
      </c>
      <c r="N1665" s="16" t="s">
        <v>118</v>
      </c>
      <c r="O1665" s="21" t="s">
        <v>32</v>
      </c>
      <c r="P1665" t="s">
        <v>33</v>
      </c>
      <c r="Q1665" s="20"/>
      <c r="R1665" s="20"/>
      <c r="S1665" s="20"/>
      <c r="T1665" s="20"/>
      <c r="U1665" s="20" t="s">
        <v>36</v>
      </c>
      <c r="V1665" s="20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/>
      <c r="AR1665" s="20"/>
      <c r="AS1665" s="20"/>
    </row>
    <row r="1666" spans="1:45" x14ac:dyDescent="0.2">
      <c r="A1666" s="23">
        <v>43440</v>
      </c>
      <c r="B1666" s="23">
        <v>43440</v>
      </c>
      <c r="C1666" s="20"/>
      <c r="D1666" s="20"/>
      <c r="E1666" s="20"/>
      <c r="F1666" s="20"/>
      <c r="G1666" s="20"/>
      <c r="H1666" s="20"/>
      <c r="I1666" s="19">
        <v>2018</v>
      </c>
      <c r="J1666" s="20"/>
      <c r="K1666" s="20"/>
      <c r="L1666" s="20"/>
      <c r="M1666" s="22" t="s">
        <v>1154</v>
      </c>
      <c r="N1666" s="16" t="s">
        <v>118</v>
      </c>
      <c r="O1666" s="21" t="s">
        <v>47</v>
      </c>
      <c r="P1666" t="s">
        <v>33</v>
      </c>
      <c r="Q1666" s="20"/>
      <c r="R1666" s="20"/>
      <c r="S1666" s="20"/>
      <c r="T1666" s="20"/>
      <c r="U1666" s="20" t="s">
        <v>36</v>
      </c>
      <c r="V1666" s="20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/>
      <c r="AR1666" s="20"/>
      <c r="AS1666" s="20"/>
    </row>
    <row r="1667" spans="1:45" x14ac:dyDescent="0.2">
      <c r="A1667" s="23">
        <v>43755</v>
      </c>
      <c r="B1667" s="23">
        <v>43755</v>
      </c>
      <c r="C1667" s="20"/>
      <c r="D1667" s="20"/>
      <c r="E1667" s="20"/>
      <c r="F1667" s="20"/>
      <c r="G1667" s="20"/>
      <c r="H1667" s="20"/>
      <c r="I1667" s="19">
        <v>2019</v>
      </c>
      <c r="J1667" s="20"/>
      <c r="K1667" s="20"/>
      <c r="L1667" s="20"/>
      <c r="M1667" s="21" t="s">
        <v>247</v>
      </c>
      <c r="N1667" s="16" t="s">
        <v>118</v>
      </c>
      <c r="O1667" s="21" t="s">
        <v>32</v>
      </c>
      <c r="P1667" t="s">
        <v>272</v>
      </c>
      <c r="Q1667" s="20"/>
      <c r="R1667" s="20"/>
      <c r="S1667" s="20"/>
      <c r="T1667" s="20"/>
      <c r="U1667" s="20" t="s">
        <v>36</v>
      </c>
      <c r="V1667" s="20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/>
      <c r="AR1667" s="20"/>
      <c r="AS1667" s="20"/>
    </row>
    <row r="1668" spans="1:45" x14ac:dyDescent="0.2">
      <c r="A1668" s="23">
        <v>43779</v>
      </c>
      <c r="B1668" s="23">
        <v>43779</v>
      </c>
      <c r="C1668" s="20"/>
      <c r="D1668" s="20"/>
      <c r="E1668" s="20"/>
      <c r="F1668" s="20"/>
      <c r="G1668" s="20"/>
      <c r="H1668" s="20"/>
      <c r="I1668" s="19">
        <v>2019</v>
      </c>
      <c r="J1668" s="20"/>
      <c r="K1668" s="20"/>
      <c r="L1668" s="20"/>
      <c r="M1668" s="21" t="s">
        <v>624</v>
      </c>
      <c r="N1668" s="16" t="s">
        <v>118</v>
      </c>
      <c r="O1668" s="21" t="s">
        <v>40</v>
      </c>
      <c r="P1668" t="s">
        <v>625</v>
      </c>
      <c r="Q1668" s="20"/>
      <c r="R1668" s="20"/>
      <c r="S1668" s="20"/>
      <c r="T1668" s="20"/>
      <c r="U1668" s="20" t="s">
        <v>36</v>
      </c>
      <c r="V1668" s="20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/>
      <c r="AR1668" s="20"/>
      <c r="AS1668" s="20"/>
    </row>
    <row r="1669" spans="1:45" x14ac:dyDescent="0.2">
      <c r="A1669" s="23">
        <v>43780</v>
      </c>
      <c r="B1669" s="23">
        <v>43780</v>
      </c>
      <c r="C1669" s="20"/>
      <c r="D1669" s="20"/>
      <c r="E1669" s="20"/>
      <c r="F1669" s="20"/>
      <c r="G1669" s="20"/>
      <c r="H1669" s="20"/>
      <c r="I1669" s="19">
        <v>2019</v>
      </c>
      <c r="J1669" s="20"/>
      <c r="K1669" s="20"/>
      <c r="L1669" s="20"/>
      <c r="M1669" s="22" t="s">
        <v>624</v>
      </c>
      <c r="N1669" s="16" t="s">
        <v>118</v>
      </c>
      <c r="O1669" s="21" t="s">
        <v>32</v>
      </c>
      <c r="P1669" t="s">
        <v>690</v>
      </c>
      <c r="Q1669" s="20"/>
      <c r="R1669" s="20"/>
      <c r="S1669" s="20"/>
      <c r="T1669" s="20"/>
      <c r="U1669" s="20" t="s">
        <v>36</v>
      </c>
      <c r="V1669" s="20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</row>
    <row r="1670" spans="1:45" x14ac:dyDescent="0.2">
      <c r="A1670" s="23">
        <v>43780</v>
      </c>
      <c r="B1670" s="23">
        <v>43780</v>
      </c>
      <c r="C1670" s="20"/>
      <c r="D1670" s="20"/>
      <c r="E1670" s="20"/>
      <c r="F1670" s="20"/>
      <c r="G1670" s="20"/>
      <c r="H1670" s="20"/>
      <c r="I1670" s="19">
        <v>2019</v>
      </c>
      <c r="J1670" s="20"/>
      <c r="K1670" s="20"/>
      <c r="L1670" s="20"/>
      <c r="M1670" s="22" t="s">
        <v>624</v>
      </c>
      <c r="N1670" s="16" t="s">
        <v>118</v>
      </c>
      <c r="O1670" s="21" t="s">
        <v>38</v>
      </c>
      <c r="P1670" t="s">
        <v>690</v>
      </c>
      <c r="Q1670" s="20"/>
      <c r="R1670" s="20"/>
      <c r="S1670" s="20"/>
      <c r="T1670" s="20"/>
      <c r="U1670" s="20" t="s">
        <v>36</v>
      </c>
      <c r="V1670" s="20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</row>
    <row r="1671" spans="1:45" x14ac:dyDescent="0.2">
      <c r="A1671" s="23">
        <v>43780</v>
      </c>
      <c r="B1671" s="23">
        <v>43780</v>
      </c>
      <c r="C1671" s="20"/>
      <c r="D1671" s="20"/>
      <c r="E1671" s="20"/>
      <c r="F1671" s="20"/>
      <c r="G1671" s="20"/>
      <c r="H1671" s="20"/>
      <c r="I1671" s="19">
        <v>2019</v>
      </c>
      <c r="J1671" s="20"/>
      <c r="K1671" s="20"/>
      <c r="L1671" s="20"/>
      <c r="M1671" s="21" t="s">
        <v>624</v>
      </c>
      <c r="N1671" s="16" t="s">
        <v>118</v>
      </c>
      <c r="O1671" s="21" t="s">
        <v>40</v>
      </c>
      <c r="P1671" t="s">
        <v>720</v>
      </c>
      <c r="Q1671" s="20"/>
      <c r="R1671" s="20"/>
      <c r="S1671" s="20"/>
      <c r="T1671" s="20"/>
      <c r="U1671" s="20" t="s">
        <v>36</v>
      </c>
      <c r="V1671" s="20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/>
      <c r="AR1671" s="20"/>
      <c r="AS1671" s="20"/>
    </row>
    <row r="1672" spans="1:45" x14ac:dyDescent="0.2">
      <c r="A1672" s="23">
        <v>43780</v>
      </c>
      <c r="B1672" s="23">
        <v>43780</v>
      </c>
      <c r="C1672" s="20"/>
      <c r="D1672" s="20"/>
      <c r="E1672" s="20"/>
      <c r="F1672" s="20"/>
      <c r="G1672" s="20"/>
      <c r="H1672" s="20"/>
      <c r="I1672" s="19">
        <v>2019</v>
      </c>
      <c r="J1672" s="20"/>
      <c r="K1672" s="20"/>
      <c r="L1672" s="20"/>
      <c r="M1672" s="21" t="s">
        <v>624</v>
      </c>
      <c r="N1672" s="16" t="s">
        <v>118</v>
      </c>
      <c r="O1672" s="21" t="s">
        <v>47</v>
      </c>
      <c r="P1672" t="s">
        <v>720</v>
      </c>
      <c r="Q1672" s="20"/>
      <c r="R1672" s="20"/>
      <c r="S1672" s="20"/>
      <c r="T1672" s="20"/>
      <c r="U1672" s="20" t="s">
        <v>36</v>
      </c>
      <c r="V1672" s="20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/>
      <c r="AR1672" s="20"/>
      <c r="AS1672" s="20"/>
    </row>
    <row r="1673" spans="1:45" x14ac:dyDescent="0.2">
      <c r="A1673" s="23">
        <v>43787</v>
      </c>
      <c r="B1673" s="23">
        <v>43787</v>
      </c>
      <c r="C1673" s="20"/>
      <c r="D1673" s="20"/>
      <c r="E1673" s="20"/>
      <c r="F1673" s="20"/>
      <c r="G1673" s="20"/>
      <c r="H1673" s="20"/>
      <c r="I1673" s="19">
        <v>2019</v>
      </c>
      <c r="J1673" s="20"/>
      <c r="K1673" s="20"/>
      <c r="L1673" s="20"/>
      <c r="M1673" s="22" t="s">
        <v>1154</v>
      </c>
      <c r="N1673" s="16" t="s">
        <v>118</v>
      </c>
      <c r="O1673" s="21" t="s">
        <v>32</v>
      </c>
      <c r="P1673" t="s">
        <v>119</v>
      </c>
      <c r="Q1673" s="20"/>
      <c r="R1673" s="20"/>
      <c r="S1673" s="20"/>
      <c r="T1673" s="20"/>
      <c r="U1673" s="20" t="s">
        <v>36</v>
      </c>
      <c r="V1673" s="20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/>
      <c r="AR1673" s="20"/>
      <c r="AS1673" s="20"/>
    </row>
    <row r="1674" spans="1:45" x14ac:dyDescent="0.2">
      <c r="A1674" s="23">
        <v>44132</v>
      </c>
      <c r="B1674" s="23">
        <v>44132</v>
      </c>
      <c r="C1674" s="20"/>
      <c r="D1674" s="20"/>
      <c r="E1674" s="20"/>
      <c r="F1674" s="20"/>
      <c r="G1674" s="20"/>
      <c r="H1674" s="20"/>
      <c r="I1674" s="19">
        <v>2020</v>
      </c>
      <c r="J1674" s="20"/>
      <c r="K1674" s="20"/>
      <c r="L1674" s="20"/>
      <c r="M1674" s="21" t="s">
        <v>624</v>
      </c>
      <c r="N1674" s="16" t="s">
        <v>118</v>
      </c>
      <c r="O1674" s="21" t="s">
        <v>47</v>
      </c>
      <c r="P1674" t="s">
        <v>720</v>
      </c>
      <c r="Q1674" s="20"/>
      <c r="R1674" s="20"/>
      <c r="S1674" s="20"/>
      <c r="T1674" s="20"/>
      <c r="U1674" s="20" t="s">
        <v>36</v>
      </c>
      <c r="V1674" s="20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/>
      <c r="AR1674" s="20"/>
      <c r="AS1674" s="20"/>
    </row>
    <row r="1675" spans="1:45" x14ac:dyDescent="0.2">
      <c r="A1675" s="23">
        <v>44120</v>
      </c>
      <c r="B1675" s="23">
        <v>44120</v>
      </c>
      <c r="C1675" s="20"/>
      <c r="D1675" s="20"/>
      <c r="E1675" s="20"/>
      <c r="F1675" s="20"/>
      <c r="G1675" s="20"/>
      <c r="H1675" s="20"/>
      <c r="I1675" s="19">
        <v>2020</v>
      </c>
      <c r="J1675" s="20"/>
      <c r="K1675" s="20"/>
      <c r="L1675" s="20"/>
      <c r="M1675" s="21" t="s">
        <v>916</v>
      </c>
      <c r="N1675" s="16" t="s">
        <v>118</v>
      </c>
      <c r="O1675" s="21" t="s">
        <v>38</v>
      </c>
      <c r="P1675" t="s">
        <v>1146</v>
      </c>
      <c r="Q1675" s="20"/>
      <c r="R1675" s="20"/>
      <c r="S1675" s="20"/>
      <c r="T1675" s="20"/>
      <c r="U1675" s="20" t="s">
        <v>36</v>
      </c>
      <c r="V1675" s="20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/>
      <c r="AR1675" s="20"/>
      <c r="AS1675" s="20"/>
    </row>
    <row r="1676" spans="1:45" x14ac:dyDescent="0.2">
      <c r="A1676" s="23">
        <v>44120</v>
      </c>
      <c r="B1676" s="23">
        <v>44120</v>
      </c>
      <c r="C1676" s="20"/>
      <c r="D1676" s="20"/>
      <c r="E1676" s="20"/>
      <c r="F1676" s="20"/>
      <c r="G1676" s="20"/>
      <c r="H1676" s="20"/>
      <c r="I1676" s="19">
        <v>2020</v>
      </c>
      <c r="J1676" s="20"/>
      <c r="K1676" s="20"/>
      <c r="L1676" s="20"/>
      <c r="M1676" s="21" t="s">
        <v>916</v>
      </c>
      <c r="N1676" s="16" t="s">
        <v>118</v>
      </c>
      <c r="O1676" s="21" t="s">
        <v>40</v>
      </c>
      <c r="P1676" t="s">
        <v>1146</v>
      </c>
      <c r="Q1676" s="20"/>
      <c r="R1676" s="20"/>
      <c r="S1676" s="20"/>
      <c r="T1676" s="20"/>
      <c r="U1676" s="20" t="s">
        <v>36</v>
      </c>
      <c r="V1676" s="20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/>
      <c r="AR1676" s="20"/>
      <c r="AS1676" s="20"/>
    </row>
  </sheetData>
  <autoFilter ref="A1:AB1589" xr:uid="{9D1BC60D-7C8B-C546-9875-72D472D152A5}">
    <filterColumn colId="8">
      <filters>
        <filter val="2017"/>
      </filters>
    </filterColumn>
    <filterColumn colId="15">
      <filters>
        <filter val="Antes Core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D390-36B9-AB47-B883-56C8DD7E8B1C}">
  <dimension ref="A1:K17"/>
  <sheetViews>
    <sheetView tabSelected="1" workbookViewId="0">
      <selection activeCell="F5" sqref="F5"/>
    </sheetView>
  </sheetViews>
  <sheetFormatPr baseColWidth="10" defaultRowHeight="16" x14ac:dyDescent="0.2"/>
  <cols>
    <col min="1" max="2" width="26.83203125" bestFit="1" customWidth="1"/>
    <col min="3" max="10" width="21.83203125" bestFit="1" customWidth="1"/>
    <col min="11" max="11" width="11.6640625" bestFit="1" customWidth="1"/>
    <col min="12" max="13" width="3.1640625" bestFit="1" customWidth="1"/>
    <col min="14" max="14" width="10.33203125" bestFit="1" customWidth="1"/>
    <col min="15" max="15" width="11.6640625" bestFit="1" customWidth="1"/>
  </cols>
  <sheetData>
    <row r="1" spans="1:11" x14ac:dyDescent="0.2">
      <c r="A1" s="8" t="s">
        <v>8</v>
      </c>
      <c r="B1" s="9">
        <v>2017</v>
      </c>
    </row>
    <row r="3" spans="1:11" x14ac:dyDescent="0.2">
      <c r="A3" s="8" t="s">
        <v>1153</v>
      </c>
      <c r="C3" s="8" t="s">
        <v>14</v>
      </c>
    </row>
    <row r="4" spans="1:11" x14ac:dyDescent="0.2">
      <c r="A4" s="8" t="s">
        <v>12</v>
      </c>
      <c r="B4" s="8" t="s">
        <v>15</v>
      </c>
      <c r="C4" t="s">
        <v>32</v>
      </c>
      <c r="D4" t="s">
        <v>38</v>
      </c>
      <c r="E4" t="s">
        <v>40</v>
      </c>
      <c r="F4" t="s">
        <v>47</v>
      </c>
      <c r="G4" t="s">
        <v>58</v>
      </c>
      <c r="H4" t="s">
        <v>1148</v>
      </c>
      <c r="I4" t="s">
        <v>1147</v>
      </c>
      <c r="J4" t="s">
        <v>1156</v>
      </c>
      <c r="K4" t="s">
        <v>1145</v>
      </c>
    </row>
    <row r="5" spans="1:11" x14ac:dyDescent="0.2">
      <c r="A5" t="s">
        <v>624</v>
      </c>
      <c r="B5" t="s">
        <v>720</v>
      </c>
      <c r="C5" s="13">
        <v>1</v>
      </c>
      <c r="D5" s="13">
        <v>5</v>
      </c>
      <c r="E5" s="13">
        <v>5</v>
      </c>
      <c r="F5" s="13">
        <v>1</v>
      </c>
      <c r="G5" s="13"/>
      <c r="H5" s="13"/>
      <c r="I5" s="13"/>
      <c r="J5" s="13"/>
      <c r="K5" s="13">
        <v>12</v>
      </c>
    </row>
    <row r="6" spans="1:11" x14ac:dyDescent="0.2">
      <c r="A6" t="s">
        <v>624</v>
      </c>
      <c r="B6" t="s">
        <v>690</v>
      </c>
      <c r="C6" s="13">
        <v>1</v>
      </c>
      <c r="D6" s="13">
        <v>1</v>
      </c>
      <c r="E6" s="13">
        <v>1</v>
      </c>
      <c r="F6" s="13">
        <v>2</v>
      </c>
      <c r="G6" s="13">
        <v>7</v>
      </c>
      <c r="H6" s="13"/>
      <c r="I6" s="13"/>
      <c r="J6" s="13"/>
      <c r="K6" s="13">
        <v>12</v>
      </c>
    </row>
    <row r="7" spans="1:11" x14ac:dyDescent="0.2">
      <c r="A7" t="s">
        <v>624</v>
      </c>
      <c r="B7" t="s">
        <v>625</v>
      </c>
      <c r="C7" s="13">
        <v>8</v>
      </c>
      <c r="D7" s="13">
        <v>2</v>
      </c>
      <c r="E7" s="13">
        <v>1</v>
      </c>
      <c r="F7" s="13"/>
      <c r="G7" s="13"/>
      <c r="H7" s="13"/>
      <c r="I7" s="13"/>
      <c r="J7" s="13"/>
      <c r="K7" s="13">
        <v>11</v>
      </c>
    </row>
    <row r="8" spans="1:11" x14ac:dyDescent="0.2">
      <c r="A8" t="s">
        <v>624</v>
      </c>
      <c r="B8" t="s">
        <v>643</v>
      </c>
      <c r="C8" s="13">
        <v>1</v>
      </c>
      <c r="D8" s="13">
        <v>1</v>
      </c>
      <c r="E8" s="13">
        <v>1</v>
      </c>
      <c r="F8" s="13">
        <v>1</v>
      </c>
      <c r="G8" s="13"/>
      <c r="H8" s="13"/>
      <c r="I8" s="13"/>
      <c r="J8" s="13"/>
      <c r="K8" s="13">
        <v>4</v>
      </c>
    </row>
    <row r="9" spans="1:11" x14ac:dyDescent="0.2">
      <c r="A9" t="s">
        <v>916</v>
      </c>
      <c r="B9" t="s">
        <v>917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8</v>
      </c>
    </row>
    <row r="10" spans="1:11" x14ac:dyDescent="0.2">
      <c r="A10" t="s">
        <v>916</v>
      </c>
      <c r="B10" t="s">
        <v>913</v>
      </c>
      <c r="C10" s="13">
        <v>1</v>
      </c>
      <c r="D10" s="13">
        <v>1</v>
      </c>
      <c r="E10" s="13">
        <v>1</v>
      </c>
      <c r="F10" s="13"/>
      <c r="G10" s="13"/>
      <c r="H10" s="13"/>
      <c r="I10" s="13"/>
      <c r="J10" s="13"/>
      <c r="K10" s="13">
        <v>3</v>
      </c>
    </row>
    <row r="11" spans="1:11" x14ac:dyDescent="0.2">
      <c r="A11" t="s">
        <v>916</v>
      </c>
      <c r="B11" t="s">
        <v>1146</v>
      </c>
      <c r="C11" s="13">
        <v>2</v>
      </c>
      <c r="D11" s="13">
        <v>1</v>
      </c>
      <c r="E11" s="13">
        <v>1</v>
      </c>
      <c r="F11" s="13"/>
      <c r="G11" s="13"/>
      <c r="H11" s="13"/>
      <c r="I11" s="13"/>
      <c r="J11" s="13"/>
      <c r="K11" s="13">
        <v>4</v>
      </c>
    </row>
    <row r="12" spans="1:11" x14ac:dyDescent="0.2">
      <c r="A12" t="s">
        <v>916</v>
      </c>
      <c r="B12" t="s">
        <v>1151</v>
      </c>
      <c r="C12" s="13">
        <v>4</v>
      </c>
      <c r="D12" s="13">
        <v>8</v>
      </c>
      <c r="E12" s="13">
        <v>6</v>
      </c>
      <c r="F12" s="13">
        <v>1</v>
      </c>
      <c r="G12" s="13"/>
      <c r="H12" s="13"/>
      <c r="I12" s="13"/>
      <c r="J12" s="13"/>
      <c r="K12" s="13">
        <v>19</v>
      </c>
    </row>
    <row r="13" spans="1:11" x14ac:dyDescent="0.2">
      <c r="A13" t="s">
        <v>916</v>
      </c>
      <c r="B13" t="s">
        <v>1152</v>
      </c>
      <c r="C13" s="13">
        <v>2</v>
      </c>
      <c r="D13" s="13">
        <v>1</v>
      </c>
      <c r="E13" s="13">
        <v>3</v>
      </c>
      <c r="F13" s="13">
        <v>11</v>
      </c>
      <c r="G13" s="13"/>
      <c r="H13" s="13"/>
      <c r="I13" s="13"/>
      <c r="J13" s="13"/>
      <c r="K13" s="13">
        <v>17</v>
      </c>
    </row>
    <row r="14" spans="1:11" x14ac:dyDescent="0.2">
      <c r="A14" t="s">
        <v>247</v>
      </c>
      <c r="B14" t="s">
        <v>280</v>
      </c>
      <c r="C14" s="13">
        <v>1</v>
      </c>
      <c r="D14" s="13">
        <v>1</v>
      </c>
      <c r="E14" s="13">
        <v>1</v>
      </c>
      <c r="F14" s="13">
        <v>1</v>
      </c>
      <c r="G14" s="13">
        <v>13</v>
      </c>
      <c r="H14" s="13"/>
      <c r="I14" s="13"/>
      <c r="J14" s="13"/>
      <c r="K14" s="13">
        <v>17</v>
      </c>
    </row>
    <row r="15" spans="1:11" x14ac:dyDescent="0.2">
      <c r="A15" t="s">
        <v>247</v>
      </c>
      <c r="B15" t="s">
        <v>248</v>
      </c>
      <c r="C15" s="13">
        <v>11</v>
      </c>
      <c r="D15" s="13">
        <v>1</v>
      </c>
      <c r="E15" s="13">
        <v>1</v>
      </c>
      <c r="F15" s="13">
        <v>1</v>
      </c>
      <c r="G15" s="13"/>
      <c r="H15" s="13"/>
      <c r="I15" s="13"/>
      <c r="J15" s="13"/>
      <c r="K15" s="13">
        <v>14</v>
      </c>
    </row>
    <row r="16" spans="1:11" x14ac:dyDescent="0.2">
      <c r="A16" t="s">
        <v>247</v>
      </c>
      <c r="B16" t="s">
        <v>672</v>
      </c>
      <c r="C16" s="13">
        <v>5</v>
      </c>
      <c r="D16" s="13">
        <v>9</v>
      </c>
      <c r="E16" s="13">
        <v>1</v>
      </c>
      <c r="F16" s="13"/>
      <c r="G16" s="13"/>
      <c r="H16" s="13"/>
      <c r="I16" s="13"/>
      <c r="J16" s="13"/>
      <c r="K16" s="13">
        <v>15</v>
      </c>
    </row>
    <row r="17" spans="1:11" x14ac:dyDescent="0.2">
      <c r="A17" t="s">
        <v>1145</v>
      </c>
      <c r="C17" s="13">
        <v>38</v>
      </c>
      <c r="D17" s="13">
        <v>32</v>
      </c>
      <c r="E17" s="13">
        <v>23</v>
      </c>
      <c r="F17" s="13">
        <v>19</v>
      </c>
      <c r="G17" s="13">
        <v>21</v>
      </c>
      <c r="H17" s="13">
        <v>1</v>
      </c>
      <c r="I17" s="13">
        <v>1</v>
      </c>
      <c r="J17" s="13">
        <v>1</v>
      </c>
      <c r="K17" s="13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Sebastian Ovalle Talaga</cp:lastModifiedBy>
  <dcterms:created xsi:type="dcterms:W3CDTF">2025-11-13T20:50:12Z</dcterms:created>
  <dcterms:modified xsi:type="dcterms:W3CDTF">2025-11-18T03:51:38Z</dcterms:modified>
</cp:coreProperties>
</file>